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kn0\Downloads\"/>
    </mc:Choice>
  </mc:AlternateContent>
  <xr:revisionPtr revIDLastSave="0" documentId="13_ncr:1_{EA5E792E-271F-44B0-99B8-04C6886585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A SIT REPORT - APR" sheetId="8" r:id="rId1"/>
    <sheet name="HS SIT REPORT - APR" sheetId="9" r:id="rId2"/>
    <sheet name="SPL SIT REPORT - APR" sheetId="10" r:id="rId3"/>
    <sheet name="Pivot Results 1" sheetId="12" state="hidden" r:id="rId4"/>
    <sheet name="Pivot Results 2" sheetId="14" state="hidden" r:id="rId5"/>
    <sheet name="Monthly Graphs" sheetId="13" r:id="rId6"/>
    <sheet name="ANA FEED" sheetId="5" state="hidden" r:id="rId7"/>
    <sheet name="HS FEED" sheetId="6" state="hidden" r:id="rId8"/>
    <sheet name="SPL FEED" sheetId="7" state="hidden" r:id="rId9"/>
    <sheet name="Data Dump" sheetId="1" state="hidden" r:id="rId10"/>
    <sheet name="Store lookup" sheetId="4" state="hidden" r:id="rId11"/>
    <sheet name="FIN CAL LOOKUP" sheetId="2" state="hidden" r:id="rId12"/>
  </sheets>
  <definedNames>
    <definedName name="_xlnm._FilterDatabase" localSheetId="6" hidden="1">'ANA FEED'!$A$2:$B$21</definedName>
    <definedName name="_xlnm._FilterDatabase" localSheetId="9" hidden="1">'Data Dump'!$A$1:$T$672</definedName>
    <definedName name="_xlnm._FilterDatabase" localSheetId="10" hidden="1">'Store lookup'!$A$1:$C$114</definedName>
  </definedName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72" i="1" l="1"/>
  <c r="S672" i="1"/>
  <c r="Q672" i="1"/>
  <c r="R672" i="1" s="1"/>
  <c r="P672" i="1"/>
  <c r="T671" i="1"/>
  <c r="S671" i="1"/>
  <c r="Q671" i="1"/>
  <c r="R671" i="1" s="1"/>
  <c r="P671" i="1"/>
  <c r="T452" i="1"/>
  <c r="S452" i="1"/>
  <c r="Q452" i="1"/>
  <c r="R452" i="1" s="1"/>
  <c r="P452" i="1"/>
  <c r="T221" i="1"/>
  <c r="S221" i="1"/>
  <c r="Q221" i="1"/>
  <c r="R221" i="1" s="1"/>
  <c r="P221" i="1"/>
  <c r="T451" i="1"/>
  <c r="S451" i="1"/>
  <c r="Q451" i="1"/>
  <c r="R451" i="1" s="1"/>
  <c r="P451" i="1"/>
  <c r="T220" i="1"/>
  <c r="S220" i="1"/>
  <c r="Q220" i="1"/>
  <c r="R220" i="1" s="1"/>
  <c r="P220" i="1"/>
  <c r="T670" i="1"/>
  <c r="S670" i="1"/>
  <c r="Q670" i="1"/>
  <c r="R670" i="1" s="1"/>
  <c r="P670" i="1"/>
  <c r="T450" i="1"/>
  <c r="S450" i="1"/>
  <c r="Q450" i="1"/>
  <c r="R450" i="1" s="1"/>
  <c r="P450" i="1"/>
  <c r="T449" i="1"/>
  <c r="S449" i="1"/>
  <c r="Q449" i="1"/>
  <c r="R449" i="1" s="1"/>
  <c r="P449" i="1"/>
  <c r="T219" i="1"/>
  <c r="S219" i="1"/>
  <c r="Q219" i="1"/>
  <c r="R219" i="1" s="1"/>
  <c r="P219" i="1"/>
  <c r="T218" i="1"/>
  <c r="S218" i="1"/>
  <c r="Q218" i="1"/>
  <c r="R218" i="1" s="1"/>
  <c r="P218" i="1"/>
  <c r="T217" i="1"/>
  <c r="S217" i="1"/>
  <c r="Q217" i="1"/>
  <c r="R217" i="1" s="1"/>
  <c r="P217" i="1"/>
  <c r="T448" i="1"/>
  <c r="S448" i="1"/>
  <c r="Q448" i="1"/>
  <c r="R448" i="1" s="1"/>
  <c r="P448" i="1"/>
  <c r="T216" i="1"/>
  <c r="S216" i="1"/>
  <c r="Q216" i="1"/>
  <c r="R216" i="1" s="1"/>
  <c r="P216" i="1"/>
  <c r="T669" i="1"/>
  <c r="S669" i="1"/>
  <c r="Q669" i="1"/>
  <c r="R669" i="1" s="1"/>
  <c r="P669" i="1"/>
  <c r="T668" i="1"/>
  <c r="S668" i="1"/>
  <c r="Q668" i="1"/>
  <c r="R668" i="1" s="1"/>
  <c r="P668" i="1"/>
  <c r="T667" i="1"/>
  <c r="S667" i="1"/>
  <c r="Q667" i="1"/>
  <c r="R667" i="1" s="1"/>
  <c r="P667" i="1"/>
  <c r="T215" i="1"/>
  <c r="S215" i="1"/>
  <c r="Q215" i="1"/>
  <c r="R215" i="1" s="1"/>
  <c r="P215" i="1"/>
  <c r="T447" i="1"/>
  <c r="S447" i="1"/>
  <c r="Q447" i="1"/>
  <c r="R447" i="1" s="1"/>
  <c r="P447" i="1"/>
  <c r="T446" i="1"/>
  <c r="S446" i="1"/>
  <c r="Q446" i="1"/>
  <c r="R446" i="1" s="1"/>
  <c r="P446" i="1"/>
  <c r="T214" i="1"/>
  <c r="S214" i="1"/>
  <c r="Q214" i="1"/>
  <c r="R214" i="1" s="1"/>
  <c r="P214" i="1"/>
  <c r="T666" i="1"/>
  <c r="S666" i="1"/>
  <c r="Q666" i="1"/>
  <c r="R666" i="1" s="1"/>
  <c r="P666" i="1"/>
  <c r="T445" i="1"/>
  <c r="S445" i="1"/>
  <c r="Q445" i="1"/>
  <c r="R445" i="1" s="1"/>
  <c r="P445" i="1"/>
  <c r="T665" i="1"/>
  <c r="S665" i="1"/>
  <c r="Q665" i="1"/>
  <c r="R665" i="1" s="1"/>
  <c r="P665" i="1"/>
  <c r="T444" i="1"/>
  <c r="S444" i="1"/>
  <c r="Q444" i="1"/>
  <c r="R444" i="1" s="1"/>
  <c r="P444" i="1"/>
  <c r="T213" i="1"/>
  <c r="S213" i="1"/>
  <c r="Q213" i="1"/>
  <c r="R213" i="1" s="1"/>
  <c r="P213" i="1"/>
  <c r="T443" i="1"/>
  <c r="S443" i="1"/>
  <c r="Q443" i="1"/>
  <c r="R443" i="1" s="1"/>
  <c r="P443" i="1"/>
  <c r="T212" i="1"/>
  <c r="S212" i="1"/>
  <c r="Q212" i="1"/>
  <c r="R212" i="1" s="1"/>
  <c r="P212" i="1"/>
  <c r="T442" i="1"/>
  <c r="S442" i="1"/>
  <c r="Q442" i="1"/>
  <c r="R442" i="1" s="1"/>
  <c r="P442" i="1"/>
  <c r="T664" i="1"/>
  <c r="S664" i="1"/>
  <c r="Q664" i="1"/>
  <c r="R664" i="1" s="1"/>
  <c r="P664" i="1"/>
  <c r="T663" i="1"/>
  <c r="S663" i="1"/>
  <c r="Q663" i="1"/>
  <c r="R663" i="1" s="1"/>
  <c r="P663" i="1"/>
  <c r="T211" i="1"/>
  <c r="S211" i="1"/>
  <c r="Q211" i="1"/>
  <c r="R211" i="1" s="1"/>
  <c r="P211" i="1"/>
  <c r="T210" i="1"/>
  <c r="S210" i="1"/>
  <c r="Q210" i="1"/>
  <c r="R210" i="1" s="1"/>
  <c r="P210" i="1"/>
  <c r="T209" i="1"/>
  <c r="S209" i="1"/>
  <c r="Q209" i="1"/>
  <c r="R209" i="1" s="1"/>
  <c r="P209" i="1"/>
  <c r="T208" i="1"/>
  <c r="S208" i="1"/>
  <c r="Q208" i="1"/>
  <c r="R208" i="1" s="1"/>
  <c r="P208" i="1"/>
  <c r="T662" i="1"/>
  <c r="S662" i="1"/>
  <c r="Q662" i="1"/>
  <c r="R662" i="1" s="1"/>
  <c r="P662" i="1"/>
  <c r="T661" i="1"/>
  <c r="S661" i="1"/>
  <c r="Q661" i="1"/>
  <c r="R661" i="1" s="1"/>
  <c r="P661" i="1"/>
  <c r="T207" i="1"/>
  <c r="S207" i="1"/>
  <c r="Q207" i="1"/>
  <c r="R207" i="1" s="1"/>
  <c r="P207" i="1"/>
  <c r="T206" i="1"/>
  <c r="S206" i="1"/>
  <c r="Q206" i="1"/>
  <c r="R206" i="1" s="1"/>
  <c r="P206" i="1"/>
  <c r="T441" i="1"/>
  <c r="S441" i="1"/>
  <c r="Q441" i="1"/>
  <c r="R441" i="1" s="1"/>
  <c r="P441" i="1"/>
  <c r="T660" i="1"/>
  <c r="S660" i="1"/>
  <c r="Q660" i="1"/>
  <c r="R660" i="1" s="1"/>
  <c r="P660" i="1"/>
  <c r="T205" i="1"/>
  <c r="S205" i="1"/>
  <c r="Q205" i="1"/>
  <c r="R205" i="1" s="1"/>
  <c r="P205" i="1"/>
  <c r="T251" i="1"/>
  <c r="S251" i="1"/>
  <c r="Q251" i="1"/>
  <c r="R251" i="1" s="1"/>
  <c r="P251" i="1"/>
  <c r="T250" i="1"/>
  <c r="S250" i="1"/>
  <c r="Q250" i="1"/>
  <c r="R250" i="1" s="1"/>
  <c r="P250" i="1"/>
  <c r="T659" i="1"/>
  <c r="S659" i="1"/>
  <c r="Q659" i="1"/>
  <c r="R659" i="1" s="1"/>
  <c r="P659" i="1"/>
  <c r="T658" i="1"/>
  <c r="S658" i="1"/>
  <c r="Q658" i="1"/>
  <c r="R658" i="1" s="1"/>
  <c r="P658" i="1"/>
  <c r="T657" i="1"/>
  <c r="S657" i="1"/>
  <c r="Q657" i="1"/>
  <c r="R657" i="1" s="1"/>
  <c r="P657" i="1"/>
  <c r="T656" i="1"/>
  <c r="S656" i="1"/>
  <c r="Q656" i="1"/>
  <c r="R656" i="1" s="1"/>
  <c r="P656" i="1"/>
  <c r="T204" i="1"/>
  <c r="S204" i="1"/>
  <c r="Q204" i="1"/>
  <c r="R204" i="1" s="1"/>
  <c r="P204" i="1"/>
  <c r="T203" i="1"/>
  <c r="S203" i="1"/>
  <c r="Q203" i="1"/>
  <c r="R203" i="1" s="1"/>
  <c r="P203" i="1"/>
  <c r="T440" i="1"/>
  <c r="S440" i="1"/>
  <c r="Q440" i="1"/>
  <c r="R440" i="1" s="1"/>
  <c r="P440" i="1"/>
  <c r="T655" i="1"/>
  <c r="S655" i="1"/>
  <c r="Q655" i="1"/>
  <c r="R655" i="1" s="1"/>
  <c r="P655" i="1"/>
  <c r="T202" i="1"/>
  <c r="S202" i="1"/>
  <c r="Q202" i="1"/>
  <c r="R202" i="1" s="1"/>
  <c r="P202" i="1"/>
  <c r="T654" i="1"/>
  <c r="S654" i="1"/>
  <c r="Q654" i="1"/>
  <c r="R654" i="1" s="1"/>
  <c r="P654" i="1"/>
  <c r="T439" i="1"/>
  <c r="S439" i="1"/>
  <c r="Q439" i="1"/>
  <c r="R439" i="1" s="1"/>
  <c r="P439" i="1"/>
  <c r="T653" i="1"/>
  <c r="S653" i="1"/>
  <c r="Q653" i="1"/>
  <c r="R653" i="1" s="1"/>
  <c r="P653" i="1"/>
  <c r="T438" i="1"/>
  <c r="S438" i="1"/>
  <c r="Q438" i="1"/>
  <c r="R438" i="1" s="1"/>
  <c r="P438" i="1"/>
  <c r="T652" i="1"/>
  <c r="S652" i="1"/>
  <c r="Q652" i="1"/>
  <c r="R652" i="1" s="1"/>
  <c r="P652" i="1"/>
  <c r="T651" i="1"/>
  <c r="S651" i="1"/>
  <c r="Q651" i="1"/>
  <c r="R651" i="1" s="1"/>
  <c r="P651" i="1"/>
  <c r="T437" i="1"/>
  <c r="S437" i="1"/>
  <c r="Q437" i="1"/>
  <c r="R437" i="1" s="1"/>
  <c r="P437" i="1"/>
  <c r="T201" i="1"/>
  <c r="S201" i="1"/>
  <c r="Q201" i="1"/>
  <c r="R201" i="1" s="1"/>
  <c r="P201" i="1"/>
  <c r="T650" i="1"/>
  <c r="S650" i="1"/>
  <c r="Q650" i="1"/>
  <c r="R650" i="1" s="1"/>
  <c r="P650" i="1"/>
  <c r="T649" i="1"/>
  <c r="S649" i="1"/>
  <c r="Q649" i="1"/>
  <c r="R649" i="1" s="1"/>
  <c r="P649" i="1"/>
  <c r="T200" i="1"/>
  <c r="S200" i="1"/>
  <c r="Q200" i="1"/>
  <c r="R200" i="1" s="1"/>
  <c r="P200" i="1"/>
  <c r="T648" i="1"/>
  <c r="S648" i="1"/>
  <c r="Q648" i="1"/>
  <c r="R648" i="1" s="1"/>
  <c r="P648" i="1"/>
  <c r="T647" i="1"/>
  <c r="S647" i="1"/>
  <c r="Q647" i="1"/>
  <c r="R647" i="1" s="1"/>
  <c r="P647" i="1"/>
  <c r="T646" i="1"/>
  <c r="S646" i="1"/>
  <c r="Q646" i="1"/>
  <c r="R646" i="1" s="1"/>
  <c r="P646" i="1"/>
  <c r="T436" i="1"/>
  <c r="S436" i="1"/>
  <c r="Q436" i="1"/>
  <c r="R436" i="1" s="1"/>
  <c r="P436" i="1"/>
  <c r="T199" i="1"/>
  <c r="S199" i="1"/>
  <c r="Q199" i="1"/>
  <c r="R199" i="1" s="1"/>
  <c r="P199" i="1"/>
  <c r="T198" i="1"/>
  <c r="S198" i="1"/>
  <c r="Q198" i="1"/>
  <c r="R198" i="1" s="1"/>
  <c r="P198" i="1"/>
  <c r="T435" i="1"/>
  <c r="S435" i="1"/>
  <c r="Q435" i="1"/>
  <c r="R435" i="1" s="1"/>
  <c r="P435" i="1"/>
  <c r="T645" i="1"/>
  <c r="S645" i="1"/>
  <c r="Q645" i="1"/>
  <c r="R645" i="1" s="1"/>
  <c r="P645" i="1"/>
  <c r="T434" i="1"/>
  <c r="S434" i="1"/>
  <c r="Q434" i="1"/>
  <c r="R434" i="1" s="1"/>
  <c r="P434" i="1"/>
  <c r="T197" i="1"/>
  <c r="S197" i="1"/>
  <c r="Q197" i="1"/>
  <c r="R197" i="1" s="1"/>
  <c r="P197" i="1"/>
  <c r="T196" i="1"/>
  <c r="S196" i="1"/>
  <c r="Q196" i="1"/>
  <c r="R196" i="1" s="1"/>
  <c r="P196" i="1"/>
  <c r="T195" i="1"/>
  <c r="S195" i="1"/>
  <c r="Q195" i="1"/>
  <c r="R195" i="1" s="1"/>
  <c r="P195" i="1"/>
  <c r="T644" i="1"/>
  <c r="S644" i="1"/>
  <c r="Q644" i="1"/>
  <c r="R644" i="1" s="1"/>
  <c r="P644" i="1"/>
  <c r="T643" i="1"/>
  <c r="S643" i="1"/>
  <c r="Q643" i="1"/>
  <c r="R643" i="1" s="1"/>
  <c r="P643" i="1"/>
  <c r="T642" i="1"/>
  <c r="S642" i="1"/>
  <c r="Q642" i="1"/>
  <c r="R642" i="1" s="1"/>
  <c r="P642" i="1"/>
  <c r="T433" i="1"/>
  <c r="S433" i="1"/>
  <c r="Q433" i="1"/>
  <c r="R433" i="1" s="1"/>
  <c r="P433" i="1"/>
  <c r="T194" i="1"/>
  <c r="S194" i="1"/>
  <c r="Q194" i="1"/>
  <c r="R194" i="1" s="1"/>
  <c r="P194" i="1"/>
  <c r="T432" i="1"/>
  <c r="S432" i="1"/>
  <c r="Q432" i="1"/>
  <c r="R432" i="1" s="1"/>
  <c r="P432" i="1"/>
  <c r="T193" i="1"/>
  <c r="S193" i="1"/>
  <c r="Q193" i="1"/>
  <c r="R193" i="1" s="1"/>
  <c r="P193" i="1"/>
  <c r="T192" i="1"/>
  <c r="S192" i="1"/>
  <c r="Q192" i="1"/>
  <c r="R192" i="1" s="1"/>
  <c r="P192" i="1"/>
  <c r="T431" i="1"/>
  <c r="S431" i="1"/>
  <c r="Q431" i="1"/>
  <c r="R431" i="1" s="1"/>
  <c r="P431" i="1"/>
  <c r="T641" i="1"/>
  <c r="S641" i="1"/>
  <c r="Q641" i="1"/>
  <c r="R641" i="1" s="1"/>
  <c r="P641" i="1"/>
  <c r="T430" i="1"/>
  <c r="S430" i="1"/>
  <c r="Q430" i="1"/>
  <c r="R430" i="1" s="1"/>
  <c r="P430" i="1"/>
  <c r="T429" i="1"/>
  <c r="S429" i="1"/>
  <c r="Q429" i="1"/>
  <c r="R429" i="1" s="1"/>
  <c r="P429" i="1"/>
  <c r="T640" i="1"/>
  <c r="S640" i="1"/>
  <c r="Q640" i="1"/>
  <c r="R640" i="1" s="1"/>
  <c r="P640" i="1"/>
  <c r="T639" i="1"/>
  <c r="S639" i="1"/>
  <c r="Q639" i="1"/>
  <c r="R639" i="1" s="1"/>
  <c r="P639" i="1"/>
  <c r="T638" i="1"/>
  <c r="S638" i="1"/>
  <c r="Q638" i="1"/>
  <c r="R638" i="1" s="1"/>
  <c r="P638" i="1"/>
  <c r="T428" i="1"/>
  <c r="S428" i="1"/>
  <c r="Q428" i="1"/>
  <c r="R428" i="1" s="1"/>
  <c r="P428" i="1"/>
  <c r="T637" i="1"/>
  <c r="S637" i="1"/>
  <c r="Q637" i="1"/>
  <c r="R637" i="1" s="1"/>
  <c r="P637" i="1"/>
  <c r="T427" i="1"/>
  <c r="S427" i="1"/>
  <c r="Q427" i="1"/>
  <c r="R427" i="1" s="1"/>
  <c r="P427" i="1"/>
  <c r="T426" i="1"/>
  <c r="S426" i="1"/>
  <c r="Q426" i="1"/>
  <c r="R426" i="1" s="1"/>
  <c r="P426" i="1"/>
  <c r="T636" i="1"/>
  <c r="S636" i="1"/>
  <c r="Q636" i="1"/>
  <c r="R636" i="1" s="1"/>
  <c r="P636" i="1"/>
  <c r="T191" i="1"/>
  <c r="S191" i="1"/>
  <c r="Q191" i="1"/>
  <c r="R191" i="1" s="1"/>
  <c r="P191" i="1"/>
  <c r="T425" i="1"/>
  <c r="S425" i="1"/>
  <c r="Q425" i="1"/>
  <c r="R425" i="1" s="1"/>
  <c r="P425" i="1"/>
  <c r="T635" i="1"/>
  <c r="S635" i="1"/>
  <c r="Q635" i="1"/>
  <c r="R635" i="1" s="1"/>
  <c r="P635" i="1"/>
  <c r="T424" i="1"/>
  <c r="S424" i="1"/>
  <c r="Q424" i="1"/>
  <c r="R424" i="1" s="1"/>
  <c r="P424" i="1"/>
  <c r="T634" i="1"/>
  <c r="S634" i="1"/>
  <c r="Q634" i="1"/>
  <c r="R634" i="1" s="1"/>
  <c r="P634" i="1"/>
  <c r="T423" i="1"/>
  <c r="S423" i="1"/>
  <c r="Q423" i="1"/>
  <c r="R423" i="1" s="1"/>
  <c r="P423" i="1"/>
  <c r="T190" i="1"/>
  <c r="S190" i="1"/>
  <c r="Q190" i="1"/>
  <c r="R190" i="1" s="1"/>
  <c r="P190" i="1"/>
  <c r="T189" i="1"/>
  <c r="S189" i="1"/>
  <c r="Q189" i="1"/>
  <c r="R189" i="1" s="1"/>
  <c r="P189" i="1"/>
  <c r="T633" i="1"/>
  <c r="S633" i="1"/>
  <c r="Q633" i="1"/>
  <c r="R633" i="1" s="1"/>
  <c r="P633" i="1"/>
  <c r="T188" i="1"/>
  <c r="S188" i="1"/>
  <c r="Q188" i="1"/>
  <c r="R188" i="1" s="1"/>
  <c r="P188" i="1"/>
  <c r="T632" i="1"/>
  <c r="S632" i="1"/>
  <c r="Q632" i="1"/>
  <c r="R632" i="1" s="1"/>
  <c r="P632" i="1"/>
  <c r="T187" i="1"/>
  <c r="S187" i="1"/>
  <c r="Q187" i="1"/>
  <c r="R187" i="1" s="1"/>
  <c r="P187" i="1"/>
  <c r="T422" i="1"/>
  <c r="S422" i="1"/>
  <c r="Q422" i="1"/>
  <c r="R422" i="1" s="1"/>
  <c r="P422" i="1"/>
  <c r="T631" i="1"/>
  <c r="S631" i="1"/>
  <c r="Q631" i="1"/>
  <c r="R631" i="1" s="1"/>
  <c r="P631" i="1"/>
  <c r="T630" i="1"/>
  <c r="S630" i="1"/>
  <c r="Q630" i="1"/>
  <c r="R630" i="1" s="1"/>
  <c r="P630" i="1"/>
  <c r="T629" i="1"/>
  <c r="S629" i="1"/>
  <c r="Q629" i="1"/>
  <c r="R629" i="1" s="1"/>
  <c r="P629" i="1"/>
  <c r="T186" i="1"/>
  <c r="S186" i="1"/>
  <c r="Q186" i="1"/>
  <c r="R186" i="1" s="1"/>
  <c r="P186" i="1"/>
  <c r="T628" i="1"/>
  <c r="S628" i="1"/>
  <c r="Q628" i="1"/>
  <c r="R628" i="1" s="1"/>
  <c r="P628" i="1"/>
  <c r="T627" i="1"/>
  <c r="S627" i="1"/>
  <c r="Q627" i="1"/>
  <c r="R627" i="1" s="1"/>
  <c r="P627" i="1"/>
  <c r="T626" i="1"/>
  <c r="S626" i="1"/>
  <c r="Q626" i="1"/>
  <c r="R626" i="1" s="1"/>
  <c r="P626" i="1"/>
  <c r="T625" i="1"/>
  <c r="S625" i="1"/>
  <c r="Q625" i="1"/>
  <c r="R625" i="1" s="1"/>
  <c r="P625" i="1"/>
  <c r="T185" i="1"/>
  <c r="S185" i="1"/>
  <c r="Q185" i="1"/>
  <c r="R185" i="1" s="1"/>
  <c r="P185" i="1"/>
  <c r="T624" i="1"/>
  <c r="S624" i="1"/>
  <c r="Q624" i="1"/>
  <c r="R624" i="1" s="1"/>
  <c r="P624" i="1"/>
  <c r="T623" i="1"/>
  <c r="S623" i="1"/>
  <c r="Q623" i="1"/>
  <c r="R623" i="1" s="1"/>
  <c r="P623" i="1"/>
  <c r="T622" i="1"/>
  <c r="S622" i="1"/>
  <c r="Q622" i="1"/>
  <c r="R622" i="1" s="1"/>
  <c r="P622" i="1"/>
  <c r="T421" i="1"/>
  <c r="S421" i="1"/>
  <c r="Q421" i="1"/>
  <c r="R421" i="1" s="1"/>
  <c r="P421" i="1"/>
  <c r="T184" i="1"/>
  <c r="S184" i="1"/>
  <c r="Q184" i="1"/>
  <c r="R184" i="1" s="1"/>
  <c r="P184" i="1"/>
  <c r="T183" i="1"/>
  <c r="S183" i="1"/>
  <c r="Q183" i="1"/>
  <c r="R183" i="1" s="1"/>
  <c r="P183" i="1"/>
  <c r="T621" i="1"/>
  <c r="S621" i="1"/>
  <c r="Q621" i="1"/>
  <c r="R621" i="1" s="1"/>
  <c r="P621" i="1"/>
  <c r="T620" i="1"/>
  <c r="S620" i="1"/>
  <c r="Q620" i="1"/>
  <c r="R620" i="1" s="1"/>
  <c r="P620" i="1"/>
  <c r="T249" i="1"/>
  <c r="S249" i="1"/>
  <c r="Q249" i="1"/>
  <c r="R249" i="1" s="1"/>
  <c r="P249" i="1"/>
  <c r="T619" i="1"/>
  <c r="S619" i="1"/>
  <c r="Q619" i="1"/>
  <c r="R619" i="1" s="1"/>
  <c r="P619" i="1"/>
  <c r="T182" i="1"/>
  <c r="S182" i="1"/>
  <c r="Q182" i="1"/>
  <c r="R182" i="1" s="1"/>
  <c r="P182" i="1"/>
  <c r="T420" i="1"/>
  <c r="S420" i="1"/>
  <c r="Q420" i="1"/>
  <c r="R420" i="1" s="1"/>
  <c r="P420" i="1"/>
  <c r="T618" i="1"/>
  <c r="S618" i="1"/>
  <c r="Q618" i="1"/>
  <c r="R618" i="1" s="1"/>
  <c r="P618" i="1"/>
  <c r="T419" i="1"/>
  <c r="S419" i="1"/>
  <c r="Q419" i="1"/>
  <c r="R419" i="1" s="1"/>
  <c r="P419" i="1"/>
  <c r="T418" i="1"/>
  <c r="S418" i="1"/>
  <c r="Q418" i="1"/>
  <c r="R418" i="1" s="1"/>
  <c r="P418" i="1"/>
  <c r="T417" i="1"/>
  <c r="S417" i="1"/>
  <c r="Q417" i="1"/>
  <c r="R417" i="1" s="1"/>
  <c r="P417" i="1"/>
  <c r="T416" i="1"/>
  <c r="S416" i="1"/>
  <c r="Q416" i="1"/>
  <c r="R416" i="1" s="1"/>
  <c r="P416" i="1"/>
  <c r="T181" i="1"/>
  <c r="S181" i="1"/>
  <c r="Q181" i="1"/>
  <c r="R181" i="1" s="1"/>
  <c r="P181" i="1"/>
  <c r="T617" i="1"/>
  <c r="S617" i="1"/>
  <c r="Q617" i="1"/>
  <c r="R617" i="1" s="1"/>
  <c r="P617" i="1"/>
  <c r="T180" i="1"/>
  <c r="S180" i="1"/>
  <c r="Q180" i="1"/>
  <c r="R180" i="1" s="1"/>
  <c r="P180" i="1"/>
  <c r="T179" i="1"/>
  <c r="S179" i="1"/>
  <c r="Q179" i="1"/>
  <c r="R179" i="1" s="1"/>
  <c r="P179" i="1"/>
  <c r="T248" i="1"/>
  <c r="S248" i="1"/>
  <c r="Q248" i="1"/>
  <c r="R248" i="1" s="1"/>
  <c r="P248" i="1"/>
  <c r="T178" i="1"/>
  <c r="S178" i="1"/>
  <c r="Q178" i="1"/>
  <c r="R178" i="1" s="1"/>
  <c r="P178" i="1"/>
  <c r="T415" i="1"/>
  <c r="S415" i="1"/>
  <c r="Q415" i="1"/>
  <c r="R415" i="1" s="1"/>
  <c r="P415" i="1"/>
  <c r="T414" i="1"/>
  <c r="S414" i="1"/>
  <c r="Q414" i="1"/>
  <c r="R414" i="1" s="1"/>
  <c r="P414" i="1"/>
  <c r="T413" i="1"/>
  <c r="S413" i="1"/>
  <c r="Q413" i="1"/>
  <c r="R413" i="1" s="1"/>
  <c r="P413" i="1"/>
  <c r="T177" i="1"/>
  <c r="S177" i="1"/>
  <c r="Q177" i="1"/>
  <c r="R177" i="1" s="1"/>
  <c r="P177" i="1"/>
  <c r="T616" i="1"/>
  <c r="S616" i="1"/>
  <c r="Q616" i="1"/>
  <c r="R616" i="1" s="1"/>
  <c r="P616" i="1"/>
  <c r="T176" i="1"/>
  <c r="S176" i="1"/>
  <c r="Q176" i="1"/>
  <c r="R176" i="1" s="1"/>
  <c r="P176" i="1"/>
  <c r="T615" i="1"/>
  <c r="S615" i="1"/>
  <c r="Q615" i="1"/>
  <c r="R615" i="1" s="1"/>
  <c r="P615" i="1"/>
  <c r="T412" i="1"/>
  <c r="S412" i="1"/>
  <c r="Q412" i="1"/>
  <c r="R412" i="1" s="1"/>
  <c r="P412" i="1"/>
  <c r="T175" i="1"/>
  <c r="S175" i="1"/>
  <c r="Q175" i="1"/>
  <c r="R175" i="1" s="1"/>
  <c r="P175" i="1"/>
  <c r="T614" i="1"/>
  <c r="S614" i="1"/>
  <c r="Q614" i="1"/>
  <c r="R614" i="1" s="1"/>
  <c r="P614" i="1"/>
  <c r="T411" i="1"/>
  <c r="S411" i="1"/>
  <c r="Q411" i="1"/>
  <c r="R411" i="1" s="1"/>
  <c r="P411" i="1"/>
  <c r="T174" i="1"/>
  <c r="S174" i="1"/>
  <c r="Q174" i="1"/>
  <c r="R174" i="1" s="1"/>
  <c r="P174" i="1"/>
  <c r="T410" i="1"/>
  <c r="S410" i="1"/>
  <c r="Q410" i="1"/>
  <c r="R410" i="1" s="1"/>
  <c r="P410" i="1"/>
  <c r="T613" i="1"/>
  <c r="S613" i="1"/>
  <c r="Q613" i="1"/>
  <c r="R613" i="1" s="1"/>
  <c r="P613" i="1"/>
  <c r="T612" i="1"/>
  <c r="S612" i="1"/>
  <c r="Q612" i="1"/>
  <c r="R612" i="1" s="1"/>
  <c r="P612" i="1"/>
  <c r="T173" i="1"/>
  <c r="S173" i="1"/>
  <c r="Q173" i="1"/>
  <c r="R173" i="1" s="1"/>
  <c r="P173" i="1"/>
  <c r="T611" i="1"/>
  <c r="S611" i="1"/>
  <c r="Q611" i="1"/>
  <c r="R611" i="1" s="1"/>
  <c r="P611" i="1"/>
  <c r="T409" i="1"/>
  <c r="S409" i="1"/>
  <c r="Q409" i="1"/>
  <c r="R409" i="1" s="1"/>
  <c r="P409" i="1"/>
  <c r="T408" i="1"/>
  <c r="S408" i="1"/>
  <c r="Q408" i="1"/>
  <c r="R408" i="1" s="1"/>
  <c r="P408" i="1"/>
  <c r="T172" i="1"/>
  <c r="S172" i="1"/>
  <c r="Q172" i="1"/>
  <c r="R172" i="1" s="1"/>
  <c r="P172" i="1"/>
  <c r="T171" i="1"/>
  <c r="S171" i="1"/>
  <c r="Q171" i="1"/>
  <c r="R171" i="1" s="1"/>
  <c r="P171" i="1"/>
  <c r="T170" i="1"/>
  <c r="S170" i="1"/>
  <c r="Q170" i="1"/>
  <c r="R170" i="1" s="1"/>
  <c r="P170" i="1"/>
  <c r="T610" i="1"/>
  <c r="S610" i="1"/>
  <c r="Q610" i="1"/>
  <c r="R610" i="1" s="1"/>
  <c r="P610" i="1"/>
  <c r="T609" i="1"/>
  <c r="S609" i="1"/>
  <c r="Q609" i="1"/>
  <c r="R609" i="1" s="1"/>
  <c r="P609" i="1"/>
  <c r="T608" i="1"/>
  <c r="S608" i="1"/>
  <c r="Q608" i="1"/>
  <c r="R608" i="1" s="1"/>
  <c r="P608" i="1"/>
  <c r="T407" i="1"/>
  <c r="S407" i="1"/>
  <c r="Q407" i="1"/>
  <c r="R407" i="1" s="1"/>
  <c r="P407" i="1"/>
  <c r="T607" i="1"/>
  <c r="S607" i="1"/>
  <c r="Q607" i="1"/>
  <c r="R607" i="1" s="1"/>
  <c r="P607" i="1"/>
  <c r="T169" i="1"/>
  <c r="S169" i="1"/>
  <c r="Q169" i="1"/>
  <c r="R169" i="1" s="1"/>
  <c r="P169" i="1"/>
  <c r="T168" i="1"/>
  <c r="S168" i="1"/>
  <c r="Q168" i="1"/>
  <c r="R168" i="1" s="1"/>
  <c r="P168" i="1"/>
  <c r="T167" i="1"/>
  <c r="S167" i="1"/>
  <c r="Q167" i="1"/>
  <c r="R167" i="1" s="1"/>
  <c r="P167" i="1"/>
  <c r="T606" i="1"/>
  <c r="S606" i="1"/>
  <c r="Q606" i="1"/>
  <c r="R606" i="1" s="1"/>
  <c r="P606" i="1"/>
  <c r="T166" i="1"/>
  <c r="S166" i="1"/>
  <c r="Q166" i="1"/>
  <c r="R166" i="1" s="1"/>
  <c r="P166" i="1"/>
  <c r="T605" i="1"/>
  <c r="S605" i="1"/>
  <c r="Q605" i="1"/>
  <c r="R605" i="1" s="1"/>
  <c r="P605" i="1"/>
  <c r="T604" i="1"/>
  <c r="S604" i="1"/>
  <c r="Q604" i="1"/>
  <c r="R604" i="1" s="1"/>
  <c r="P604" i="1"/>
  <c r="T603" i="1"/>
  <c r="S603" i="1"/>
  <c r="Q603" i="1"/>
  <c r="R603" i="1" s="1"/>
  <c r="P603" i="1"/>
  <c r="T602" i="1"/>
  <c r="S602" i="1"/>
  <c r="Q602" i="1"/>
  <c r="R602" i="1" s="1"/>
  <c r="P602" i="1"/>
  <c r="T406" i="1"/>
  <c r="S406" i="1"/>
  <c r="Q406" i="1"/>
  <c r="R406" i="1" s="1"/>
  <c r="P406" i="1"/>
  <c r="T405" i="1"/>
  <c r="S405" i="1"/>
  <c r="Q405" i="1"/>
  <c r="R405" i="1" s="1"/>
  <c r="P405" i="1"/>
  <c r="T247" i="1"/>
  <c r="S247" i="1"/>
  <c r="Q247" i="1"/>
  <c r="R247" i="1" s="1"/>
  <c r="P247" i="1"/>
  <c r="T601" i="1"/>
  <c r="S601" i="1"/>
  <c r="Q601" i="1"/>
  <c r="R601" i="1" s="1"/>
  <c r="P601" i="1"/>
  <c r="T165" i="1"/>
  <c r="S165" i="1"/>
  <c r="Q165" i="1"/>
  <c r="R165" i="1" s="1"/>
  <c r="P165" i="1"/>
  <c r="T404" i="1"/>
  <c r="S404" i="1"/>
  <c r="Q404" i="1"/>
  <c r="R404" i="1" s="1"/>
  <c r="P404" i="1"/>
  <c r="T600" i="1"/>
  <c r="S600" i="1"/>
  <c r="Q600" i="1"/>
  <c r="R600" i="1" s="1"/>
  <c r="P600" i="1"/>
  <c r="T599" i="1"/>
  <c r="S599" i="1"/>
  <c r="Q599" i="1"/>
  <c r="R599" i="1" s="1"/>
  <c r="P599" i="1"/>
  <c r="T403" i="1"/>
  <c r="S403" i="1"/>
  <c r="Q403" i="1"/>
  <c r="R403" i="1" s="1"/>
  <c r="P403" i="1"/>
  <c r="T402" i="1"/>
  <c r="S402" i="1"/>
  <c r="Q402" i="1"/>
  <c r="R402" i="1" s="1"/>
  <c r="P402" i="1"/>
  <c r="T401" i="1"/>
  <c r="S401" i="1"/>
  <c r="Q401" i="1"/>
  <c r="R401" i="1" s="1"/>
  <c r="P401" i="1"/>
  <c r="T164" i="1"/>
  <c r="S164" i="1"/>
  <c r="Q164" i="1"/>
  <c r="R164" i="1" s="1"/>
  <c r="P164" i="1"/>
  <c r="T163" i="1"/>
  <c r="S163" i="1"/>
  <c r="Q163" i="1"/>
  <c r="R163" i="1" s="1"/>
  <c r="P163" i="1"/>
  <c r="T162" i="1"/>
  <c r="S162" i="1"/>
  <c r="Q162" i="1"/>
  <c r="R162" i="1" s="1"/>
  <c r="P162" i="1"/>
  <c r="T400" i="1"/>
  <c r="S400" i="1"/>
  <c r="Q400" i="1"/>
  <c r="R400" i="1" s="1"/>
  <c r="P400" i="1"/>
  <c r="T161" i="1"/>
  <c r="S161" i="1"/>
  <c r="Q161" i="1"/>
  <c r="R161" i="1" s="1"/>
  <c r="P161" i="1"/>
  <c r="T598" i="1"/>
  <c r="S598" i="1"/>
  <c r="Q598" i="1"/>
  <c r="R598" i="1" s="1"/>
  <c r="P598" i="1"/>
  <c r="T246" i="1"/>
  <c r="S246" i="1"/>
  <c r="Q246" i="1"/>
  <c r="R246" i="1" s="1"/>
  <c r="P246" i="1"/>
  <c r="T597" i="1"/>
  <c r="S597" i="1"/>
  <c r="Q597" i="1"/>
  <c r="R597" i="1" s="1"/>
  <c r="P597" i="1"/>
  <c r="T245" i="1"/>
  <c r="S245" i="1"/>
  <c r="Q245" i="1"/>
  <c r="R245" i="1" s="1"/>
  <c r="P245" i="1"/>
  <c r="T244" i="1"/>
  <c r="S244" i="1"/>
  <c r="Q244" i="1"/>
  <c r="R244" i="1" s="1"/>
  <c r="P244" i="1"/>
  <c r="T596" i="1"/>
  <c r="S596" i="1"/>
  <c r="Q596" i="1"/>
  <c r="R596" i="1" s="1"/>
  <c r="P596" i="1"/>
  <c r="T595" i="1"/>
  <c r="S595" i="1"/>
  <c r="Q595" i="1"/>
  <c r="R595" i="1" s="1"/>
  <c r="P595" i="1"/>
  <c r="T594" i="1"/>
  <c r="S594" i="1"/>
  <c r="Q594" i="1"/>
  <c r="R594" i="1" s="1"/>
  <c r="P594" i="1"/>
  <c r="T399" i="1"/>
  <c r="S399" i="1"/>
  <c r="Q399" i="1"/>
  <c r="R399" i="1" s="1"/>
  <c r="P399" i="1"/>
  <c r="T243" i="1"/>
  <c r="S243" i="1"/>
  <c r="Q243" i="1"/>
  <c r="R243" i="1" s="1"/>
  <c r="P243" i="1"/>
  <c r="T242" i="1"/>
  <c r="S242" i="1"/>
  <c r="Q242" i="1"/>
  <c r="R242" i="1" s="1"/>
  <c r="P242" i="1"/>
  <c r="T398" i="1"/>
  <c r="S398" i="1"/>
  <c r="Q398" i="1"/>
  <c r="R398" i="1" s="1"/>
  <c r="P398" i="1"/>
  <c r="T397" i="1"/>
  <c r="S397" i="1"/>
  <c r="Q397" i="1"/>
  <c r="R397" i="1" s="1"/>
  <c r="P397" i="1"/>
  <c r="T160" i="1"/>
  <c r="S160" i="1"/>
  <c r="Q160" i="1"/>
  <c r="R160" i="1" s="1"/>
  <c r="P160" i="1"/>
  <c r="T593" i="1"/>
  <c r="S593" i="1"/>
  <c r="Q593" i="1"/>
  <c r="R593" i="1" s="1"/>
  <c r="P593" i="1"/>
  <c r="T396" i="1"/>
  <c r="S396" i="1"/>
  <c r="Q396" i="1"/>
  <c r="R396" i="1" s="1"/>
  <c r="P396" i="1"/>
  <c r="T241" i="1"/>
  <c r="S241" i="1"/>
  <c r="Q241" i="1"/>
  <c r="R241" i="1" s="1"/>
  <c r="P241" i="1"/>
  <c r="T240" i="1"/>
  <c r="S240" i="1"/>
  <c r="Q240" i="1"/>
  <c r="R240" i="1" s="1"/>
  <c r="P240" i="1"/>
  <c r="T239" i="1"/>
  <c r="S239" i="1"/>
  <c r="Q239" i="1"/>
  <c r="R239" i="1" s="1"/>
  <c r="P239" i="1"/>
  <c r="T238" i="1"/>
  <c r="S238" i="1"/>
  <c r="Q238" i="1"/>
  <c r="R238" i="1" s="1"/>
  <c r="P238" i="1"/>
  <c r="T237" i="1"/>
  <c r="S237" i="1"/>
  <c r="Q237" i="1"/>
  <c r="R237" i="1" s="1"/>
  <c r="P237" i="1"/>
  <c r="T236" i="1"/>
  <c r="S236" i="1"/>
  <c r="Q236" i="1"/>
  <c r="R236" i="1" s="1"/>
  <c r="P236" i="1"/>
  <c r="T235" i="1"/>
  <c r="S235" i="1"/>
  <c r="Q235" i="1"/>
  <c r="R235" i="1" s="1"/>
  <c r="P235" i="1"/>
  <c r="T234" i="1"/>
  <c r="S234" i="1"/>
  <c r="Q234" i="1"/>
  <c r="R234" i="1" s="1"/>
  <c r="P234" i="1"/>
  <c r="T233" i="1"/>
  <c r="S233" i="1"/>
  <c r="Q233" i="1"/>
  <c r="R233" i="1" s="1"/>
  <c r="P233" i="1"/>
  <c r="T232" i="1"/>
  <c r="S232" i="1"/>
  <c r="Q232" i="1"/>
  <c r="R232" i="1" s="1"/>
  <c r="P232" i="1"/>
  <c r="T231" i="1"/>
  <c r="S231" i="1"/>
  <c r="Q231" i="1"/>
  <c r="R231" i="1" s="1"/>
  <c r="P231" i="1"/>
  <c r="T592" i="1"/>
  <c r="S592" i="1"/>
  <c r="Q592" i="1"/>
  <c r="R592" i="1" s="1"/>
  <c r="P592" i="1"/>
  <c r="T591" i="1"/>
  <c r="S591" i="1"/>
  <c r="Q591" i="1"/>
  <c r="R591" i="1" s="1"/>
  <c r="P591" i="1"/>
  <c r="T395" i="1"/>
  <c r="S395" i="1"/>
  <c r="Q395" i="1"/>
  <c r="R395" i="1" s="1"/>
  <c r="P395" i="1"/>
  <c r="T159" i="1"/>
  <c r="S159" i="1"/>
  <c r="Q159" i="1"/>
  <c r="R159" i="1" s="1"/>
  <c r="P159" i="1"/>
  <c r="T158" i="1"/>
  <c r="S158" i="1"/>
  <c r="Q158" i="1"/>
  <c r="R158" i="1" s="1"/>
  <c r="P158" i="1"/>
  <c r="T394" i="1"/>
  <c r="S394" i="1"/>
  <c r="Q394" i="1"/>
  <c r="R394" i="1" s="1"/>
  <c r="P394" i="1"/>
  <c r="T393" i="1"/>
  <c r="S393" i="1"/>
  <c r="Q393" i="1"/>
  <c r="R393" i="1" s="1"/>
  <c r="P393" i="1"/>
  <c r="T590" i="1"/>
  <c r="S590" i="1"/>
  <c r="Q590" i="1"/>
  <c r="R590" i="1" s="1"/>
  <c r="P590" i="1"/>
  <c r="T157" i="1"/>
  <c r="S157" i="1"/>
  <c r="Q157" i="1"/>
  <c r="R157" i="1" s="1"/>
  <c r="P157" i="1"/>
  <c r="T392" i="1"/>
  <c r="S392" i="1"/>
  <c r="Q392" i="1"/>
  <c r="R392" i="1" s="1"/>
  <c r="P392" i="1"/>
  <c r="T156" i="1"/>
  <c r="S156" i="1"/>
  <c r="Q156" i="1"/>
  <c r="R156" i="1" s="1"/>
  <c r="P156" i="1"/>
  <c r="T589" i="1"/>
  <c r="S589" i="1"/>
  <c r="Q589" i="1"/>
  <c r="R589" i="1" s="1"/>
  <c r="P589" i="1"/>
  <c r="T588" i="1"/>
  <c r="S588" i="1"/>
  <c r="Q588" i="1"/>
  <c r="R588" i="1" s="1"/>
  <c r="P588" i="1"/>
  <c r="T587" i="1"/>
  <c r="S587" i="1"/>
  <c r="Q587" i="1"/>
  <c r="R587" i="1" s="1"/>
  <c r="P587" i="1"/>
  <c r="T391" i="1"/>
  <c r="S391" i="1"/>
  <c r="Q391" i="1"/>
  <c r="R391" i="1" s="1"/>
  <c r="P391" i="1"/>
  <c r="T390" i="1"/>
  <c r="S390" i="1"/>
  <c r="Q390" i="1"/>
  <c r="R390" i="1" s="1"/>
  <c r="P390" i="1"/>
  <c r="T389" i="1"/>
  <c r="S389" i="1"/>
  <c r="Q389" i="1"/>
  <c r="R389" i="1" s="1"/>
  <c r="P389" i="1"/>
  <c r="T586" i="1"/>
  <c r="S586" i="1"/>
  <c r="Q586" i="1"/>
  <c r="R586" i="1" s="1"/>
  <c r="P586" i="1"/>
  <c r="T155" i="1"/>
  <c r="S155" i="1"/>
  <c r="Q155" i="1"/>
  <c r="R155" i="1" s="1"/>
  <c r="P155" i="1"/>
  <c r="T388" i="1"/>
  <c r="S388" i="1"/>
  <c r="Q388" i="1"/>
  <c r="R388" i="1" s="1"/>
  <c r="P388" i="1"/>
  <c r="T585" i="1"/>
  <c r="S585" i="1"/>
  <c r="Q585" i="1"/>
  <c r="R585" i="1" s="1"/>
  <c r="P585" i="1"/>
  <c r="T154" i="1"/>
  <c r="S154" i="1"/>
  <c r="Q154" i="1"/>
  <c r="R154" i="1" s="1"/>
  <c r="P154" i="1"/>
  <c r="T584" i="1"/>
  <c r="S584" i="1"/>
  <c r="Q584" i="1"/>
  <c r="R584" i="1" s="1"/>
  <c r="P584" i="1"/>
  <c r="T387" i="1"/>
  <c r="S387" i="1"/>
  <c r="Q387" i="1"/>
  <c r="R387" i="1" s="1"/>
  <c r="P387" i="1"/>
  <c r="T583" i="1"/>
  <c r="S583" i="1"/>
  <c r="Q583" i="1"/>
  <c r="R583" i="1" s="1"/>
  <c r="P583" i="1"/>
  <c r="T153" i="1"/>
  <c r="S153" i="1"/>
  <c r="Q153" i="1"/>
  <c r="R153" i="1" s="1"/>
  <c r="P153" i="1"/>
  <c r="T152" i="1"/>
  <c r="S152" i="1"/>
  <c r="Q152" i="1"/>
  <c r="R152" i="1" s="1"/>
  <c r="P152" i="1"/>
  <c r="T151" i="1"/>
  <c r="S151" i="1"/>
  <c r="Q151" i="1"/>
  <c r="R151" i="1" s="1"/>
  <c r="P151" i="1"/>
  <c r="T150" i="1"/>
  <c r="S150" i="1"/>
  <c r="Q150" i="1"/>
  <c r="R150" i="1" s="1"/>
  <c r="P150" i="1"/>
  <c r="T582" i="1"/>
  <c r="S582" i="1"/>
  <c r="Q582" i="1"/>
  <c r="R582" i="1" s="1"/>
  <c r="P582" i="1"/>
  <c r="T149" i="1"/>
  <c r="S149" i="1"/>
  <c r="Q149" i="1"/>
  <c r="R149" i="1" s="1"/>
  <c r="P149" i="1"/>
  <c r="T581" i="1"/>
  <c r="S581" i="1"/>
  <c r="Q581" i="1"/>
  <c r="R581" i="1" s="1"/>
  <c r="P581" i="1"/>
  <c r="T580" i="1"/>
  <c r="S580" i="1"/>
  <c r="Q580" i="1"/>
  <c r="R580" i="1" s="1"/>
  <c r="P580" i="1"/>
  <c r="T386" i="1"/>
  <c r="S386" i="1"/>
  <c r="Q386" i="1"/>
  <c r="R386" i="1" s="1"/>
  <c r="P386" i="1"/>
  <c r="T385" i="1"/>
  <c r="S385" i="1"/>
  <c r="Q385" i="1"/>
  <c r="R385" i="1" s="1"/>
  <c r="P385" i="1"/>
  <c r="T384" i="1"/>
  <c r="S384" i="1"/>
  <c r="Q384" i="1"/>
  <c r="R384" i="1" s="1"/>
  <c r="P384" i="1"/>
  <c r="T579" i="1"/>
  <c r="S579" i="1"/>
  <c r="Q579" i="1"/>
  <c r="R579" i="1" s="1"/>
  <c r="P579" i="1"/>
  <c r="T383" i="1"/>
  <c r="S383" i="1"/>
  <c r="Q383" i="1"/>
  <c r="R383" i="1" s="1"/>
  <c r="P383" i="1"/>
  <c r="T578" i="1"/>
  <c r="S578" i="1"/>
  <c r="Q578" i="1"/>
  <c r="R578" i="1" s="1"/>
  <c r="P578" i="1"/>
  <c r="T382" i="1"/>
  <c r="S382" i="1"/>
  <c r="Q382" i="1"/>
  <c r="R382" i="1" s="1"/>
  <c r="P382" i="1"/>
  <c r="T577" i="1"/>
  <c r="S577" i="1"/>
  <c r="Q577" i="1"/>
  <c r="R577" i="1" s="1"/>
  <c r="P577" i="1"/>
  <c r="T381" i="1"/>
  <c r="S381" i="1"/>
  <c r="Q381" i="1"/>
  <c r="R381" i="1" s="1"/>
  <c r="P381" i="1"/>
  <c r="T380" i="1"/>
  <c r="S380" i="1"/>
  <c r="Q380" i="1"/>
  <c r="R380" i="1" s="1"/>
  <c r="P380" i="1"/>
  <c r="T379" i="1"/>
  <c r="S379" i="1"/>
  <c r="Q379" i="1"/>
  <c r="R379" i="1" s="1"/>
  <c r="P379" i="1"/>
  <c r="T378" i="1"/>
  <c r="S378" i="1"/>
  <c r="Q378" i="1"/>
  <c r="R378" i="1" s="1"/>
  <c r="P378" i="1"/>
  <c r="T148" i="1"/>
  <c r="S148" i="1"/>
  <c r="Q148" i="1"/>
  <c r="R148" i="1" s="1"/>
  <c r="P148" i="1"/>
  <c r="T377" i="1"/>
  <c r="S377" i="1"/>
  <c r="Q377" i="1"/>
  <c r="R377" i="1" s="1"/>
  <c r="P377" i="1"/>
  <c r="T147" i="1"/>
  <c r="S147" i="1"/>
  <c r="Q147" i="1"/>
  <c r="R147" i="1" s="1"/>
  <c r="P147" i="1"/>
  <c r="T576" i="1"/>
  <c r="S576" i="1"/>
  <c r="Q576" i="1"/>
  <c r="R576" i="1" s="1"/>
  <c r="P576" i="1"/>
  <c r="T146" i="1"/>
  <c r="S146" i="1"/>
  <c r="Q146" i="1"/>
  <c r="R146" i="1" s="1"/>
  <c r="P146" i="1"/>
  <c r="T376" i="1"/>
  <c r="S376" i="1"/>
  <c r="Q376" i="1"/>
  <c r="R376" i="1" s="1"/>
  <c r="P376" i="1"/>
  <c r="T145" i="1"/>
  <c r="S145" i="1"/>
  <c r="Q145" i="1"/>
  <c r="R145" i="1" s="1"/>
  <c r="P145" i="1"/>
  <c r="T375" i="1"/>
  <c r="S375" i="1"/>
  <c r="Q375" i="1"/>
  <c r="R375" i="1" s="1"/>
  <c r="P375" i="1"/>
  <c r="T374" i="1"/>
  <c r="S374" i="1"/>
  <c r="Q374" i="1"/>
  <c r="R374" i="1" s="1"/>
  <c r="P374" i="1"/>
  <c r="T144" i="1"/>
  <c r="S144" i="1"/>
  <c r="Q144" i="1"/>
  <c r="R144" i="1" s="1"/>
  <c r="P144" i="1"/>
  <c r="T143" i="1"/>
  <c r="S143" i="1"/>
  <c r="Q143" i="1"/>
  <c r="R143" i="1" s="1"/>
  <c r="P143" i="1"/>
  <c r="T373" i="1"/>
  <c r="S373" i="1"/>
  <c r="Q373" i="1"/>
  <c r="R373" i="1" s="1"/>
  <c r="P373" i="1"/>
  <c r="T372" i="1"/>
  <c r="S372" i="1"/>
  <c r="Q372" i="1"/>
  <c r="R372" i="1" s="1"/>
  <c r="P372" i="1"/>
  <c r="T142" i="1"/>
  <c r="S142" i="1"/>
  <c r="Q142" i="1"/>
  <c r="R142" i="1" s="1"/>
  <c r="P142" i="1"/>
  <c r="T371" i="1"/>
  <c r="S371" i="1"/>
  <c r="Q371" i="1"/>
  <c r="R371" i="1" s="1"/>
  <c r="P371" i="1"/>
  <c r="T575" i="1"/>
  <c r="S575" i="1"/>
  <c r="Q575" i="1"/>
  <c r="R575" i="1" s="1"/>
  <c r="P575" i="1"/>
  <c r="T141" i="1"/>
  <c r="S141" i="1"/>
  <c r="Q141" i="1"/>
  <c r="R141" i="1" s="1"/>
  <c r="P141" i="1"/>
  <c r="T140" i="1"/>
  <c r="S140" i="1"/>
  <c r="Q140" i="1"/>
  <c r="R140" i="1" s="1"/>
  <c r="P140" i="1"/>
  <c r="T370" i="1"/>
  <c r="S370" i="1"/>
  <c r="Q370" i="1"/>
  <c r="R370" i="1" s="1"/>
  <c r="P370" i="1"/>
  <c r="T230" i="1"/>
  <c r="S230" i="1"/>
  <c r="Q230" i="1"/>
  <c r="R230" i="1" s="1"/>
  <c r="P230" i="1"/>
  <c r="T229" i="1"/>
  <c r="S229" i="1"/>
  <c r="Q229" i="1"/>
  <c r="R229" i="1" s="1"/>
  <c r="P229" i="1"/>
  <c r="T369" i="1"/>
  <c r="S369" i="1"/>
  <c r="Q369" i="1"/>
  <c r="R369" i="1" s="1"/>
  <c r="P369" i="1"/>
  <c r="T368" i="1"/>
  <c r="S368" i="1"/>
  <c r="Q368" i="1"/>
  <c r="R368" i="1" s="1"/>
  <c r="P368" i="1"/>
  <c r="T139" i="1"/>
  <c r="S139" i="1"/>
  <c r="Q139" i="1"/>
  <c r="R139" i="1" s="1"/>
  <c r="P139" i="1"/>
  <c r="T574" i="1"/>
  <c r="S574" i="1"/>
  <c r="Q574" i="1"/>
  <c r="R574" i="1" s="1"/>
  <c r="P574" i="1"/>
  <c r="T138" i="1"/>
  <c r="S138" i="1"/>
  <c r="Q138" i="1"/>
  <c r="R138" i="1" s="1"/>
  <c r="P138" i="1"/>
  <c r="T137" i="1"/>
  <c r="S137" i="1"/>
  <c r="Q137" i="1"/>
  <c r="R137" i="1" s="1"/>
  <c r="P137" i="1"/>
  <c r="T136" i="1"/>
  <c r="S136" i="1"/>
  <c r="Q136" i="1"/>
  <c r="R136" i="1" s="1"/>
  <c r="P136" i="1"/>
  <c r="T367" i="1"/>
  <c r="S367" i="1"/>
  <c r="Q367" i="1"/>
  <c r="R367" i="1" s="1"/>
  <c r="P367" i="1"/>
  <c r="T135" i="1"/>
  <c r="S135" i="1"/>
  <c r="Q135" i="1"/>
  <c r="R135" i="1" s="1"/>
  <c r="P135" i="1"/>
  <c r="T573" i="1"/>
  <c r="S573" i="1"/>
  <c r="Q573" i="1"/>
  <c r="R573" i="1" s="1"/>
  <c r="P573" i="1"/>
  <c r="T366" i="1"/>
  <c r="S366" i="1"/>
  <c r="Q366" i="1"/>
  <c r="R366" i="1" s="1"/>
  <c r="P366" i="1"/>
  <c r="T572" i="1"/>
  <c r="S572" i="1"/>
  <c r="Q572" i="1"/>
  <c r="R572" i="1" s="1"/>
  <c r="P572" i="1"/>
  <c r="T571" i="1"/>
  <c r="S571" i="1"/>
  <c r="Q571" i="1"/>
  <c r="R571" i="1" s="1"/>
  <c r="P571" i="1"/>
  <c r="T134" i="1"/>
  <c r="S134" i="1"/>
  <c r="Q134" i="1"/>
  <c r="R134" i="1" s="1"/>
  <c r="P134" i="1"/>
  <c r="T365" i="1"/>
  <c r="S365" i="1"/>
  <c r="Q365" i="1"/>
  <c r="R365" i="1" s="1"/>
  <c r="P365" i="1"/>
  <c r="T364" i="1"/>
  <c r="S364" i="1"/>
  <c r="Q364" i="1"/>
  <c r="R364" i="1" s="1"/>
  <c r="P364" i="1"/>
  <c r="T363" i="1"/>
  <c r="S363" i="1"/>
  <c r="Q363" i="1"/>
  <c r="R363" i="1" s="1"/>
  <c r="P363" i="1"/>
  <c r="T362" i="1"/>
  <c r="S362" i="1"/>
  <c r="Q362" i="1"/>
  <c r="R362" i="1" s="1"/>
  <c r="P362" i="1"/>
  <c r="T133" i="1"/>
  <c r="S133" i="1"/>
  <c r="Q133" i="1"/>
  <c r="R133" i="1" s="1"/>
  <c r="P133" i="1"/>
  <c r="T132" i="1"/>
  <c r="S132" i="1"/>
  <c r="Q132" i="1"/>
  <c r="R132" i="1" s="1"/>
  <c r="P132" i="1"/>
  <c r="T131" i="1"/>
  <c r="S131" i="1"/>
  <c r="Q131" i="1"/>
  <c r="R131" i="1" s="1"/>
  <c r="P131" i="1"/>
  <c r="T228" i="1"/>
  <c r="S228" i="1"/>
  <c r="Q228" i="1"/>
  <c r="R228" i="1" s="1"/>
  <c r="P228" i="1"/>
  <c r="T227" i="1"/>
  <c r="S227" i="1"/>
  <c r="Q227" i="1"/>
  <c r="R227" i="1" s="1"/>
  <c r="P227" i="1"/>
  <c r="T226" i="1"/>
  <c r="S226" i="1"/>
  <c r="Q226" i="1"/>
  <c r="R226" i="1" s="1"/>
  <c r="P226" i="1"/>
  <c r="T130" i="1"/>
  <c r="S130" i="1"/>
  <c r="Q130" i="1"/>
  <c r="R130" i="1" s="1"/>
  <c r="P130" i="1"/>
  <c r="T361" i="1"/>
  <c r="S361" i="1"/>
  <c r="Q361" i="1"/>
  <c r="R361" i="1" s="1"/>
  <c r="P361" i="1"/>
  <c r="T360" i="1"/>
  <c r="S360" i="1"/>
  <c r="Q360" i="1"/>
  <c r="R360" i="1" s="1"/>
  <c r="P360" i="1"/>
  <c r="T129" i="1"/>
  <c r="S129" i="1"/>
  <c r="Q129" i="1"/>
  <c r="R129" i="1" s="1"/>
  <c r="P129" i="1"/>
  <c r="T570" i="1"/>
  <c r="S570" i="1"/>
  <c r="Q570" i="1"/>
  <c r="R570" i="1" s="1"/>
  <c r="P570" i="1"/>
  <c r="T359" i="1"/>
  <c r="S359" i="1"/>
  <c r="Q359" i="1"/>
  <c r="R359" i="1" s="1"/>
  <c r="P359" i="1"/>
  <c r="T358" i="1"/>
  <c r="S358" i="1"/>
  <c r="Q358" i="1"/>
  <c r="R358" i="1" s="1"/>
  <c r="P358" i="1"/>
  <c r="T128" i="1"/>
  <c r="S128" i="1"/>
  <c r="Q128" i="1"/>
  <c r="R128" i="1" s="1"/>
  <c r="P128" i="1"/>
  <c r="T127" i="1"/>
  <c r="S127" i="1"/>
  <c r="Q127" i="1"/>
  <c r="R127" i="1" s="1"/>
  <c r="P127" i="1"/>
  <c r="T357" i="1"/>
  <c r="S357" i="1"/>
  <c r="Q357" i="1"/>
  <c r="R357" i="1" s="1"/>
  <c r="P357" i="1"/>
  <c r="T126" i="1"/>
  <c r="S126" i="1"/>
  <c r="Q126" i="1"/>
  <c r="R126" i="1" s="1"/>
  <c r="P126" i="1"/>
  <c r="T356" i="1"/>
  <c r="S356" i="1"/>
  <c r="Q356" i="1"/>
  <c r="R356" i="1" s="1"/>
  <c r="P356" i="1"/>
  <c r="T355" i="1"/>
  <c r="S355" i="1"/>
  <c r="Q355" i="1"/>
  <c r="R355" i="1" s="1"/>
  <c r="P355" i="1"/>
  <c r="T125" i="1"/>
  <c r="S125" i="1"/>
  <c r="Q125" i="1"/>
  <c r="R125" i="1" s="1"/>
  <c r="P125" i="1"/>
  <c r="T569" i="1"/>
  <c r="S569" i="1"/>
  <c r="Q569" i="1"/>
  <c r="R569" i="1" s="1"/>
  <c r="P569" i="1"/>
  <c r="T568" i="1"/>
  <c r="S568" i="1"/>
  <c r="Q568" i="1"/>
  <c r="R568" i="1" s="1"/>
  <c r="P568" i="1"/>
  <c r="T567" i="1"/>
  <c r="S567" i="1"/>
  <c r="Q567" i="1"/>
  <c r="R567" i="1" s="1"/>
  <c r="P567" i="1"/>
  <c r="T354" i="1"/>
  <c r="S354" i="1"/>
  <c r="Q354" i="1"/>
  <c r="R354" i="1" s="1"/>
  <c r="P354" i="1"/>
  <c r="T353" i="1"/>
  <c r="S353" i="1"/>
  <c r="Q353" i="1"/>
  <c r="R353" i="1" s="1"/>
  <c r="P353" i="1"/>
  <c r="T566" i="1"/>
  <c r="S566" i="1"/>
  <c r="Q566" i="1"/>
  <c r="R566" i="1" s="1"/>
  <c r="P566" i="1"/>
  <c r="T124" i="1"/>
  <c r="S124" i="1"/>
  <c r="Q124" i="1"/>
  <c r="R124" i="1" s="1"/>
  <c r="P124" i="1"/>
  <c r="T123" i="1"/>
  <c r="S123" i="1"/>
  <c r="Q123" i="1"/>
  <c r="R123" i="1" s="1"/>
  <c r="P123" i="1"/>
  <c r="T122" i="1"/>
  <c r="S122" i="1"/>
  <c r="Q122" i="1"/>
  <c r="R122" i="1" s="1"/>
  <c r="P122" i="1"/>
  <c r="T352" i="1"/>
  <c r="S352" i="1"/>
  <c r="Q352" i="1"/>
  <c r="R352" i="1" s="1"/>
  <c r="P352" i="1"/>
  <c r="T565" i="1"/>
  <c r="S565" i="1"/>
  <c r="Q565" i="1"/>
  <c r="R565" i="1" s="1"/>
  <c r="P565" i="1"/>
  <c r="T121" i="1"/>
  <c r="S121" i="1"/>
  <c r="Q121" i="1"/>
  <c r="R121" i="1" s="1"/>
  <c r="P121" i="1"/>
  <c r="T351" i="1"/>
  <c r="S351" i="1"/>
  <c r="Q351" i="1"/>
  <c r="R351" i="1" s="1"/>
  <c r="P351" i="1"/>
  <c r="T564" i="1"/>
  <c r="S564" i="1"/>
  <c r="Q564" i="1"/>
  <c r="R564" i="1" s="1"/>
  <c r="P564" i="1"/>
  <c r="T350" i="1"/>
  <c r="S350" i="1"/>
  <c r="Q350" i="1"/>
  <c r="R350" i="1" s="1"/>
  <c r="P350" i="1"/>
  <c r="T120" i="1"/>
  <c r="S120" i="1"/>
  <c r="Q120" i="1"/>
  <c r="R120" i="1" s="1"/>
  <c r="P120" i="1"/>
  <c r="T119" i="1"/>
  <c r="S119" i="1"/>
  <c r="Q119" i="1"/>
  <c r="R119" i="1" s="1"/>
  <c r="P119" i="1"/>
  <c r="T563" i="1"/>
  <c r="S563" i="1"/>
  <c r="Q563" i="1"/>
  <c r="R563" i="1" s="1"/>
  <c r="P563" i="1"/>
  <c r="T118" i="1"/>
  <c r="S118" i="1"/>
  <c r="Q118" i="1"/>
  <c r="R118" i="1" s="1"/>
  <c r="P118" i="1"/>
  <c r="T349" i="1"/>
  <c r="S349" i="1"/>
  <c r="Q349" i="1"/>
  <c r="R349" i="1" s="1"/>
  <c r="P349" i="1"/>
  <c r="T348" i="1"/>
  <c r="S348" i="1"/>
  <c r="Q348" i="1"/>
  <c r="R348" i="1" s="1"/>
  <c r="P348" i="1"/>
  <c r="T347" i="1"/>
  <c r="S347" i="1"/>
  <c r="Q347" i="1"/>
  <c r="R347" i="1" s="1"/>
  <c r="P347" i="1"/>
  <c r="T117" i="1"/>
  <c r="S117" i="1"/>
  <c r="Q117" i="1"/>
  <c r="R117" i="1" s="1"/>
  <c r="P117" i="1"/>
  <c r="T116" i="1"/>
  <c r="S116" i="1"/>
  <c r="Q116" i="1"/>
  <c r="R116" i="1" s="1"/>
  <c r="P116" i="1"/>
  <c r="T562" i="1"/>
  <c r="S562" i="1"/>
  <c r="Q562" i="1"/>
  <c r="R562" i="1" s="1"/>
  <c r="P562" i="1"/>
  <c r="T115" i="1"/>
  <c r="S115" i="1"/>
  <c r="Q115" i="1"/>
  <c r="R115" i="1" s="1"/>
  <c r="P115" i="1"/>
  <c r="T346" i="1"/>
  <c r="S346" i="1"/>
  <c r="Q346" i="1"/>
  <c r="R346" i="1" s="1"/>
  <c r="P346" i="1"/>
  <c r="T114" i="1"/>
  <c r="S114" i="1"/>
  <c r="Q114" i="1"/>
  <c r="R114" i="1" s="1"/>
  <c r="P114" i="1"/>
  <c r="T345" i="1"/>
  <c r="S345" i="1"/>
  <c r="Q345" i="1"/>
  <c r="R345" i="1" s="1"/>
  <c r="P345" i="1"/>
  <c r="T344" i="1"/>
  <c r="S344" i="1"/>
  <c r="Q344" i="1"/>
  <c r="R344" i="1" s="1"/>
  <c r="P344" i="1"/>
  <c r="T113" i="1"/>
  <c r="S113" i="1"/>
  <c r="Q113" i="1"/>
  <c r="R113" i="1" s="1"/>
  <c r="P113" i="1"/>
  <c r="T112" i="1"/>
  <c r="S112" i="1"/>
  <c r="Q112" i="1"/>
  <c r="R112" i="1" s="1"/>
  <c r="P112" i="1"/>
  <c r="T111" i="1"/>
  <c r="S111" i="1"/>
  <c r="Q111" i="1"/>
  <c r="R111" i="1" s="1"/>
  <c r="P111" i="1"/>
  <c r="T110" i="1"/>
  <c r="S110" i="1"/>
  <c r="Q110" i="1"/>
  <c r="R110" i="1" s="1"/>
  <c r="P110" i="1"/>
  <c r="T561" i="1"/>
  <c r="S561" i="1"/>
  <c r="Q561" i="1"/>
  <c r="R561" i="1" s="1"/>
  <c r="P561" i="1"/>
  <c r="T560" i="1"/>
  <c r="S560" i="1"/>
  <c r="Q560" i="1"/>
  <c r="R560" i="1" s="1"/>
  <c r="P560" i="1"/>
  <c r="T343" i="1"/>
  <c r="S343" i="1"/>
  <c r="Q343" i="1"/>
  <c r="R343" i="1" s="1"/>
  <c r="P343" i="1"/>
  <c r="T225" i="1"/>
  <c r="S225" i="1"/>
  <c r="Q225" i="1"/>
  <c r="R225" i="1" s="1"/>
  <c r="P225" i="1"/>
  <c r="T109" i="1"/>
  <c r="S109" i="1"/>
  <c r="Q109" i="1"/>
  <c r="R109" i="1" s="1"/>
  <c r="P109" i="1"/>
  <c r="T559" i="1"/>
  <c r="S559" i="1"/>
  <c r="Q559" i="1"/>
  <c r="R559" i="1" s="1"/>
  <c r="P559" i="1"/>
  <c r="T108" i="1"/>
  <c r="S108" i="1"/>
  <c r="Q108" i="1"/>
  <c r="R108" i="1" s="1"/>
  <c r="P108" i="1"/>
  <c r="T107" i="1"/>
  <c r="S107" i="1"/>
  <c r="Q107" i="1"/>
  <c r="R107" i="1" s="1"/>
  <c r="P107" i="1"/>
  <c r="T106" i="1"/>
  <c r="S106" i="1"/>
  <c r="Q106" i="1"/>
  <c r="R106" i="1" s="1"/>
  <c r="P106" i="1"/>
  <c r="T342" i="1"/>
  <c r="S342" i="1"/>
  <c r="Q342" i="1"/>
  <c r="R342" i="1" s="1"/>
  <c r="P342" i="1"/>
  <c r="T105" i="1"/>
  <c r="S105" i="1"/>
  <c r="Q105" i="1"/>
  <c r="R105" i="1" s="1"/>
  <c r="P105" i="1"/>
  <c r="T104" i="1"/>
  <c r="S104" i="1"/>
  <c r="Q104" i="1"/>
  <c r="R104" i="1" s="1"/>
  <c r="P104" i="1"/>
  <c r="T103" i="1"/>
  <c r="S103" i="1"/>
  <c r="Q103" i="1"/>
  <c r="R103" i="1" s="1"/>
  <c r="P103" i="1"/>
  <c r="T102" i="1"/>
  <c r="S102" i="1"/>
  <c r="Q102" i="1"/>
  <c r="R102" i="1" s="1"/>
  <c r="P102" i="1"/>
  <c r="T101" i="1"/>
  <c r="S101" i="1"/>
  <c r="Q101" i="1"/>
  <c r="R101" i="1" s="1"/>
  <c r="P101" i="1"/>
  <c r="T341" i="1"/>
  <c r="S341" i="1"/>
  <c r="Q341" i="1"/>
  <c r="R341" i="1" s="1"/>
  <c r="P341" i="1"/>
  <c r="T340" i="1"/>
  <c r="S340" i="1"/>
  <c r="Q340" i="1"/>
  <c r="R340" i="1" s="1"/>
  <c r="P340" i="1"/>
  <c r="T100" i="1"/>
  <c r="S100" i="1"/>
  <c r="Q100" i="1"/>
  <c r="R100" i="1" s="1"/>
  <c r="P100" i="1"/>
  <c r="T339" i="1"/>
  <c r="S339" i="1"/>
  <c r="Q339" i="1"/>
  <c r="R339" i="1" s="1"/>
  <c r="P339" i="1"/>
  <c r="T558" i="1"/>
  <c r="S558" i="1"/>
  <c r="Q558" i="1"/>
  <c r="R558" i="1" s="1"/>
  <c r="P558" i="1"/>
  <c r="T557" i="1"/>
  <c r="S557" i="1"/>
  <c r="Q557" i="1"/>
  <c r="R557" i="1" s="1"/>
  <c r="P557" i="1"/>
  <c r="T338" i="1"/>
  <c r="S338" i="1"/>
  <c r="Q338" i="1"/>
  <c r="R338" i="1" s="1"/>
  <c r="P338" i="1"/>
  <c r="T337" i="1"/>
  <c r="S337" i="1"/>
  <c r="Q337" i="1"/>
  <c r="R337" i="1" s="1"/>
  <c r="P337" i="1"/>
  <c r="T336" i="1"/>
  <c r="S336" i="1"/>
  <c r="Q336" i="1"/>
  <c r="R336" i="1" s="1"/>
  <c r="P336" i="1"/>
  <c r="T99" i="1"/>
  <c r="S99" i="1"/>
  <c r="Q99" i="1"/>
  <c r="R99" i="1" s="1"/>
  <c r="P99" i="1"/>
  <c r="T556" i="1"/>
  <c r="S556" i="1"/>
  <c r="Q556" i="1"/>
  <c r="R556" i="1" s="1"/>
  <c r="P556" i="1"/>
  <c r="T335" i="1"/>
  <c r="S335" i="1"/>
  <c r="Q335" i="1"/>
  <c r="R335" i="1" s="1"/>
  <c r="P335" i="1"/>
  <c r="T98" i="1"/>
  <c r="S98" i="1"/>
  <c r="Q98" i="1"/>
  <c r="R98" i="1" s="1"/>
  <c r="P98" i="1"/>
  <c r="T334" i="1"/>
  <c r="S334" i="1"/>
  <c r="Q334" i="1"/>
  <c r="R334" i="1" s="1"/>
  <c r="P334" i="1"/>
  <c r="T333" i="1"/>
  <c r="S333" i="1"/>
  <c r="Q333" i="1"/>
  <c r="R333" i="1" s="1"/>
  <c r="P333" i="1"/>
  <c r="T332" i="1"/>
  <c r="S332" i="1"/>
  <c r="Q332" i="1"/>
  <c r="R332" i="1" s="1"/>
  <c r="P332" i="1"/>
  <c r="T97" i="1"/>
  <c r="S97" i="1"/>
  <c r="Q97" i="1"/>
  <c r="R97" i="1" s="1"/>
  <c r="P97" i="1"/>
  <c r="T331" i="1"/>
  <c r="S331" i="1"/>
  <c r="Q331" i="1"/>
  <c r="R331" i="1" s="1"/>
  <c r="P331" i="1"/>
  <c r="T330" i="1"/>
  <c r="S330" i="1"/>
  <c r="Q330" i="1"/>
  <c r="R330" i="1" s="1"/>
  <c r="P330" i="1"/>
  <c r="T555" i="1"/>
  <c r="S555" i="1"/>
  <c r="Q555" i="1"/>
  <c r="R555" i="1" s="1"/>
  <c r="P555" i="1"/>
  <c r="T554" i="1"/>
  <c r="S554" i="1"/>
  <c r="Q554" i="1"/>
  <c r="R554" i="1" s="1"/>
  <c r="P554" i="1"/>
  <c r="T553" i="1"/>
  <c r="S553" i="1"/>
  <c r="Q553" i="1"/>
  <c r="R553" i="1" s="1"/>
  <c r="P553" i="1"/>
  <c r="H5" i="10" l="1"/>
  <c r="G5" i="10"/>
  <c r="F5" i="10"/>
  <c r="E5" i="10"/>
  <c r="H5" i="9"/>
  <c r="G5" i="9"/>
  <c r="F5" i="9"/>
  <c r="E5" i="9"/>
  <c r="H5" i="8"/>
  <c r="G5" i="8"/>
  <c r="F5" i="8"/>
  <c r="E5" i="8"/>
  <c r="AJ2" i="7" l="1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P469" i="1"/>
  <c r="P44" i="1"/>
  <c r="P3" i="1"/>
  <c r="P4" i="1"/>
  <c r="P455" i="1"/>
  <c r="P5" i="1"/>
  <c r="P456" i="1"/>
  <c r="P457" i="1"/>
  <c r="P454" i="1"/>
  <c r="P87" i="1"/>
  <c r="P252" i="1"/>
  <c r="P460" i="1"/>
  <c r="P6" i="1"/>
  <c r="P7" i="1"/>
  <c r="P461" i="1"/>
  <c r="P265" i="1"/>
  <c r="P17" i="1"/>
  <c r="P482" i="1"/>
  <c r="P516" i="1"/>
  <c r="P75" i="1"/>
  <c r="P324" i="1"/>
  <c r="P465" i="1"/>
  <c r="P256" i="1"/>
  <c r="P8" i="1"/>
  <c r="P9" i="1"/>
  <c r="P257" i="1"/>
  <c r="P466" i="1"/>
  <c r="P467" i="1"/>
  <c r="P258" i="1"/>
  <c r="P263" i="1"/>
  <c r="P260" i="1"/>
  <c r="P261" i="1"/>
  <c r="P453" i="1"/>
  <c r="P2" i="1"/>
  <c r="P463" i="1"/>
  <c r="P10" i="1"/>
  <c r="P11" i="1"/>
  <c r="P262" i="1"/>
  <c r="P470" i="1"/>
  <c r="P12" i="1"/>
  <c r="P471" i="1"/>
  <c r="P472" i="1"/>
  <c r="P474" i="1"/>
  <c r="P475" i="1"/>
  <c r="P476" i="1"/>
  <c r="P13" i="1"/>
  <c r="P266" i="1"/>
  <c r="P268" i="1"/>
  <c r="P18" i="1"/>
  <c r="P483" i="1"/>
  <c r="P269" i="1"/>
  <c r="P484" i="1"/>
  <c r="P43" i="1"/>
  <c r="P45" i="1"/>
  <c r="P66" i="1"/>
  <c r="P295" i="1"/>
  <c r="P296" i="1"/>
  <c r="P297" i="1"/>
  <c r="P76" i="1"/>
  <c r="P83" i="1"/>
  <c r="P301" i="1"/>
  <c r="P85" i="1"/>
  <c r="P523" i="1"/>
  <c r="P86" i="1"/>
  <c r="P302" i="1"/>
  <c r="P524" i="1"/>
  <c r="P223" i="1"/>
  <c r="P325" i="1"/>
  <c r="P270" i="1"/>
  <c r="P19" i="1"/>
  <c r="P487" i="1"/>
  <c r="P271" i="1"/>
  <c r="P488" i="1"/>
  <c r="P272" i="1"/>
  <c r="P489" i="1"/>
  <c r="P490" i="1"/>
  <c r="P491" i="1"/>
  <c r="P273" i="1"/>
  <c r="P264" i="1"/>
  <c r="P477" i="1"/>
  <c r="P492" i="1"/>
  <c r="P276" i="1"/>
  <c r="P277" i="1"/>
  <c r="P20" i="1"/>
  <c r="P278" i="1"/>
  <c r="P21" i="1"/>
  <c r="P22" i="1"/>
  <c r="P493" i="1"/>
  <c r="P494" i="1"/>
  <c r="P495" i="1"/>
  <c r="P254" i="1"/>
  <c r="P23" i="1"/>
  <c r="P24" i="1"/>
  <c r="P25" i="1"/>
  <c r="P26" i="1"/>
  <c r="P280" i="1"/>
  <c r="P281" i="1"/>
  <c r="P282" i="1"/>
  <c r="P496" i="1"/>
  <c r="P283" i="1"/>
  <c r="P284" i="1"/>
  <c r="P27" i="1"/>
  <c r="P497" i="1"/>
  <c r="P458" i="1"/>
  <c r="P485" i="1"/>
  <c r="P224" i="1"/>
  <c r="P498" i="1"/>
  <c r="P285" i="1"/>
  <c r="P31" i="1"/>
  <c r="P32" i="1"/>
  <c r="P33" i="1"/>
  <c r="P286" i="1"/>
  <c r="P486" i="1"/>
  <c r="P34" i="1"/>
  <c r="P35" i="1"/>
  <c r="P36" i="1"/>
  <c r="P37" i="1"/>
  <c r="P38" i="1"/>
  <c r="P39" i="1"/>
  <c r="P40" i="1"/>
  <c r="P28" i="1"/>
  <c r="P42" i="1"/>
  <c r="P499" i="1"/>
  <c r="P459" i="1"/>
  <c r="P478" i="1"/>
  <c r="P307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288" i="1"/>
  <c r="P61" i="1"/>
  <c r="P289" i="1"/>
  <c r="P500" i="1"/>
  <c r="P501" i="1"/>
  <c r="P62" i="1"/>
  <c r="P502" i="1"/>
  <c r="P503" i="1"/>
  <c r="P504" i="1"/>
  <c r="P63" i="1"/>
  <c r="P64" i="1"/>
  <c r="P468" i="1"/>
  <c r="P94" i="1"/>
  <c r="P290" i="1"/>
  <c r="P291" i="1"/>
  <c r="P67" i="1"/>
  <c r="P505" i="1"/>
  <c r="P506" i="1"/>
  <c r="P292" i="1"/>
  <c r="P507" i="1"/>
  <c r="P68" i="1"/>
  <c r="P508" i="1"/>
  <c r="P509" i="1"/>
  <c r="P510" i="1"/>
  <c r="P511" i="1"/>
  <c r="P293" i="1"/>
  <c r="P222" i="1"/>
  <c r="P69" i="1"/>
  <c r="P70" i="1"/>
  <c r="P71" i="1"/>
  <c r="P512" i="1"/>
  <c r="P294" i="1"/>
  <c r="P72" i="1"/>
  <c r="P73" i="1"/>
  <c r="P74" i="1"/>
  <c r="P513" i="1"/>
  <c r="P514" i="1"/>
  <c r="P515" i="1"/>
  <c r="P275" i="1"/>
  <c r="P255" i="1"/>
  <c r="P14" i="1"/>
  <c r="P15" i="1"/>
  <c r="P319" i="1"/>
  <c r="P536" i="1"/>
  <c r="P517" i="1"/>
  <c r="P77" i="1"/>
  <c r="P518" i="1"/>
  <c r="P78" i="1"/>
  <c r="P79" i="1"/>
  <c r="P298" i="1"/>
  <c r="P80" i="1"/>
  <c r="P519" i="1"/>
  <c r="P520" i="1"/>
  <c r="P521" i="1"/>
  <c r="P81" i="1"/>
  <c r="P299" i="1"/>
  <c r="P522" i="1"/>
  <c r="P82" i="1"/>
  <c r="P473" i="1"/>
  <c r="P84" i="1"/>
  <c r="P300" i="1"/>
  <c r="P462" i="1"/>
  <c r="P253" i="1"/>
  <c r="P464" i="1"/>
  <c r="P479" i="1"/>
  <c r="P267" i="1"/>
  <c r="P274" i="1"/>
  <c r="P29" i="1"/>
  <c r="P65" i="1"/>
  <c r="P303" i="1"/>
  <c r="P304" i="1"/>
  <c r="P305" i="1"/>
  <c r="P306" i="1"/>
  <c r="P322" i="1"/>
  <c r="P326" i="1"/>
  <c r="P308" i="1"/>
  <c r="P309" i="1"/>
  <c r="P310" i="1"/>
  <c r="P88" i="1"/>
  <c r="P311" i="1"/>
  <c r="P525" i="1"/>
  <c r="P526" i="1"/>
  <c r="P89" i="1"/>
  <c r="P312" i="1"/>
  <c r="P527" i="1"/>
  <c r="P528" i="1"/>
  <c r="P529" i="1"/>
  <c r="P530" i="1"/>
  <c r="P531" i="1"/>
  <c r="P532" i="1"/>
  <c r="P313" i="1"/>
  <c r="P314" i="1"/>
  <c r="P90" i="1"/>
  <c r="P533" i="1"/>
  <c r="P315" i="1"/>
  <c r="P91" i="1"/>
  <c r="P92" i="1"/>
  <c r="P534" i="1"/>
  <c r="P316" i="1"/>
  <c r="P535" i="1"/>
  <c r="P317" i="1"/>
  <c r="P318" i="1"/>
  <c r="P93" i="1"/>
  <c r="P480" i="1"/>
  <c r="P545" i="1"/>
  <c r="P550" i="1"/>
  <c r="P537" i="1"/>
  <c r="P538" i="1"/>
  <c r="P539" i="1"/>
  <c r="P540" i="1"/>
  <c r="P320" i="1"/>
  <c r="P321" i="1"/>
  <c r="P541" i="1"/>
  <c r="P542" i="1"/>
  <c r="P543" i="1"/>
  <c r="P544" i="1"/>
  <c r="P95" i="1"/>
  <c r="P16" i="1"/>
  <c r="P481" i="1"/>
  <c r="P30" i="1"/>
  <c r="P287" i="1"/>
  <c r="P41" i="1"/>
  <c r="P323" i="1"/>
  <c r="P546" i="1"/>
  <c r="P327" i="1"/>
  <c r="P96" i="1"/>
  <c r="P328" i="1"/>
  <c r="P547" i="1"/>
  <c r="P548" i="1"/>
  <c r="P549" i="1"/>
  <c r="P329" i="1"/>
  <c r="P279" i="1"/>
  <c r="P551" i="1"/>
  <c r="P552" i="1"/>
  <c r="P259" i="1"/>
  <c r="Q469" i="1"/>
  <c r="R469" i="1" s="1"/>
  <c r="Q44" i="1"/>
  <c r="R44" i="1" s="1"/>
  <c r="Q3" i="1"/>
  <c r="R3" i="1" s="1"/>
  <c r="Q4" i="1"/>
  <c r="R4" i="1" s="1"/>
  <c r="Q455" i="1"/>
  <c r="R455" i="1" s="1"/>
  <c r="Q5" i="1"/>
  <c r="R5" i="1" s="1"/>
  <c r="Q456" i="1"/>
  <c r="R456" i="1" s="1"/>
  <c r="Q457" i="1"/>
  <c r="R457" i="1" s="1"/>
  <c r="Q454" i="1"/>
  <c r="R454" i="1" s="1"/>
  <c r="Q87" i="1"/>
  <c r="R87" i="1" s="1"/>
  <c r="Q252" i="1"/>
  <c r="R252" i="1" s="1"/>
  <c r="Q460" i="1"/>
  <c r="R460" i="1" s="1"/>
  <c r="Q6" i="1"/>
  <c r="R6" i="1" s="1"/>
  <c r="Q7" i="1"/>
  <c r="R7" i="1" s="1"/>
  <c r="Q461" i="1"/>
  <c r="R461" i="1" s="1"/>
  <c r="Q265" i="1"/>
  <c r="R265" i="1" s="1"/>
  <c r="Q17" i="1"/>
  <c r="R17" i="1" s="1"/>
  <c r="Q482" i="1"/>
  <c r="R482" i="1" s="1"/>
  <c r="Q516" i="1"/>
  <c r="R516" i="1" s="1"/>
  <c r="Q75" i="1"/>
  <c r="R75" i="1" s="1"/>
  <c r="Q324" i="1"/>
  <c r="R324" i="1" s="1"/>
  <c r="Q465" i="1"/>
  <c r="R465" i="1" s="1"/>
  <c r="Q256" i="1"/>
  <c r="R256" i="1" s="1"/>
  <c r="Q8" i="1"/>
  <c r="R8" i="1" s="1"/>
  <c r="Q9" i="1"/>
  <c r="R9" i="1" s="1"/>
  <c r="Q257" i="1"/>
  <c r="R257" i="1" s="1"/>
  <c r="Q466" i="1"/>
  <c r="R466" i="1" s="1"/>
  <c r="Q467" i="1"/>
  <c r="R467" i="1" s="1"/>
  <c r="Q258" i="1"/>
  <c r="R258" i="1" s="1"/>
  <c r="Q263" i="1"/>
  <c r="R263" i="1" s="1"/>
  <c r="Q260" i="1"/>
  <c r="R260" i="1" s="1"/>
  <c r="Q261" i="1"/>
  <c r="R261" i="1" s="1"/>
  <c r="Q453" i="1"/>
  <c r="R453" i="1" s="1"/>
  <c r="Q2" i="1"/>
  <c r="R2" i="1" s="1"/>
  <c r="Q463" i="1"/>
  <c r="R463" i="1" s="1"/>
  <c r="Q10" i="1"/>
  <c r="R10" i="1" s="1"/>
  <c r="Q11" i="1"/>
  <c r="R11" i="1" s="1"/>
  <c r="Q262" i="1"/>
  <c r="R262" i="1" s="1"/>
  <c r="Q470" i="1"/>
  <c r="R470" i="1" s="1"/>
  <c r="Q12" i="1"/>
  <c r="R12" i="1" s="1"/>
  <c r="Q471" i="1"/>
  <c r="R471" i="1" s="1"/>
  <c r="Q472" i="1"/>
  <c r="R472" i="1" s="1"/>
  <c r="Q474" i="1"/>
  <c r="R474" i="1" s="1"/>
  <c r="Q475" i="1"/>
  <c r="R475" i="1" s="1"/>
  <c r="Q476" i="1"/>
  <c r="R476" i="1" s="1"/>
  <c r="Q13" i="1"/>
  <c r="R13" i="1" s="1"/>
  <c r="Q266" i="1"/>
  <c r="R266" i="1" s="1"/>
  <c r="Q268" i="1"/>
  <c r="R268" i="1" s="1"/>
  <c r="Q18" i="1"/>
  <c r="R18" i="1" s="1"/>
  <c r="Q483" i="1"/>
  <c r="R483" i="1" s="1"/>
  <c r="Q269" i="1"/>
  <c r="R269" i="1" s="1"/>
  <c r="Q484" i="1"/>
  <c r="R484" i="1" s="1"/>
  <c r="Q43" i="1"/>
  <c r="R43" i="1" s="1"/>
  <c r="Q45" i="1"/>
  <c r="R45" i="1" s="1"/>
  <c r="Q66" i="1"/>
  <c r="R66" i="1" s="1"/>
  <c r="Q295" i="1"/>
  <c r="R295" i="1" s="1"/>
  <c r="Q296" i="1"/>
  <c r="R296" i="1" s="1"/>
  <c r="Q297" i="1"/>
  <c r="R297" i="1" s="1"/>
  <c r="Q76" i="1"/>
  <c r="R76" i="1" s="1"/>
  <c r="Q83" i="1"/>
  <c r="R83" i="1" s="1"/>
  <c r="Q301" i="1"/>
  <c r="R301" i="1" s="1"/>
  <c r="Q85" i="1"/>
  <c r="R85" i="1" s="1"/>
  <c r="Q523" i="1"/>
  <c r="R523" i="1" s="1"/>
  <c r="Q86" i="1"/>
  <c r="R86" i="1" s="1"/>
  <c r="Q302" i="1"/>
  <c r="R302" i="1" s="1"/>
  <c r="Q524" i="1"/>
  <c r="R524" i="1" s="1"/>
  <c r="Q223" i="1"/>
  <c r="R223" i="1" s="1"/>
  <c r="Q325" i="1"/>
  <c r="R325" i="1" s="1"/>
  <c r="Q270" i="1"/>
  <c r="R270" i="1" s="1"/>
  <c r="Q19" i="1"/>
  <c r="R19" i="1" s="1"/>
  <c r="Q487" i="1"/>
  <c r="R487" i="1" s="1"/>
  <c r="Q271" i="1"/>
  <c r="R271" i="1" s="1"/>
  <c r="Q488" i="1"/>
  <c r="R488" i="1" s="1"/>
  <c r="Q272" i="1"/>
  <c r="R272" i="1" s="1"/>
  <c r="Q489" i="1"/>
  <c r="R489" i="1" s="1"/>
  <c r="Q490" i="1"/>
  <c r="R490" i="1" s="1"/>
  <c r="Q491" i="1"/>
  <c r="R491" i="1" s="1"/>
  <c r="Q273" i="1"/>
  <c r="R273" i="1" s="1"/>
  <c r="Q264" i="1"/>
  <c r="R264" i="1" s="1"/>
  <c r="Q477" i="1"/>
  <c r="R477" i="1" s="1"/>
  <c r="Q492" i="1"/>
  <c r="R492" i="1" s="1"/>
  <c r="Q276" i="1"/>
  <c r="R276" i="1" s="1"/>
  <c r="Q277" i="1"/>
  <c r="R277" i="1" s="1"/>
  <c r="Q20" i="1"/>
  <c r="R20" i="1" s="1"/>
  <c r="Q278" i="1"/>
  <c r="R278" i="1" s="1"/>
  <c r="Q21" i="1"/>
  <c r="R21" i="1" s="1"/>
  <c r="Q22" i="1"/>
  <c r="R22" i="1" s="1"/>
  <c r="Q493" i="1"/>
  <c r="R493" i="1" s="1"/>
  <c r="Q494" i="1"/>
  <c r="R494" i="1" s="1"/>
  <c r="Q495" i="1"/>
  <c r="R495" i="1" s="1"/>
  <c r="Q254" i="1"/>
  <c r="R254" i="1" s="1"/>
  <c r="Q23" i="1"/>
  <c r="R23" i="1" s="1"/>
  <c r="Q24" i="1"/>
  <c r="R24" i="1" s="1"/>
  <c r="Q25" i="1"/>
  <c r="R25" i="1" s="1"/>
  <c r="Q26" i="1"/>
  <c r="R26" i="1" s="1"/>
  <c r="Q280" i="1"/>
  <c r="R280" i="1" s="1"/>
  <c r="Q281" i="1"/>
  <c r="R281" i="1" s="1"/>
  <c r="Q282" i="1"/>
  <c r="R282" i="1" s="1"/>
  <c r="Q496" i="1"/>
  <c r="R496" i="1" s="1"/>
  <c r="Q283" i="1"/>
  <c r="R283" i="1" s="1"/>
  <c r="Q284" i="1"/>
  <c r="R284" i="1" s="1"/>
  <c r="Q27" i="1"/>
  <c r="R27" i="1" s="1"/>
  <c r="Q497" i="1"/>
  <c r="R497" i="1" s="1"/>
  <c r="Q458" i="1"/>
  <c r="R458" i="1" s="1"/>
  <c r="Q485" i="1"/>
  <c r="R485" i="1" s="1"/>
  <c r="Q224" i="1"/>
  <c r="R224" i="1" s="1"/>
  <c r="Q498" i="1"/>
  <c r="R498" i="1" s="1"/>
  <c r="Q285" i="1"/>
  <c r="R285" i="1" s="1"/>
  <c r="Q31" i="1"/>
  <c r="R31" i="1" s="1"/>
  <c r="Q32" i="1"/>
  <c r="R32" i="1" s="1"/>
  <c r="Q33" i="1"/>
  <c r="R33" i="1" s="1"/>
  <c r="Q286" i="1"/>
  <c r="R286" i="1" s="1"/>
  <c r="Q486" i="1"/>
  <c r="R486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28" i="1"/>
  <c r="R28" i="1" s="1"/>
  <c r="Q42" i="1"/>
  <c r="R42" i="1" s="1"/>
  <c r="Q499" i="1"/>
  <c r="R499" i="1" s="1"/>
  <c r="Q459" i="1"/>
  <c r="R459" i="1" s="1"/>
  <c r="Q478" i="1"/>
  <c r="R478" i="1" s="1"/>
  <c r="Q307" i="1"/>
  <c r="R307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288" i="1"/>
  <c r="R288" i="1" s="1"/>
  <c r="Q61" i="1"/>
  <c r="R61" i="1" s="1"/>
  <c r="Q289" i="1"/>
  <c r="R289" i="1" s="1"/>
  <c r="Q500" i="1"/>
  <c r="R500" i="1" s="1"/>
  <c r="Q501" i="1"/>
  <c r="R501" i="1" s="1"/>
  <c r="Q62" i="1"/>
  <c r="R62" i="1" s="1"/>
  <c r="Q502" i="1"/>
  <c r="R502" i="1" s="1"/>
  <c r="Q503" i="1"/>
  <c r="R503" i="1" s="1"/>
  <c r="Q504" i="1"/>
  <c r="R504" i="1" s="1"/>
  <c r="Q63" i="1"/>
  <c r="R63" i="1" s="1"/>
  <c r="Q64" i="1"/>
  <c r="R64" i="1" s="1"/>
  <c r="Q468" i="1"/>
  <c r="R468" i="1" s="1"/>
  <c r="Q94" i="1"/>
  <c r="R94" i="1" s="1"/>
  <c r="Q290" i="1"/>
  <c r="R290" i="1" s="1"/>
  <c r="Q291" i="1"/>
  <c r="R291" i="1" s="1"/>
  <c r="Q67" i="1"/>
  <c r="R67" i="1" s="1"/>
  <c r="Q505" i="1"/>
  <c r="R505" i="1" s="1"/>
  <c r="Q506" i="1"/>
  <c r="R506" i="1" s="1"/>
  <c r="Q292" i="1"/>
  <c r="R292" i="1" s="1"/>
  <c r="Q507" i="1"/>
  <c r="R507" i="1" s="1"/>
  <c r="Q68" i="1"/>
  <c r="R68" i="1" s="1"/>
  <c r="Q508" i="1"/>
  <c r="R508" i="1" s="1"/>
  <c r="Q509" i="1"/>
  <c r="R509" i="1" s="1"/>
  <c r="Q510" i="1"/>
  <c r="R510" i="1" s="1"/>
  <c r="Q511" i="1"/>
  <c r="R511" i="1" s="1"/>
  <c r="Q293" i="1"/>
  <c r="R293" i="1" s="1"/>
  <c r="Q222" i="1"/>
  <c r="R222" i="1" s="1"/>
  <c r="Q69" i="1"/>
  <c r="R69" i="1" s="1"/>
  <c r="Q70" i="1"/>
  <c r="R70" i="1" s="1"/>
  <c r="Q71" i="1"/>
  <c r="R71" i="1" s="1"/>
  <c r="Q512" i="1"/>
  <c r="R512" i="1" s="1"/>
  <c r="Q294" i="1"/>
  <c r="R294" i="1" s="1"/>
  <c r="Q72" i="1"/>
  <c r="R72" i="1" s="1"/>
  <c r="Q73" i="1"/>
  <c r="R73" i="1" s="1"/>
  <c r="Q74" i="1"/>
  <c r="R74" i="1" s="1"/>
  <c r="Q513" i="1"/>
  <c r="R513" i="1" s="1"/>
  <c r="Q514" i="1"/>
  <c r="R514" i="1" s="1"/>
  <c r="Q515" i="1"/>
  <c r="R515" i="1" s="1"/>
  <c r="Q275" i="1"/>
  <c r="R275" i="1" s="1"/>
  <c r="Q255" i="1"/>
  <c r="R255" i="1" s="1"/>
  <c r="Q14" i="1"/>
  <c r="R14" i="1" s="1"/>
  <c r="Q15" i="1"/>
  <c r="R15" i="1" s="1"/>
  <c r="Q319" i="1"/>
  <c r="R319" i="1" s="1"/>
  <c r="Q536" i="1"/>
  <c r="R536" i="1" s="1"/>
  <c r="Q517" i="1"/>
  <c r="R517" i="1" s="1"/>
  <c r="Q77" i="1"/>
  <c r="R77" i="1" s="1"/>
  <c r="Q518" i="1"/>
  <c r="R518" i="1" s="1"/>
  <c r="Q78" i="1"/>
  <c r="R78" i="1" s="1"/>
  <c r="Q79" i="1"/>
  <c r="R79" i="1" s="1"/>
  <c r="Q298" i="1"/>
  <c r="R298" i="1" s="1"/>
  <c r="Q80" i="1"/>
  <c r="R80" i="1" s="1"/>
  <c r="Q519" i="1"/>
  <c r="R519" i="1" s="1"/>
  <c r="Q520" i="1"/>
  <c r="R520" i="1" s="1"/>
  <c r="Q521" i="1"/>
  <c r="R521" i="1" s="1"/>
  <c r="Q81" i="1"/>
  <c r="R81" i="1" s="1"/>
  <c r="Q299" i="1"/>
  <c r="R299" i="1" s="1"/>
  <c r="Q522" i="1"/>
  <c r="R522" i="1" s="1"/>
  <c r="Q82" i="1"/>
  <c r="R82" i="1" s="1"/>
  <c r="Q473" i="1"/>
  <c r="R473" i="1" s="1"/>
  <c r="Q84" i="1"/>
  <c r="R84" i="1" s="1"/>
  <c r="Q300" i="1"/>
  <c r="R300" i="1" s="1"/>
  <c r="Q462" i="1"/>
  <c r="R462" i="1" s="1"/>
  <c r="Q253" i="1"/>
  <c r="R253" i="1" s="1"/>
  <c r="Q464" i="1"/>
  <c r="R464" i="1" s="1"/>
  <c r="Q479" i="1"/>
  <c r="R479" i="1" s="1"/>
  <c r="Q267" i="1"/>
  <c r="R267" i="1" s="1"/>
  <c r="Q274" i="1"/>
  <c r="R274" i="1" s="1"/>
  <c r="Q29" i="1"/>
  <c r="R29" i="1" s="1"/>
  <c r="Q65" i="1"/>
  <c r="R65" i="1" s="1"/>
  <c r="Q303" i="1"/>
  <c r="R303" i="1" s="1"/>
  <c r="Q304" i="1"/>
  <c r="R304" i="1" s="1"/>
  <c r="Q305" i="1"/>
  <c r="R305" i="1" s="1"/>
  <c r="Q306" i="1"/>
  <c r="R306" i="1" s="1"/>
  <c r="Q322" i="1"/>
  <c r="R322" i="1" s="1"/>
  <c r="Q326" i="1"/>
  <c r="R326" i="1" s="1"/>
  <c r="Q308" i="1"/>
  <c r="R308" i="1" s="1"/>
  <c r="Q309" i="1"/>
  <c r="R309" i="1" s="1"/>
  <c r="Q310" i="1"/>
  <c r="R310" i="1" s="1"/>
  <c r="Q88" i="1"/>
  <c r="R88" i="1" s="1"/>
  <c r="Q311" i="1"/>
  <c r="R311" i="1" s="1"/>
  <c r="Q525" i="1"/>
  <c r="R525" i="1" s="1"/>
  <c r="Q526" i="1"/>
  <c r="R526" i="1" s="1"/>
  <c r="Q89" i="1"/>
  <c r="R89" i="1" s="1"/>
  <c r="Q312" i="1"/>
  <c r="R312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313" i="1"/>
  <c r="R313" i="1" s="1"/>
  <c r="Q314" i="1"/>
  <c r="R314" i="1" s="1"/>
  <c r="Q90" i="1"/>
  <c r="R90" i="1" s="1"/>
  <c r="Q533" i="1"/>
  <c r="R533" i="1" s="1"/>
  <c r="Q315" i="1"/>
  <c r="R315" i="1" s="1"/>
  <c r="Q91" i="1"/>
  <c r="R91" i="1" s="1"/>
  <c r="Q92" i="1"/>
  <c r="R92" i="1" s="1"/>
  <c r="Q534" i="1"/>
  <c r="R534" i="1" s="1"/>
  <c r="Q316" i="1"/>
  <c r="R316" i="1" s="1"/>
  <c r="Q535" i="1"/>
  <c r="R535" i="1" s="1"/>
  <c r="Q317" i="1"/>
  <c r="R317" i="1" s="1"/>
  <c r="Q318" i="1"/>
  <c r="R318" i="1" s="1"/>
  <c r="Q93" i="1"/>
  <c r="R93" i="1" s="1"/>
  <c r="Q480" i="1"/>
  <c r="R480" i="1" s="1"/>
  <c r="Q545" i="1"/>
  <c r="R545" i="1" s="1"/>
  <c r="Q550" i="1"/>
  <c r="R550" i="1" s="1"/>
  <c r="Q537" i="1"/>
  <c r="R537" i="1" s="1"/>
  <c r="Q538" i="1"/>
  <c r="R538" i="1" s="1"/>
  <c r="Q539" i="1"/>
  <c r="R539" i="1" s="1"/>
  <c r="Q540" i="1"/>
  <c r="R540" i="1" s="1"/>
  <c r="Q320" i="1"/>
  <c r="R320" i="1" s="1"/>
  <c r="Q321" i="1"/>
  <c r="R321" i="1" s="1"/>
  <c r="Q541" i="1"/>
  <c r="R541" i="1" s="1"/>
  <c r="Q542" i="1"/>
  <c r="R542" i="1" s="1"/>
  <c r="Q543" i="1"/>
  <c r="R543" i="1" s="1"/>
  <c r="Q544" i="1"/>
  <c r="R544" i="1" s="1"/>
  <c r="Q95" i="1"/>
  <c r="R95" i="1" s="1"/>
  <c r="Q16" i="1"/>
  <c r="R16" i="1" s="1"/>
  <c r="Q481" i="1"/>
  <c r="R481" i="1" s="1"/>
  <c r="Q30" i="1"/>
  <c r="R30" i="1" s="1"/>
  <c r="Q287" i="1"/>
  <c r="R287" i="1" s="1"/>
  <c r="Q41" i="1"/>
  <c r="R41" i="1" s="1"/>
  <c r="Q323" i="1"/>
  <c r="R323" i="1" s="1"/>
  <c r="Q546" i="1"/>
  <c r="R546" i="1" s="1"/>
  <c r="Q327" i="1"/>
  <c r="R327" i="1" s="1"/>
  <c r="Q96" i="1"/>
  <c r="R96" i="1" s="1"/>
  <c r="Q328" i="1"/>
  <c r="R328" i="1" s="1"/>
  <c r="Q547" i="1"/>
  <c r="R547" i="1" s="1"/>
  <c r="Q548" i="1"/>
  <c r="R548" i="1" s="1"/>
  <c r="Q549" i="1"/>
  <c r="R549" i="1" s="1"/>
  <c r="Q329" i="1"/>
  <c r="R329" i="1" s="1"/>
  <c r="Q279" i="1"/>
  <c r="R279" i="1" s="1"/>
  <c r="Q551" i="1"/>
  <c r="R551" i="1" s="1"/>
  <c r="Q552" i="1"/>
  <c r="R552" i="1" s="1"/>
  <c r="Q259" i="1"/>
  <c r="R259" i="1" s="1"/>
  <c r="G44" i="7" l="1"/>
  <c r="H31" i="6"/>
  <c r="P31" i="6"/>
  <c r="AF13" i="6"/>
  <c r="AD41" i="7"/>
  <c r="U4" i="5"/>
  <c r="Y9" i="5"/>
  <c r="AD11" i="5"/>
  <c r="AH11" i="5"/>
  <c r="AG33" i="5"/>
  <c r="D6" i="6"/>
  <c r="D10" i="6"/>
  <c r="Q18" i="6"/>
  <c r="L24" i="6"/>
  <c r="Q31" i="6"/>
  <c r="Q35" i="6"/>
  <c r="AD5" i="6"/>
  <c r="AC7" i="6"/>
  <c r="AH10" i="6"/>
  <c r="Z18" i="6"/>
  <c r="AG22" i="6"/>
  <c r="AH32" i="6"/>
  <c r="AF35" i="6"/>
  <c r="M3" i="7"/>
  <c r="P4" i="7"/>
  <c r="Q6" i="7"/>
  <c r="AC8" i="7"/>
  <c r="Z11" i="7"/>
  <c r="Y12" i="7"/>
  <c r="AB16" i="7"/>
  <c r="M18" i="7"/>
  <c r="D21" i="7"/>
  <c r="C22" i="7"/>
  <c r="AG22" i="7"/>
  <c r="O25" i="7"/>
  <c r="D27" i="7"/>
  <c r="O30" i="7"/>
  <c r="P31" i="7"/>
  <c r="Q32" i="7"/>
  <c r="Q33" i="7"/>
  <c r="H36" i="7"/>
  <c r="V40" i="7"/>
  <c r="O44" i="7"/>
  <c r="G36" i="7"/>
  <c r="V33" i="5"/>
  <c r="Y10" i="5"/>
  <c r="Z31" i="5"/>
  <c r="AD31" i="5"/>
  <c r="AG34" i="5"/>
  <c r="K6" i="6"/>
  <c r="K10" i="6"/>
  <c r="H19" i="6"/>
  <c r="H32" i="6"/>
  <c r="AF5" i="6"/>
  <c r="AD7" i="6"/>
  <c r="X11" i="6"/>
  <c r="V13" i="6"/>
  <c r="AH18" i="6"/>
  <c r="AH22" i="6"/>
  <c r="AC31" i="6"/>
  <c r="Z33" i="6"/>
  <c r="AG35" i="6"/>
  <c r="O3" i="7"/>
  <c r="Q4" i="7"/>
  <c r="V6" i="7"/>
  <c r="AF8" i="7"/>
  <c r="D11" i="7"/>
  <c r="AG11" i="7"/>
  <c r="AG12" i="7"/>
  <c r="L17" i="7"/>
  <c r="T18" i="7"/>
  <c r="T63" i="7" s="1"/>
  <c r="E21" i="7"/>
  <c r="D22" i="7"/>
  <c r="L23" i="7"/>
  <c r="P25" i="7"/>
  <c r="E27" i="7"/>
  <c r="P30" i="7"/>
  <c r="Q31" i="7"/>
  <c r="V32" i="7"/>
  <c r="X33" i="7"/>
  <c r="I36" i="7"/>
  <c r="Y40" i="7"/>
  <c r="P44" i="7"/>
  <c r="AB12" i="5"/>
  <c r="Z19" i="6"/>
  <c r="H40" i="7"/>
  <c r="AF40" i="7"/>
  <c r="V34" i="5"/>
  <c r="Z11" i="5"/>
  <c r="Y33" i="5"/>
  <c r="AD15" i="5"/>
  <c r="AG25" i="5"/>
  <c r="L6" i="6"/>
  <c r="L10" i="6"/>
  <c r="P19" i="6"/>
  <c r="P32" i="6"/>
  <c r="AG5" i="6"/>
  <c r="AF7" i="6"/>
  <c r="Y11" i="6"/>
  <c r="X13" i="6"/>
  <c r="AB19" i="6"/>
  <c r="AD31" i="6"/>
  <c r="U34" i="6"/>
  <c r="AH35" i="6"/>
  <c r="Y3" i="7"/>
  <c r="Y4" i="7"/>
  <c r="Y6" i="7"/>
  <c r="I9" i="7"/>
  <c r="E11" i="7"/>
  <c r="E12" i="7"/>
  <c r="M17" i="7"/>
  <c r="V18" i="7"/>
  <c r="M21" i="7"/>
  <c r="E22" i="7"/>
  <c r="M23" i="7"/>
  <c r="Q25" i="7"/>
  <c r="M27" i="7"/>
  <c r="AC30" i="7"/>
  <c r="T31" i="7"/>
  <c r="T76" i="7" s="1"/>
  <c r="Y32" i="7"/>
  <c r="AD33" i="7"/>
  <c r="Q36" i="7"/>
  <c r="AG40" i="7"/>
  <c r="Q44" i="7"/>
  <c r="R44" i="7" s="1"/>
  <c r="U29" i="5"/>
  <c r="AC33" i="5"/>
  <c r="I43" i="7"/>
  <c r="V9" i="5"/>
  <c r="Y34" i="5"/>
  <c r="AH15" i="5"/>
  <c r="D4" i="6"/>
  <c r="C7" i="6"/>
  <c r="C11" i="6"/>
  <c r="C13" i="6"/>
  <c r="G18" i="6"/>
  <c r="H33" i="6"/>
  <c r="Y4" i="6"/>
  <c r="Y6" i="6"/>
  <c r="V10" i="6"/>
  <c r="Z11" i="6"/>
  <c r="Y13" i="6"/>
  <c r="AC19" i="6"/>
  <c r="AC24" i="6"/>
  <c r="U32" i="6"/>
  <c r="V34" i="6"/>
  <c r="AB3" i="7"/>
  <c r="AB4" i="7"/>
  <c r="AG6" i="7"/>
  <c r="T9" i="7"/>
  <c r="T54" i="7" s="1"/>
  <c r="G11" i="7"/>
  <c r="G12" i="7"/>
  <c r="O17" i="7"/>
  <c r="AD18" i="7"/>
  <c r="O21" i="7"/>
  <c r="M22" i="7"/>
  <c r="AB23" i="7"/>
  <c r="X25" i="7"/>
  <c r="O27" i="7"/>
  <c r="AF30" i="7"/>
  <c r="Z31" i="7"/>
  <c r="AG32" i="7"/>
  <c r="AG33" i="7"/>
  <c r="X36" i="7"/>
  <c r="M41" i="7"/>
  <c r="T44" i="7"/>
  <c r="T89" i="7" s="1"/>
  <c r="T34" i="6"/>
  <c r="Z44" i="7"/>
  <c r="AH31" i="7"/>
  <c r="V10" i="5"/>
  <c r="Y25" i="5"/>
  <c r="L4" i="6"/>
  <c r="D7" i="6"/>
  <c r="I11" i="6"/>
  <c r="I13" i="6"/>
  <c r="H18" i="6"/>
  <c r="P33" i="6"/>
  <c r="Z4" i="6"/>
  <c r="Z6" i="6"/>
  <c r="X10" i="6"/>
  <c r="AG11" i="6"/>
  <c r="AG13" i="6"/>
  <c r="AD19" i="6"/>
  <c r="U22" i="6"/>
  <c r="AD24" i="6"/>
  <c r="V32" i="6"/>
  <c r="AD34" i="6"/>
  <c r="C3" i="7"/>
  <c r="C48" i="7" s="1"/>
  <c r="D4" i="7"/>
  <c r="E6" i="7"/>
  <c r="G8" i="7"/>
  <c r="O11" i="7"/>
  <c r="H12" i="7"/>
  <c r="X17" i="7"/>
  <c r="AG18" i="7"/>
  <c r="P21" i="7"/>
  <c r="O22" i="7"/>
  <c r="AD23" i="7"/>
  <c r="Z25" i="7"/>
  <c r="AB27" i="7"/>
  <c r="E31" i="7"/>
  <c r="G32" i="7"/>
  <c r="E33" i="7"/>
  <c r="AF36" i="7"/>
  <c r="X41" i="7"/>
  <c r="M43" i="7"/>
  <c r="AB44" i="7"/>
  <c r="AC34" i="6"/>
  <c r="C44" i="7"/>
  <c r="K23" i="7"/>
  <c r="U12" i="5"/>
  <c r="U25" i="5"/>
  <c r="Z15" i="5"/>
  <c r="D5" i="6"/>
  <c r="K7" i="6"/>
  <c r="K11" i="6"/>
  <c r="K13" i="6"/>
  <c r="I18" i="6"/>
  <c r="C31" i="6"/>
  <c r="I34" i="6"/>
  <c r="T5" i="6"/>
  <c r="T7" i="6"/>
  <c r="Y10" i="6"/>
  <c r="AH11" i="6"/>
  <c r="AH13" i="6"/>
  <c r="V22" i="6"/>
  <c r="AF24" i="6"/>
  <c r="X32" i="6"/>
  <c r="AF34" i="6"/>
  <c r="D3" i="7"/>
  <c r="E4" i="7"/>
  <c r="G6" i="7"/>
  <c r="H8" i="7"/>
  <c r="P11" i="7"/>
  <c r="P12" i="7"/>
  <c r="Z17" i="7"/>
  <c r="X21" i="7"/>
  <c r="T22" i="7"/>
  <c r="T67" i="7" s="1"/>
  <c r="D25" i="7"/>
  <c r="AG25" i="7"/>
  <c r="AD27" i="7"/>
  <c r="G31" i="7"/>
  <c r="H32" i="7"/>
  <c r="G33" i="7"/>
  <c r="AH36" i="7"/>
  <c r="AF41" i="7"/>
  <c r="D44" i="7"/>
  <c r="AD44" i="7"/>
  <c r="V35" i="6"/>
  <c r="AD32" i="6"/>
  <c r="L27" i="7"/>
  <c r="T41" i="7"/>
  <c r="T86" i="7" s="1"/>
  <c r="AB43" i="7"/>
  <c r="V25" i="5"/>
  <c r="AG9" i="5"/>
  <c r="L5" i="6"/>
  <c r="L7" i="6"/>
  <c r="Q11" i="6"/>
  <c r="Q13" i="6"/>
  <c r="O18" i="6"/>
  <c r="I31" i="6"/>
  <c r="Q34" i="6"/>
  <c r="U5" i="6"/>
  <c r="U7" i="6"/>
  <c r="AF10" i="6"/>
  <c r="X18" i="6"/>
  <c r="X22" i="6"/>
  <c r="AF32" i="6"/>
  <c r="X35" i="6"/>
  <c r="E3" i="7"/>
  <c r="G4" i="7"/>
  <c r="H6" i="7"/>
  <c r="I8" i="7"/>
  <c r="Q11" i="7"/>
  <c r="Q12" i="7"/>
  <c r="I16" i="7"/>
  <c r="AG17" i="7"/>
  <c r="Z21" i="7"/>
  <c r="V22" i="7"/>
  <c r="E25" i="7"/>
  <c r="E30" i="7"/>
  <c r="H31" i="7"/>
  <c r="I32" i="7"/>
  <c r="H33" i="7"/>
  <c r="AH41" i="7"/>
  <c r="E44" i="7"/>
  <c r="G33" i="6"/>
  <c r="O33" i="6"/>
  <c r="M44" i="7"/>
  <c r="U40" i="7"/>
  <c r="T4" i="5"/>
  <c r="AC10" i="5"/>
  <c r="AG10" i="5"/>
  <c r="AH31" i="5"/>
  <c r="C6" i="6"/>
  <c r="C10" i="6"/>
  <c r="P18" i="6"/>
  <c r="D24" i="6"/>
  <c r="K31" i="6"/>
  <c r="I35" i="6"/>
  <c r="V5" i="6"/>
  <c r="V7" i="6"/>
  <c r="AG10" i="6"/>
  <c r="Y18" i="6"/>
  <c r="AF22" i="6"/>
  <c r="AG32" i="6"/>
  <c r="Y35" i="6"/>
  <c r="L3" i="7"/>
  <c r="O4" i="7"/>
  <c r="P6" i="7"/>
  <c r="Q8" i="7"/>
  <c r="X11" i="7"/>
  <c r="V12" i="7"/>
  <c r="Y16" i="7"/>
  <c r="L18" i="7"/>
  <c r="C21" i="7"/>
  <c r="AG21" i="7"/>
  <c r="AD22" i="7"/>
  <c r="G25" i="7"/>
  <c r="C27" i="7"/>
  <c r="G30" i="7"/>
  <c r="O31" i="7"/>
  <c r="P32" i="7"/>
  <c r="P33" i="7"/>
  <c r="I40" i="7"/>
  <c r="C67" i="7"/>
  <c r="K41" i="7"/>
  <c r="K43" i="7"/>
  <c r="K40" i="7"/>
  <c r="L41" i="7"/>
  <c r="L43" i="7"/>
  <c r="K16" i="7"/>
  <c r="C17" i="7"/>
  <c r="C43" i="7"/>
  <c r="P3" i="7"/>
  <c r="H4" i="7"/>
  <c r="I6" i="7"/>
  <c r="K8" i="7"/>
  <c r="C9" i="7"/>
  <c r="M9" i="7"/>
  <c r="H11" i="7"/>
  <c r="I12" i="7"/>
  <c r="C16" i="7"/>
  <c r="M16" i="7"/>
  <c r="E17" i="7"/>
  <c r="P17" i="7"/>
  <c r="E18" i="7"/>
  <c r="O18" i="7"/>
  <c r="G21" i="7"/>
  <c r="Q21" i="7"/>
  <c r="G22" i="7"/>
  <c r="P22" i="7"/>
  <c r="E23" i="7"/>
  <c r="O23" i="7"/>
  <c r="H25" i="7"/>
  <c r="G27" i="7"/>
  <c r="P27" i="7"/>
  <c r="H30" i="7"/>
  <c r="Q30" i="7"/>
  <c r="R30" i="7" s="1"/>
  <c r="I31" i="7"/>
  <c r="I33" i="7"/>
  <c r="K36" i="7"/>
  <c r="C40" i="7"/>
  <c r="M40" i="7"/>
  <c r="D41" i="7"/>
  <c r="O41" i="7"/>
  <c r="D43" i="7"/>
  <c r="H44" i="7"/>
  <c r="K9" i="7"/>
  <c r="G3" i="7"/>
  <c r="Q3" i="7"/>
  <c r="I4" i="7"/>
  <c r="K6" i="7"/>
  <c r="L8" i="7"/>
  <c r="D9" i="7"/>
  <c r="O9" i="7"/>
  <c r="I11" i="7"/>
  <c r="K12" i="7"/>
  <c r="D16" i="7"/>
  <c r="O16" i="7"/>
  <c r="G17" i="7"/>
  <c r="Q17" i="7"/>
  <c r="G18" i="7"/>
  <c r="P18" i="7"/>
  <c r="H21" i="7"/>
  <c r="H22" i="7"/>
  <c r="Q22" i="7"/>
  <c r="G23" i="7"/>
  <c r="P23" i="7"/>
  <c r="I25" i="7"/>
  <c r="H27" i="7"/>
  <c r="Q27" i="7"/>
  <c r="I30" i="7"/>
  <c r="K31" i="7"/>
  <c r="K32" i="7"/>
  <c r="K33" i="7"/>
  <c r="C36" i="7"/>
  <c r="L36" i="7"/>
  <c r="D40" i="7"/>
  <c r="O40" i="7"/>
  <c r="E41" i="7"/>
  <c r="P41" i="7"/>
  <c r="E43" i="7"/>
  <c r="O43" i="7"/>
  <c r="I44" i="7"/>
  <c r="C18" i="7"/>
  <c r="F22" i="7"/>
  <c r="C23" i="7"/>
  <c r="L40" i="7"/>
  <c r="C41" i="7"/>
  <c r="H3" i="7"/>
  <c r="K4" i="7"/>
  <c r="L6" i="7"/>
  <c r="C8" i="7"/>
  <c r="M8" i="7"/>
  <c r="E9" i="7"/>
  <c r="P9" i="7"/>
  <c r="K11" i="7"/>
  <c r="L12" i="7"/>
  <c r="E16" i="7"/>
  <c r="P16" i="7"/>
  <c r="H17" i="7"/>
  <c r="H18" i="7"/>
  <c r="Q18" i="7"/>
  <c r="I21" i="7"/>
  <c r="I22" i="7"/>
  <c r="H23" i="7"/>
  <c r="Q23" i="7"/>
  <c r="K25" i="7"/>
  <c r="I27" i="7"/>
  <c r="K30" i="7"/>
  <c r="L31" i="7"/>
  <c r="C32" i="7"/>
  <c r="L32" i="7"/>
  <c r="L33" i="7"/>
  <c r="D36" i="7"/>
  <c r="M36" i="7"/>
  <c r="E40" i="7"/>
  <c r="P40" i="7"/>
  <c r="G41" i="7"/>
  <c r="Q41" i="7"/>
  <c r="G43" i="7"/>
  <c r="P43" i="7"/>
  <c r="K44" i="7"/>
  <c r="L16" i="7"/>
  <c r="D17" i="7"/>
  <c r="I3" i="7"/>
  <c r="L4" i="7"/>
  <c r="C6" i="7"/>
  <c r="M6" i="7"/>
  <c r="D8" i="7"/>
  <c r="O8" i="7"/>
  <c r="G9" i="7"/>
  <c r="Q9" i="7"/>
  <c r="L11" i="7"/>
  <c r="C12" i="7"/>
  <c r="M12" i="7"/>
  <c r="G16" i="7"/>
  <c r="Q16" i="7"/>
  <c r="I17" i="7"/>
  <c r="I18" i="7"/>
  <c r="K21" i="7"/>
  <c r="K22" i="7"/>
  <c r="I23" i="7"/>
  <c r="L25" i="7"/>
  <c r="K27" i="7"/>
  <c r="C30" i="7"/>
  <c r="L30" i="7"/>
  <c r="C31" i="7"/>
  <c r="M31" i="7"/>
  <c r="D32" i="7"/>
  <c r="M32" i="7"/>
  <c r="C33" i="7"/>
  <c r="M33" i="7"/>
  <c r="E36" i="7"/>
  <c r="O36" i="7"/>
  <c r="G40" i="7"/>
  <c r="Q40" i="7"/>
  <c r="H41" i="7"/>
  <c r="H43" i="7"/>
  <c r="Q43" i="7"/>
  <c r="L44" i="7"/>
  <c r="L9" i="7"/>
  <c r="D18" i="7"/>
  <c r="D23" i="7"/>
  <c r="K3" i="7"/>
  <c r="C4" i="7"/>
  <c r="M4" i="7"/>
  <c r="D6" i="7"/>
  <c r="O6" i="7"/>
  <c r="E8" i="7"/>
  <c r="P8" i="7"/>
  <c r="H9" i="7"/>
  <c r="C11" i="7"/>
  <c r="M11" i="7"/>
  <c r="D12" i="7"/>
  <c r="O12" i="7"/>
  <c r="H16" i="7"/>
  <c r="K17" i="7"/>
  <c r="K18" i="7"/>
  <c r="L21" i="7"/>
  <c r="L22" i="7"/>
  <c r="C25" i="7"/>
  <c r="M25" i="7"/>
  <c r="D30" i="7"/>
  <c r="M30" i="7"/>
  <c r="D31" i="7"/>
  <c r="E32" i="7"/>
  <c r="O32" i="7"/>
  <c r="D33" i="7"/>
  <c r="O33" i="7"/>
  <c r="P36" i="7"/>
  <c r="I41" i="7"/>
  <c r="U33" i="7"/>
  <c r="U41" i="7"/>
  <c r="U36" i="7"/>
  <c r="AC43" i="7"/>
  <c r="Z3" i="7"/>
  <c r="Z4" i="7"/>
  <c r="X6" i="7"/>
  <c r="AH6" i="7"/>
  <c r="T8" i="7"/>
  <c r="AD8" i="7"/>
  <c r="AB9" i="7"/>
  <c r="Y11" i="7"/>
  <c r="AH11" i="7"/>
  <c r="X12" i="7"/>
  <c r="AH12" i="7"/>
  <c r="Z16" i="7"/>
  <c r="Y17" i="7"/>
  <c r="AH17" i="7"/>
  <c r="U18" i="7"/>
  <c r="AF18" i="7"/>
  <c r="Y21" i="7"/>
  <c r="AH21" i="7"/>
  <c r="U22" i="7"/>
  <c r="AF22" i="7"/>
  <c r="T23" i="7"/>
  <c r="AC23" i="7"/>
  <c r="Y25" i="7"/>
  <c r="AH25" i="7"/>
  <c r="T27" i="7"/>
  <c r="AC27" i="7"/>
  <c r="T30" i="7"/>
  <c r="AD30" i="7"/>
  <c r="AB31" i="7"/>
  <c r="X32" i="7"/>
  <c r="AH32" i="7"/>
  <c r="V33" i="7"/>
  <c r="AF33" i="7"/>
  <c r="V36" i="7"/>
  <c r="AG36" i="7"/>
  <c r="X40" i="7"/>
  <c r="AH40" i="7"/>
  <c r="V41" i="7"/>
  <c r="AG41" i="7"/>
  <c r="T43" i="7"/>
  <c r="AD43" i="7"/>
  <c r="AC44" i="7"/>
  <c r="AC9" i="7"/>
  <c r="U30" i="7"/>
  <c r="U8" i="7"/>
  <c r="U43" i="7"/>
  <c r="AC3" i="7"/>
  <c r="AC4" i="7"/>
  <c r="Z6" i="7"/>
  <c r="V8" i="7"/>
  <c r="AG8" i="7"/>
  <c r="U9" i="7"/>
  <c r="AD9" i="7"/>
  <c r="AB11" i="7"/>
  <c r="Z12" i="7"/>
  <c r="AC16" i="7"/>
  <c r="X18" i="7"/>
  <c r="AH18" i="7"/>
  <c r="X22" i="7"/>
  <c r="AH22" i="7"/>
  <c r="V23" i="7"/>
  <c r="V27" i="7"/>
  <c r="V30" i="7"/>
  <c r="AG30" i="7"/>
  <c r="U31" i="7"/>
  <c r="AD31" i="7"/>
  <c r="Z32" i="7"/>
  <c r="Y33" i="7"/>
  <c r="AH33" i="7"/>
  <c r="Y36" i="7"/>
  <c r="Z40" i="7"/>
  <c r="Y41" i="7"/>
  <c r="V43" i="7"/>
  <c r="AF43" i="7"/>
  <c r="U44" i="7"/>
  <c r="AF44" i="7"/>
  <c r="U23" i="7"/>
  <c r="AC31" i="7"/>
  <c r="T3" i="7"/>
  <c r="AD3" i="7"/>
  <c r="T4" i="7"/>
  <c r="AD4" i="7"/>
  <c r="AB6" i="7"/>
  <c r="X8" i="7"/>
  <c r="AH8" i="7"/>
  <c r="V9" i="7"/>
  <c r="AF9" i="7"/>
  <c r="T11" i="7"/>
  <c r="AC11" i="7"/>
  <c r="AB12" i="7"/>
  <c r="T16" i="7"/>
  <c r="AD16" i="7"/>
  <c r="AB17" i="7"/>
  <c r="Y18" i="7"/>
  <c r="AB21" i="7"/>
  <c r="Y22" i="7"/>
  <c r="AF23" i="7"/>
  <c r="AB25" i="7"/>
  <c r="AF27" i="7"/>
  <c r="X30" i="7"/>
  <c r="AH30" i="7"/>
  <c r="V31" i="7"/>
  <c r="AB32" i="7"/>
  <c r="Z33" i="7"/>
  <c r="Z36" i="7"/>
  <c r="AB40" i="7"/>
  <c r="Z41" i="7"/>
  <c r="X43" i="7"/>
  <c r="AG43" i="7"/>
  <c r="V44" i="7"/>
  <c r="AG44" i="7"/>
  <c r="U3" i="7"/>
  <c r="AF3" i="7"/>
  <c r="U4" i="7"/>
  <c r="AF4" i="7"/>
  <c r="AC6" i="7"/>
  <c r="Y8" i="7"/>
  <c r="X9" i="7"/>
  <c r="AG9" i="7"/>
  <c r="U11" i="7"/>
  <c r="AD11" i="7"/>
  <c r="AC12" i="7"/>
  <c r="U16" i="7"/>
  <c r="AF16" i="7"/>
  <c r="T17" i="7"/>
  <c r="AC17" i="7"/>
  <c r="Z18" i="7"/>
  <c r="T21" i="7"/>
  <c r="AC21" i="7"/>
  <c r="Z22" i="7"/>
  <c r="X23" i="7"/>
  <c r="AG23" i="7"/>
  <c r="T25" i="7"/>
  <c r="AC25" i="7"/>
  <c r="X27" i="7"/>
  <c r="AG27" i="7"/>
  <c r="Y30" i="7"/>
  <c r="AF31" i="7"/>
  <c r="AC32" i="7"/>
  <c r="AB36" i="7"/>
  <c r="AC40" i="7"/>
  <c r="AB41" i="7"/>
  <c r="Y43" i="7"/>
  <c r="AH43" i="7"/>
  <c r="X44" i="7"/>
  <c r="AH44" i="7"/>
  <c r="U27" i="7"/>
  <c r="V3" i="7"/>
  <c r="AG3" i="7"/>
  <c r="V4" i="7"/>
  <c r="AG4" i="7"/>
  <c r="T6" i="7"/>
  <c r="AD6" i="7"/>
  <c r="Z8" i="7"/>
  <c r="Y9" i="7"/>
  <c r="AH9" i="7"/>
  <c r="V11" i="7"/>
  <c r="T12" i="7"/>
  <c r="AD12" i="7"/>
  <c r="V16" i="7"/>
  <c r="AG16" i="7"/>
  <c r="U17" i="7"/>
  <c r="AD17" i="7"/>
  <c r="AB18" i="7"/>
  <c r="U21" i="7"/>
  <c r="AD21" i="7"/>
  <c r="AB22" i="7"/>
  <c r="Y23" i="7"/>
  <c r="AH23" i="7"/>
  <c r="U25" i="7"/>
  <c r="AD25" i="7"/>
  <c r="Y27" i="7"/>
  <c r="AH27" i="7"/>
  <c r="Z30" i="7"/>
  <c r="X31" i="7"/>
  <c r="AG31" i="7"/>
  <c r="T32" i="7"/>
  <c r="AD32" i="7"/>
  <c r="AB33" i="7"/>
  <c r="AC36" i="7"/>
  <c r="T40" i="7"/>
  <c r="W40" i="7" s="1"/>
  <c r="AD40" i="7"/>
  <c r="AC41" i="7"/>
  <c r="Z43" i="7"/>
  <c r="Y44" i="7"/>
  <c r="X3" i="7"/>
  <c r="AH3" i="7"/>
  <c r="X4" i="7"/>
  <c r="AH4" i="7"/>
  <c r="U6" i="7"/>
  <c r="AF6" i="7"/>
  <c r="AB8" i="7"/>
  <c r="Z9" i="7"/>
  <c r="AF11" i="7"/>
  <c r="U12" i="7"/>
  <c r="AF12" i="7"/>
  <c r="X16" i="7"/>
  <c r="AH16" i="7"/>
  <c r="V17" i="7"/>
  <c r="AF17" i="7"/>
  <c r="AC18" i="7"/>
  <c r="V21" i="7"/>
  <c r="AF21" i="7"/>
  <c r="AC22" i="7"/>
  <c r="Z23" i="7"/>
  <c r="V25" i="7"/>
  <c r="AF25" i="7"/>
  <c r="Z27" i="7"/>
  <c r="AB30" i="7"/>
  <c r="Y31" i="7"/>
  <c r="U32" i="7"/>
  <c r="AF32" i="7"/>
  <c r="T33" i="7"/>
  <c r="AC33" i="7"/>
  <c r="T36" i="7"/>
  <c r="AD36" i="7"/>
  <c r="AB31" i="6"/>
  <c r="T31" i="6"/>
  <c r="AB33" i="6"/>
  <c r="U24" i="6"/>
  <c r="AB4" i="6"/>
  <c r="AC4" i="6"/>
  <c r="X5" i="6"/>
  <c r="AH5" i="6"/>
  <c r="AC6" i="6"/>
  <c r="X7" i="6"/>
  <c r="AG7" i="6"/>
  <c r="Z10" i="6"/>
  <c r="AB11" i="6"/>
  <c r="Z13" i="6"/>
  <c r="AB18" i="6"/>
  <c r="V19" i="6"/>
  <c r="Y22" i="6"/>
  <c r="V24" i="6"/>
  <c r="AG24" i="6"/>
  <c r="V31" i="6"/>
  <c r="AF31" i="6"/>
  <c r="Y32" i="6"/>
  <c r="T33" i="6"/>
  <c r="AD33" i="6"/>
  <c r="X34" i="6"/>
  <c r="AG34" i="6"/>
  <c r="Z35" i="6"/>
  <c r="T19" i="6"/>
  <c r="U19" i="6"/>
  <c r="U31" i="6"/>
  <c r="T4" i="6"/>
  <c r="AD4" i="6"/>
  <c r="Y5" i="6"/>
  <c r="T6" i="6"/>
  <c r="AD6" i="6"/>
  <c r="Y7" i="6"/>
  <c r="AH7" i="6"/>
  <c r="T11" i="6"/>
  <c r="AC11" i="6"/>
  <c r="AB13" i="6"/>
  <c r="AC18" i="6"/>
  <c r="AF19" i="6"/>
  <c r="Z22" i="6"/>
  <c r="X24" i="6"/>
  <c r="AH24" i="6"/>
  <c r="X31" i="6"/>
  <c r="AG31" i="6"/>
  <c r="Z32" i="6"/>
  <c r="U33" i="6"/>
  <c r="AF33" i="6"/>
  <c r="Y34" i="6"/>
  <c r="AH34" i="6"/>
  <c r="AB35" i="6"/>
  <c r="AB6" i="6"/>
  <c r="U4" i="6"/>
  <c r="AF4" i="6"/>
  <c r="Z5" i="6"/>
  <c r="U6" i="6"/>
  <c r="AF6" i="6"/>
  <c r="Z7" i="6"/>
  <c r="AB10" i="6"/>
  <c r="U11" i="6"/>
  <c r="AD11" i="6"/>
  <c r="AC13" i="6"/>
  <c r="T18" i="6"/>
  <c r="AD18" i="6"/>
  <c r="X19" i="6"/>
  <c r="AG19" i="6"/>
  <c r="AB22" i="6"/>
  <c r="Y24" i="6"/>
  <c r="Y31" i="6"/>
  <c r="AH31" i="6"/>
  <c r="AB32" i="6"/>
  <c r="V33" i="6"/>
  <c r="AG33" i="6"/>
  <c r="Z34" i="6"/>
  <c r="T35" i="6"/>
  <c r="AC35" i="6"/>
  <c r="T24" i="6"/>
  <c r="V4" i="6"/>
  <c r="AG4" i="6"/>
  <c r="AB5" i="6"/>
  <c r="V6" i="6"/>
  <c r="AG6" i="6"/>
  <c r="T10" i="6"/>
  <c r="AC10" i="6"/>
  <c r="V11" i="6"/>
  <c r="T13" i="6"/>
  <c r="AD13" i="6"/>
  <c r="U18" i="6"/>
  <c r="AF18" i="6"/>
  <c r="Y19" i="6"/>
  <c r="AH19" i="6"/>
  <c r="AC22" i="6"/>
  <c r="Z24" i="6"/>
  <c r="Z31" i="6"/>
  <c r="AC32" i="6"/>
  <c r="X33" i="6"/>
  <c r="AH33" i="6"/>
  <c r="AB34" i="6"/>
  <c r="U35" i="6"/>
  <c r="AD35" i="6"/>
  <c r="AC33" i="6"/>
  <c r="X4" i="6"/>
  <c r="AH4" i="6"/>
  <c r="AC5" i="6"/>
  <c r="X6" i="6"/>
  <c r="AA6" i="6" s="1"/>
  <c r="AH6" i="6"/>
  <c r="AB7" i="6"/>
  <c r="U10" i="6"/>
  <c r="AD10" i="6"/>
  <c r="AF11" i="6"/>
  <c r="U13" i="6"/>
  <c r="V18" i="6"/>
  <c r="AG18" i="6"/>
  <c r="T22" i="6"/>
  <c r="AD22" i="6"/>
  <c r="AB24" i="6"/>
  <c r="T32" i="6"/>
  <c r="Y33" i="6"/>
  <c r="G34" i="6"/>
  <c r="O34" i="6"/>
  <c r="G35" i="6"/>
  <c r="O35" i="6"/>
  <c r="G19" i="6"/>
  <c r="O19" i="6"/>
  <c r="E24" i="6"/>
  <c r="M24" i="6"/>
  <c r="I32" i="6"/>
  <c r="Q32" i="6"/>
  <c r="I33" i="6"/>
  <c r="Q33" i="6"/>
  <c r="H34" i="6"/>
  <c r="P34" i="6"/>
  <c r="H35" i="6"/>
  <c r="P35" i="6"/>
  <c r="G4" i="6"/>
  <c r="O4" i="6"/>
  <c r="G5" i="6"/>
  <c r="O5" i="6"/>
  <c r="E10" i="6"/>
  <c r="M10" i="6"/>
  <c r="D11" i="6"/>
  <c r="L11" i="6"/>
  <c r="D13" i="6"/>
  <c r="L13" i="6"/>
  <c r="I19" i="6"/>
  <c r="Q19" i="6"/>
  <c r="H22" i="6"/>
  <c r="P22" i="6"/>
  <c r="G24" i="6"/>
  <c r="O24" i="6"/>
  <c r="D31" i="6"/>
  <c r="L31" i="6"/>
  <c r="C32" i="6"/>
  <c r="K32" i="6"/>
  <c r="C33" i="6"/>
  <c r="K33" i="6"/>
  <c r="E22" i="6"/>
  <c r="M22" i="6"/>
  <c r="E4" i="6"/>
  <c r="M4" i="6"/>
  <c r="E5" i="6"/>
  <c r="M5" i="6"/>
  <c r="G22" i="6"/>
  <c r="O22" i="6"/>
  <c r="H4" i="6"/>
  <c r="P4" i="6"/>
  <c r="H5" i="6"/>
  <c r="P5" i="6"/>
  <c r="G6" i="6"/>
  <c r="O6" i="6"/>
  <c r="G7" i="6"/>
  <c r="O7" i="6"/>
  <c r="E11" i="6"/>
  <c r="M11" i="6"/>
  <c r="E13" i="6"/>
  <c r="M13" i="6"/>
  <c r="C18" i="6"/>
  <c r="K18" i="6"/>
  <c r="I22" i="6"/>
  <c r="Q22" i="6"/>
  <c r="H24" i="6"/>
  <c r="P24" i="6"/>
  <c r="E31" i="6"/>
  <c r="M31" i="6"/>
  <c r="D32" i="6"/>
  <c r="L32" i="6"/>
  <c r="D33" i="6"/>
  <c r="L33" i="6"/>
  <c r="C34" i="6"/>
  <c r="K34" i="6"/>
  <c r="C35" i="6"/>
  <c r="K35" i="6"/>
  <c r="I4" i="6"/>
  <c r="Q4" i="6"/>
  <c r="I5" i="6"/>
  <c r="Q5" i="6"/>
  <c r="H6" i="6"/>
  <c r="P6" i="6"/>
  <c r="H7" i="6"/>
  <c r="P7" i="6"/>
  <c r="G10" i="6"/>
  <c r="O10" i="6"/>
  <c r="D18" i="6"/>
  <c r="L18" i="6"/>
  <c r="C19" i="6"/>
  <c r="K19" i="6"/>
  <c r="I24" i="6"/>
  <c r="Q24" i="6"/>
  <c r="E32" i="6"/>
  <c r="M32" i="6"/>
  <c r="E33" i="6"/>
  <c r="M33" i="6"/>
  <c r="D34" i="6"/>
  <c r="L34" i="6"/>
  <c r="D35" i="6"/>
  <c r="L35" i="6"/>
  <c r="E6" i="6"/>
  <c r="M6" i="6"/>
  <c r="E7" i="6"/>
  <c r="M7" i="6"/>
  <c r="I6" i="6"/>
  <c r="Q6" i="6"/>
  <c r="I7" i="6"/>
  <c r="Q7" i="6"/>
  <c r="H10" i="6"/>
  <c r="P10" i="6"/>
  <c r="G11" i="6"/>
  <c r="O11" i="6"/>
  <c r="G13" i="6"/>
  <c r="O13" i="6"/>
  <c r="E18" i="6"/>
  <c r="M18" i="6"/>
  <c r="D19" i="6"/>
  <c r="L19" i="6"/>
  <c r="C22" i="6"/>
  <c r="K22" i="6"/>
  <c r="G31" i="6"/>
  <c r="O31" i="6"/>
  <c r="E34" i="6"/>
  <c r="M34" i="6"/>
  <c r="E35" i="6"/>
  <c r="M35" i="6"/>
  <c r="C4" i="6"/>
  <c r="K4" i="6"/>
  <c r="C5" i="6"/>
  <c r="K5" i="6"/>
  <c r="I10" i="6"/>
  <c r="Q10" i="6"/>
  <c r="H11" i="6"/>
  <c r="P11" i="6"/>
  <c r="H13" i="6"/>
  <c r="P13" i="6"/>
  <c r="E19" i="6"/>
  <c r="M19" i="6"/>
  <c r="D22" i="6"/>
  <c r="L22" i="6"/>
  <c r="C24" i="6"/>
  <c r="K24" i="6"/>
  <c r="G32" i="6"/>
  <c r="O32" i="6"/>
  <c r="T12" i="5"/>
  <c r="U33" i="5"/>
  <c r="X12" i="5"/>
  <c r="AB9" i="5"/>
  <c r="AF12" i="5"/>
  <c r="AC9" i="5"/>
  <c r="X21" i="5"/>
  <c r="AB25" i="5"/>
  <c r="U21" i="5"/>
  <c r="X29" i="5"/>
  <c r="AB4" i="5"/>
  <c r="AC25" i="5"/>
  <c r="AB33" i="5"/>
  <c r="AF9" i="5"/>
  <c r="T33" i="5"/>
  <c r="T25" i="5"/>
  <c r="T9" i="5"/>
  <c r="T11" i="5"/>
  <c r="T29" i="5"/>
  <c r="T21" i="5"/>
  <c r="T34" i="5"/>
  <c r="T10" i="5"/>
  <c r="AB11" i="5"/>
  <c r="AB24" i="5"/>
  <c r="AB34" i="5"/>
  <c r="AB10" i="5"/>
  <c r="AB31" i="5"/>
  <c r="AB15" i="5"/>
  <c r="AF21" i="5"/>
  <c r="U11" i="5"/>
  <c r="U24" i="5"/>
  <c r="U34" i="5"/>
  <c r="U10" i="5"/>
  <c r="U31" i="5"/>
  <c r="U15" i="5"/>
  <c r="AC11" i="5"/>
  <c r="AC24" i="5"/>
  <c r="AC29" i="5"/>
  <c r="AC21" i="5"/>
  <c r="AC31" i="5"/>
  <c r="AC15" i="5"/>
  <c r="AC12" i="5"/>
  <c r="AC4" i="5"/>
  <c r="T15" i="5"/>
  <c r="X9" i="5"/>
  <c r="U9" i="5"/>
  <c r="AC34" i="5"/>
  <c r="X11" i="5"/>
  <c r="X24" i="5"/>
  <c r="X34" i="5"/>
  <c r="X10" i="5"/>
  <c r="X31" i="5"/>
  <c r="X15" i="5"/>
  <c r="AF11" i="5"/>
  <c r="AF24" i="5"/>
  <c r="AF29" i="5"/>
  <c r="AF34" i="5"/>
  <c r="AF10" i="5"/>
  <c r="AF31" i="5"/>
  <c r="AF15" i="5"/>
  <c r="T24" i="5"/>
  <c r="T31" i="5"/>
  <c r="X25" i="5"/>
  <c r="AB21" i="5"/>
  <c r="AF25" i="5"/>
  <c r="AF33" i="5"/>
  <c r="X4" i="5"/>
  <c r="X33" i="5"/>
  <c r="AB29" i="5"/>
  <c r="AF4" i="5"/>
  <c r="V4" i="5"/>
  <c r="V12" i="5"/>
  <c r="Y4" i="5"/>
  <c r="Z9" i="5"/>
  <c r="Y12" i="5"/>
  <c r="Z25" i="5"/>
  <c r="Z33" i="5"/>
  <c r="AD9" i="5"/>
  <c r="AD25" i="5"/>
  <c r="AD33" i="5"/>
  <c r="AG4" i="5"/>
  <c r="AH9" i="5"/>
  <c r="AG12" i="5"/>
  <c r="AH25" i="5"/>
  <c r="AH33" i="5"/>
  <c r="V15" i="5"/>
  <c r="V31" i="5"/>
  <c r="Z4" i="5"/>
  <c r="Z12" i="5"/>
  <c r="Y15" i="5"/>
  <c r="Y31" i="5"/>
  <c r="AD4" i="5"/>
  <c r="AD12" i="5"/>
  <c r="AH4" i="5"/>
  <c r="AH12" i="5"/>
  <c r="AG15" i="5"/>
  <c r="AG31" i="5"/>
  <c r="V21" i="5"/>
  <c r="V29" i="5"/>
  <c r="Z10" i="5"/>
  <c r="Y21" i="5"/>
  <c r="Y29" i="5"/>
  <c r="Z34" i="5"/>
  <c r="AD10" i="5"/>
  <c r="AD34" i="5"/>
  <c r="AH10" i="5"/>
  <c r="AG21" i="5"/>
  <c r="AG29" i="5"/>
  <c r="AH34" i="5"/>
  <c r="V24" i="5"/>
  <c r="Z21" i="5"/>
  <c r="Y24" i="5"/>
  <c r="Z29" i="5"/>
  <c r="AD21" i="5"/>
  <c r="AD29" i="5"/>
  <c r="AH21" i="5"/>
  <c r="AG24" i="5"/>
  <c r="AH29" i="5"/>
  <c r="V11" i="5"/>
  <c r="Y11" i="5"/>
  <c r="Z24" i="5"/>
  <c r="AD24" i="5"/>
  <c r="AG11" i="5"/>
  <c r="AH24" i="5"/>
  <c r="C15" i="5"/>
  <c r="E33" i="5"/>
  <c r="H33" i="5"/>
  <c r="L25" i="5"/>
  <c r="P33" i="5"/>
  <c r="E4" i="5"/>
  <c r="C10" i="5"/>
  <c r="E12" i="5"/>
  <c r="D15" i="5"/>
  <c r="D31" i="5"/>
  <c r="C34" i="5"/>
  <c r="H4" i="5"/>
  <c r="I9" i="5"/>
  <c r="H12" i="5"/>
  <c r="G15" i="5"/>
  <c r="I25" i="5"/>
  <c r="G31" i="5"/>
  <c r="I33" i="5"/>
  <c r="L4" i="5"/>
  <c r="M9" i="5"/>
  <c r="L12" i="5"/>
  <c r="K15" i="5"/>
  <c r="M25" i="5"/>
  <c r="K31" i="5"/>
  <c r="M33" i="5"/>
  <c r="P4" i="5"/>
  <c r="Q9" i="5"/>
  <c r="P12" i="5"/>
  <c r="O15" i="5"/>
  <c r="Q25" i="5"/>
  <c r="O31" i="5"/>
  <c r="Q33" i="5"/>
  <c r="D4" i="5"/>
  <c r="P9" i="5"/>
  <c r="P25" i="5"/>
  <c r="D10" i="5"/>
  <c r="E15" i="5"/>
  <c r="C21" i="5"/>
  <c r="C29" i="5"/>
  <c r="E31" i="5"/>
  <c r="D34" i="5"/>
  <c r="I4" i="5"/>
  <c r="G10" i="5"/>
  <c r="I12" i="5"/>
  <c r="H15" i="5"/>
  <c r="H31" i="5"/>
  <c r="G34" i="5"/>
  <c r="M4" i="5"/>
  <c r="K10" i="5"/>
  <c r="M12" i="5"/>
  <c r="L15" i="5"/>
  <c r="L31" i="5"/>
  <c r="K34" i="5"/>
  <c r="Q4" i="5"/>
  <c r="O10" i="5"/>
  <c r="Q12" i="5"/>
  <c r="P15" i="5"/>
  <c r="P31" i="5"/>
  <c r="O34" i="5"/>
  <c r="C31" i="5"/>
  <c r="G12" i="5"/>
  <c r="K12" i="5"/>
  <c r="O4" i="5"/>
  <c r="E10" i="5"/>
  <c r="D21" i="5"/>
  <c r="C24" i="5"/>
  <c r="D29" i="5"/>
  <c r="E34" i="5"/>
  <c r="H10" i="5"/>
  <c r="I15" i="5"/>
  <c r="G21" i="5"/>
  <c r="G29" i="5"/>
  <c r="I31" i="5"/>
  <c r="H34" i="5"/>
  <c r="L10" i="5"/>
  <c r="M15" i="5"/>
  <c r="K21" i="5"/>
  <c r="K29" i="5"/>
  <c r="M31" i="5"/>
  <c r="L34" i="5"/>
  <c r="P10" i="5"/>
  <c r="Q15" i="5"/>
  <c r="O21" i="5"/>
  <c r="O29" i="5"/>
  <c r="Q31" i="5"/>
  <c r="P34" i="5"/>
  <c r="D12" i="5"/>
  <c r="E25" i="5"/>
  <c r="G4" i="5"/>
  <c r="H9" i="5"/>
  <c r="K4" i="5"/>
  <c r="L9" i="5"/>
  <c r="L33" i="5"/>
  <c r="O12" i="5"/>
  <c r="C11" i="5"/>
  <c r="E21" i="5"/>
  <c r="D24" i="5"/>
  <c r="E29" i="5"/>
  <c r="I10" i="5"/>
  <c r="H21" i="5"/>
  <c r="G24" i="5"/>
  <c r="H29" i="5"/>
  <c r="I34" i="5"/>
  <c r="M10" i="5"/>
  <c r="L21" i="5"/>
  <c r="K24" i="5"/>
  <c r="L29" i="5"/>
  <c r="M34" i="5"/>
  <c r="Q10" i="5"/>
  <c r="P21" i="5"/>
  <c r="O24" i="5"/>
  <c r="P29" i="5"/>
  <c r="Q34" i="5"/>
  <c r="H25" i="5"/>
  <c r="D11" i="5"/>
  <c r="E24" i="5"/>
  <c r="G11" i="5"/>
  <c r="I21" i="5"/>
  <c r="H24" i="5"/>
  <c r="I29" i="5"/>
  <c r="K11" i="5"/>
  <c r="M21" i="5"/>
  <c r="L24" i="5"/>
  <c r="M29" i="5"/>
  <c r="O11" i="5"/>
  <c r="Q21" i="5"/>
  <c r="P24" i="5"/>
  <c r="Q29" i="5"/>
  <c r="C9" i="5"/>
  <c r="E11" i="5"/>
  <c r="C25" i="5"/>
  <c r="C33" i="5"/>
  <c r="H11" i="5"/>
  <c r="I24" i="5"/>
  <c r="L11" i="5"/>
  <c r="M24" i="5"/>
  <c r="P11" i="5"/>
  <c r="Q24" i="5"/>
  <c r="E9" i="5"/>
  <c r="C4" i="5"/>
  <c r="D9" i="5"/>
  <c r="C12" i="5"/>
  <c r="D25" i="5"/>
  <c r="D33" i="5"/>
  <c r="G9" i="5"/>
  <c r="I11" i="5"/>
  <c r="G25" i="5"/>
  <c r="G33" i="5"/>
  <c r="K9" i="5"/>
  <c r="M11" i="5"/>
  <c r="K25" i="5"/>
  <c r="K33" i="5"/>
  <c r="O9" i="5"/>
  <c r="Q11" i="5"/>
  <c r="O25" i="5"/>
  <c r="O33" i="5"/>
  <c r="J419" i="2"/>
  <c r="I419" i="2"/>
  <c r="H419" i="2"/>
  <c r="G419" i="2"/>
  <c r="J418" i="2"/>
  <c r="I418" i="2"/>
  <c r="H418" i="2"/>
  <c r="G418" i="2"/>
  <c r="J417" i="2"/>
  <c r="I417" i="2"/>
  <c r="H417" i="2"/>
  <c r="G417" i="2"/>
  <c r="J416" i="2"/>
  <c r="I416" i="2"/>
  <c r="H416" i="2"/>
  <c r="G416" i="2"/>
  <c r="J415" i="2"/>
  <c r="I415" i="2"/>
  <c r="H415" i="2"/>
  <c r="G415" i="2"/>
  <c r="J414" i="2"/>
  <c r="I414" i="2"/>
  <c r="H414" i="2"/>
  <c r="G414" i="2"/>
  <c r="J413" i="2"/>
  <c r="I413" i="2"/>
  <c r="H413" i="2"/>
  <c r="G413" i="2"/>
  <c r="J412" i="2"/>
  <c r="I412" i="2"/>
  <c r="H412" i="2"/>
  <c r="G412" i="2"/>
  <c r="J411" i="2"/>
  <c r="I411" i="2"/>
  <c r="H411" i="2"/>
  <c r="G411" i="2"/>
  <c r="J410" i="2"/>
  <c r="I410" i="2"/>
  <c r="H410" i="2"/>
  <c r="G410" i="2"/>
  <c r="J409" i="2"/>
  <c r="I409" i="2"/>
  <c r="H409" i="2"/>
  <c r="G409" i="2"/>
  <c r="J408" i="2"/>
  <c r="I408" i="2"/>
  <c r="H408" i="2"/>
  <c r="G408" i="2"/>
  <c r="J407" i="2"/>
  <c r="I407" i="2"/>
  <c r="H407" i="2"/>
  <c r="G407" i="2"/>
  <c r="J406" i="2"/>
  <c r="I406" i="2"/>
  <c r="H406" i="2"/>
  <c r="G406" i="2"/>
  <c r="J405" i="2"/>
  <c r="I405" i="2"/>
  <c r="H405" i="2"/>
  <c r="G405" i="2"/>
  <c r="J404" i="2"/>
  <c r="I404" i="2"/>
  <c r="H404" i="2"/>
  <c r="G404" i="2"/>
  <c r="J403" i="2"/>
  <c r="I403" i="2"/>
  <c r="H403" i="2"/>
  <c r="G403" i="2"/>
  <c r="J402" i="2"/>
  <c r="I402" i="2"/>
  <c r="H402" i="2"/>
  <c r="G402" i="2"/>
  <c r="J401" i="2"/>
  <c r="I401" i="2"/>
  <c r="H401" i="2"/>
  <c r="G401" i="2"/>
  <c r="J400" i="2"/>
  <c r="I400" i="2"/>
  <c r="H400" i="2"/>
  <c r="G400" i="2"/>
  <c r="J399" i="2"/>
  <c r="I399" i="2"/>
  <c r="H399" i="2"/>
  <c r="G399" i="2"/>
  <c r="J398" i="2"/>
  <c r="I398" i="2"/>
  <c r="H398" i="2"/>
  <c r="G398" i="2"/>
  <c r="J397" i="2"/>
  <c r="I397" i="2"/>
  <c r="H397" i="2"/>
  <c r="G397" i="2"/>
  <c r="J396" i="2"/>
  <c r="I396" i="2"/>
  <c r="H396" i="2"/>
  <c r="G396" i="2"/>
  <c r="J395" i="2"/>
  <c r="I395" i="2"/>
  <c r="H395" i="2"/>
  <c r="G395" i="2"/>
  <c r="J394" i="2"/>
  <c r="I394" i="2"/>
  <c r="H394" i="2"/>
  <c r="G394" i="2"/>
  <c r="J393" i="2"/>
  <c r="I393" i="2"/>
  <c r="H393" i="2"/>
  <c r="G393" i="2"/>
  <c r="J392" i="2"/>
  <c r="I392" i="2"/>
  <c r="H392" i="2"/>
  <c r="G392" i="2"/>
  <c r="J391" i="2"/>
  <c r="I391" i="2"/>
  <c r="H391" i="2"/>
  <c r="G391" i="2"/>
  <c r="J390" i="2"/>
  <c r="I390" i="2"/>
  <c r="H390" i="2"/>
  <c r="G390" i="2"/>
  <c r="J389" i="2"/>
  <c r="I389" i="2"/>
  <c r="H389" i="2"/>
  <c r="G389" i="2"/>
  <c r="J388" i="2"/>
  <c r="I388" i="2"/>
  <c r="H388" i="2"/>
  <c r="G388" i="2"/>
  <c r="J387" i="2"/>
  <c r="I387" i="2"/>
  <c r="H387" i="2"/>
  <c r="G387" i="2"/>
  <c r="J386" i="2"/>
  <c r="I386" i="2"/>
  <c r="H386" i="2"/>
  <c r="G386" i="2"/>
  <c r="J385" i="2"/>
  <c r="I385" i="2"/>
  <c r="H385" i="2"/>
  <c r="G385" i="2"/>
  <c r="J384" i="2"/>
  <c r="I384" i="2"/>
  <c r="H384" i="2"/>
  <c r="G384" i="2"/>
  <c r="J383" i="2"/>
  <c r="I383" i="2"/>
  <c r="H383" i="2"/>
  <c r="G383" i="2"/>
  <c r="J382" i="2"/>
  <c r="I382" i="2"/>
  <c r="H382" i="2"/>
  <c r="G382" i="2"/>
  <c r="J381" i="2"/>
  <c r="I381" i="2"/>
  <c r="H381" i="2"/>
  <c r="G381" i="2"/>
  <c r="J380" i="2"/>
  <c r="I380" i="2"/>
  <c r="H380" i="2"/>
  <c r="G380" i="2"/>
  <c r="J379" i="2"/>
  <c r="I379" i="2"/>
  <c r="H379" i="2"/>
  <c r="G379" i="2"/>
  <c r="J378" i="2"/>
  <c r="I378" i="2"/>
  <c r="H378" i="2"/>
  <c r="G378" i="2"/>
  <c r="J377" i="2"/>
  <c r="I377" i="2"/>
  <c r="H377" i="2"/>
  <c r="G377" i="2"/>
  <c r="J376" i="2"/>
  <c r="I376" i="2"/>
  <c r="H376" i="2"/>
  <c r="G376" i="2"/>
  <c r="J375" i="2"/>
  <c r="I375" i="2"/>
  <c r="H375" i="2"/>
  <c r="G375" i="2"/>
  <c r="J374" i="2"/>
  <c r="I374" i="2"/>
  <c r="H374" i="2"/>
  <c r="G374" i="2"/>
  <c r="J373" i="2"/>
  <c r="I373" i="2"/>
  <c r="H373" i="2"/>
  <c r="G373" i="2"/>
  <c r="J372" i="2"/>
  <c r="I372" i="2"/>
  <c r="H372" i="2"/>
  <c r="G372" i="2"/>
  <c r="J371" i="2"/>
  <c r="I371" i="2"/>
  <c r="H371" i="2"/>
  <c r="G371" i="2"/>
  <c r="J370" i="2"/>
  <c r="I370" i="2"/>
  <c r="H370" i="2"/>
  <c r="G370" i="2"/>
  <c r="J369" i="2"/>
  <c r="I369" i="2"/>
  <c r="H369" i="2"/>
  <c r="G369" i="2"/>
  <c r="J368" i="2"/>
  <c r="I368" i="2"/>
  <c r="H368" i="2"/>
  <c r="G368" i="2"/>
  <c r="J367" i="2"/>
  <c r="I367" i="2"/>
  <c r="H367" i="2"/>
  <c r="G367" i="2"/>
  <c r="J366" i="2"/>
  <c r="I366" i="2"/>
  <c r="H366" i="2"/>
  <c r="G366" i="2"/>
  <c r="J365" i="2"/>
  <c r="I365" i="2"/>
  <c r="H365" i="2"/>
  <c r="G365" i="2"/>
  <c r="J364" i="2"/>
  <c r="I364" i="2"/>
  <c r="H364" i="2"/>
  <c r="G364" i="2"/>
  <c r="J363" i="2"/>
  <c r="I363" i="2"/>
  <c r="H363" i="2"/>
  <c r="G363" i="2"/>
  <c r="J362" i="2"/>
  <c r="I362" i="2"/>
  <c r="H362" i="2"/>
  <c r="G362" i="2"/>
  <c r="J361" i="2"/>
  <c r="I361" i="2"/>
  <c r="H361" i="2"/>
  <c r="G361" i="2"/>
  <c r="J360" i="2"/>
  <c r="I360" i="2"/>
  <c r="H360" i="2"/>
  <c r="G360" i="2"/>
  <c r="J359" i="2"/>
  <c r="I359" i="2"/>
  <c r="H359" i="2"/>
  <c r="G359" i="2"/>
  <c r="J358" i="2"/>
  <c r="I358" i="2"/>
  <c r="H358" i="2"/>
  <c r="G358" i="2"/>
  <c r="J357" i="2"/>
  <c r="I357" i="2"/>
  <c r="H357" i="2"/>
  <c r="G357" i="2"/>
  <c r="J356" i="2"/>
  <c r="I356" i="2"/>
  <c r="H356" i="2"/>
  <c r="G356" i="2"/>
  <c r="J355" i="2"/>
  <c r="I355" i="2"/>
  <c r="H355" i="2"/>
  <c r="G355" i="2"/>
  <c r="J354" i="2"/>
  <c r="I354" i="2"/>
  <c r="H354" i="2"/>
  <c r="G354" i="2"/>
  <c r="J353" i="2"/>
  <c r="I353" i="2"/>
  <c r="H353" i="2"/>
  <c r="G353" i="2"/>
  <c r="J352" i="2"/>
  <c r="I352" i="2"/>
  <c r="H352" i="2"/>
  <c r="G352" i="2"/>
  <c r="J351" i="2"/>
  <c r="I351" i="2"/>
  <c r="H351" i="2"/>
  <c r="G351" i="2"/>
  <c r="J350" i="2"/>
  <c r="I350" i="2"/>
  <c r="H350" i="2"/>
  <c r="G350" i="2"/>
  <c r="J349" i="2"/>
  <c r="I349" i="2"/>
  <c r="H349" i="2"/>
  <c r="G349" i="2"/>
  <c r="J348" i="2"/>
  <c r="I348" i="2"/>
  <c r="H348" i="2"/>
  <c r="G348" i="2"/>
  <c r="J347" i="2"/>
  <c r="I347" i="2"/>
  <c r="H347" i="2"/>
  <c r="G347" i="2"/>
  <c r="J346" i="2"/>
  <c r="I346" i="2"/>
  <c r="H346" i="2"/>
  <c r="G346" i="2"/>
  <c r="J345" i="2"/>
  <c r="I345" i="2"/>
  <c r="H345" i="2"/>
  <c r="G345" i="2"/>
  <c r="J344" i="2"/>
  <c r="I344" i="2"/>
  <c r="H344" i="2"/>
  <c r="G344" i="2"/>
  <c r="J343" i="2"/>
  <c r="I343" i="2"/>
  <c r="H343" i="2"/>
  <c r="G343" i="2"/>
  <c r="J342" i="2"/>
  <c r="I342" i="2"/>
  <c r="H342" i="2"/>
  <c r="G342" i="2"/>
  <c r="J341" i="2"/>
  <c r="I341" i="2"/>
  <c r="H341" i="2"/>
  <c r="G341" i="2"/>
  <c r="J340" i="2"/>
  <c r="I340" i="2"/>
  <c r="H340" i="2"/>
  <c r="G340" i="2"/>
  <c r="J339" i="2"/>
  <c r="I339" i="2"/>
  <c r="H339" i="2"/>
  <c r="G339" i="2"/>
  <c r="J338" i="2"/>
  <c r="I338" i="2"/>
  <c r="H338" i="2"/>
  <c r="G338" i="2"/>
  <c r="J337" i="2"/>
  <c r="I337" i="2"/>
  <c r="H337" i="2"/>
  <c r="G337" i="2"/>
  <c r="J336" i="2"/>
  <c r="I336" i="2"/>
  <c r="H336" i="2"/>
  <c r="G336" i="2"/>
  <c r="J335" i="2"/>
  <c r="I335" i="2"/>
  <c r="H335" i="2"/>
  <c r="G335" i="2"/>
  <c r="J334" i="2"/>
  <c r="I334" i="2"/>
  <c r="H334" i="2"/>
  <c r="G334" i="2"/>
  <c r="J333" i="2"/>
  <c r="I333" i="2"/>
  <c r="H333" i="2"/>
  <c r="G333" i="2"/>
  <c r="J332" i="2"/>
  <c r="I332" i="2"/>
  <c r="H332" i="2"/>
  <c r="G332" i="2"/>
  <c r="J331" i="2"/>
  <c r="I331" i="2"/>
  <c r="H331" i="2"/>
  <c r="G331" i="2"/>
  <c r="J330" i="2"/>
  <c r="I330" i="2"/>
  <c r="H330" i="2"/>
  <c r="G330" i="2"/>
  <c r="J329" i="2"/>
  <c r="I329" i="2"/>
  <c r="H329" i="2"/>
  <c r="G329" i="2"/>
  <c r="J328" i="2"/>
  <c r="I328" i="2"/>
  <c r="H328" i="2"/>
  <c r="G328" i="2"/>
  <c r="J327" i="2"/>
  <c r="I327" i="2"/>
  <c r="H327" i="2"/>
  <c r="G327" i="2"/>
  <c r="J326" i="2"/>
  <c r="I326" i="2"/>
  <c r="H326" i="2"/>
  <c r="G326" i="2"/>
  <c r="J325" i="2"/>
  <c r="I325" i="2"/>
  <c r="H325" i="2"/>
  <c r="G325" i="2"/>
  <c r="J324" i="2"/>
  <c r="I324" i="2"/>
  <c r="H324" i="2"/>
  <c r="G324" i="2"/>
  <c r="J323" i="2"/>
  <c r="I323" i="2"/>
  <c r="H323" i="2"/>
  <c r="G323" i="2"/>
  <c r="J322" i="2"/>
  <c r="I322" i="2"/>
  <c r="H322" i="2"/>
  <c r="G322" i="2"/>
  <c r="J321" i="2"/>
  <c r="I321" i="2"/>
  <c r="H321" i="2"/>
  <c r="G321" i="2"/>
  <c r="J320" i="2"/>
  <c r="I320" i="2"/>
  <c r="H320" i="2"/>
  <c r="G320" i="2"/>
  <c r="J319" i="2"/>
  <c r="I319" i="2"/>
  <c r="H319" i="2"/>
  <c r="G319" i="2"/>
  <c r="J318" i="2"/>
  <c r="I318" i="2"/>
  <c r="H318" i="2"/>
  <c r="G318" i="2"/>
  <c r="J317" i="2"/>
  <c r="I317" i="2"/>
  <c r="H317" i="2"/>
  <c r="G317" i="2"/>
  <c r="J316" i="2"/>
  <c r="I316" i="2"/>
  <c r="H316" i="2"/>
  <c r="G316" i="2"/>
  <c r="J315" i="2"/>
  <c r="I315" i="2"/>
  <c r="H315" i="2"/>
  <c r="G315" i="2"/>
  <c r="I314" i="2"/>
  <c r="H314" i="2"/>
  <c r="G314" i="2"/>
  <c r="I313" i="2"/>
  <c r="H313" i="2"/>
  <c r="G313" i="2"/>
  <c r="I312" i="2"/>
  <c r="H312" i="2"/>
  <c r="G312" i="2"/>
  <c r="I311" i="2"/>
  <c r="H311" i="2"/>
  <c r="G311" i="2"/>
  <c r="I310" i="2"/>
  <c r="H310" i="2"/>
  <c r="G310" i="2"/>
  <c r="I309" i="2"/>
  <c r="H309" i="2"/>
  <c r="G309" i="2"/>
  <c r="I308" i="2"/>
  <c r="H308" i="2"/>
  <c r="G308" i="2"/>
  <c r="I307" i="2"/>
  <c r="H307" i="2"/>
  <c r="G307" i="2"/>
  <c r="I306" i="2"/>
  <c r="H306" i="2"/>
  <c r="G306" i="2"/>
  <c r="I305" i="2"/>
  <c r="H305" i="2"/>
  <c r="G305" i="2"/>
  <c r="I304" i="2"/>
  <c r="H304" i="2"/>
  <c r="G304" i="2"/>
  <c r="I303" i="2"/>
  <c r="H303" i="2"/>
  <c r="G303" i="2"/>
  <c r="I302" i="2"/>
  <c r="H302" i="2"/>
  <c r="G302" i="2"/>
  <c r="I301" i="2"/>
  <c r="H301" i="2"/>
  <c r="G301" i="2"/>
  <c r="I300" i="2"/>
  <c r="H300" i="2"/>
  <c r="G300" i="2"/>
  <c r="I299" i="2"/>
  <c r="H299" i="2"/>
  <c r="G299" i="2"/>
  <c r="I298" i="2"/>
  <c r="H298" i="2"/>
  <c r="G298" i="2"/>
  <c r="I297" i="2"/>
  <c r="H297" i="2"/>
  <c r="G297" i="2"/>
  <c r="I296" i="2"/>
  <c r="H296" i="2"/>
  <c r="G296" i="2"/>
  <c r="I295" i="2"/>
  <c r="H295" i="2"/>
  <c r="G295" i="2"/>
  <c r="I294" i="2"/>
  <c r="H294" i="2"/>
  <c r="G294" i="2"/>
  <c r="I293" i="2"/>
  <c r="H293" i="2"/>
  <c r="G293" i="2"/>
  <c r="I292" i="2"/>
  <c r="H292" i="2"/>
  <c r="G292" i="2"/>
  <c r="I291" i="2"/>
  <c r="H291" i="2"/>
  <c r="G291" i="2"/>
  <c r="I290" i="2"/>
  <c r="H290" i="2"/>
  <c r="G290" i="2"/>
  <c r="I289" i="2"/>
  <c r="H289" i="2"/>
  <c r="G289" i="2"/>
  <c r="I288" i="2"/>
  <c r="H288" i="2"/>
  <c r="G288" i="2"/>
  <c r="E288" i="2"/>
  <c r="J288" i="2" s="1"/>
  <c r="I287" i="2"/>
  <c r="H287" i="2"/>
  <c r="G287" i="2"/>
  <c r="E287" i="2"/>
  <c r="I286" i="2"/>
  <c r="H286" i="2"/>
  <c r="G286" i="2"/>
  <c r="E286" i="2"/>
  <c r="J286" i="2" s="1"/>
  <c r="I285" i="2"/>
  <c r="H285" i="2"/>
  <c r="G285" i="2"/>
  <c r="E285" i="2"/>
  <c r="I284" i="2"/>
  <c r="H284" i="2"/>
  <c r="G284" i="2"/>
  <c r="E284" i="2"/>
  <c r="E297" i="2" s="1"/>
  <c r="E310" i="2" s="1"/>
  <c r="J310" i="2" s="1"/>
  <c r="I283" i="2"/>
  <c r="H283" i="2"/>
  <c r="G283" i="2"/>
  <c r="E283" i="2"/>
  <c r="J283" i="2" s="1"/>
  <c r="I282" i="2"/>
  <c r="H282" i="2"/>
  <c r="G282" i="2"/>
  <c r="E282" i="2"/>
  <c r="E295" i="2" s="1"/>
  <c r="I281" i="2"/>
  <c r="H281" i="2"/>
  <c r="G281" i="2"/>
  <c r="E281" i="2"/>
  <c r="E294" i="2" s="1"/>
  <c r="I280" i="2"/>
  <c r="H280" i="2"/>
  <c r="G280" i="2"/>
  <c r="E280" i="2"/>
  <c r="I279" i="2"/>
  <c r="H279" i="2"/>
  <c r="G279" i="2"/>
  <c r="E279" i="2"/>
  <c r="I278" i="2"/>
  <c r="H278" i="2"/>
  <c r="G278" i="2"/>
  <c r="E278" i="2"/>
  <c r="J278" i="2" s="1"/>
  <c r="I277" i="2"/>
  <c r="H277" i="2"/>
  <c r="G277" i="2"/>
  <c r="E277" i="2"/>
  <c r="I276" i="2"/>
  <c r="H276" i="2"/>
  <c r="G276" i="2"/>
  <c r="E276" i="2"/>
  <c r="E289" i="2" s="1"/>
  <c r="E302" i="2" s="1"/>
  <c r="J302" i="2" s="1"/>
  <c r="J275" i="2"/>
  <c r="I275" i="2"/>
  <c r="H275" i="2"/>
  <c r="G275" i="2"/>
  <c r="J274" i="2"/>
  <c r="I274" i="2"/>
  <c r="H274" i="2"/>
  <c r="G274" i="2"/>
  <c r="J273" i="2"/>
  <c r="I273" i="2"/>
  <c r="H273" i="2"/>
  <c r="G273" i="2"/>
  <c r="J272" i="2"/>
  <c r="I272" i="2"/>
  <c r="H272" i="2"/>
  <c r="G272" i="2"/>
  <c r="J271" i="2"/>
  <c r="I271" i="2"/>
  <c r="H271" i="2"/>
  <c r="G271" i="2"/>
  <c r="J270" i="2"/>
  <c r="I270" i="2"/>
  <c r="H270" i="2"/>
  <c r="G270" i="2"/>
  <c r="J269" i="2"/>
  <c r="I269" i="2"/>
  <c r="H269" i="2"/>
  <c r="G269" i="2"/>
  <c r="J268" i="2"/>
  <c r="I268" i="2"/>
  <c r="H268" i="2"/>
  <c r="G268" i="2"/>
  <c r="J267" i="2"/>
  <c r="I267" i="2"/>
  <c r="H267" i="2"/>
  <c r="G267" i="2"/>
  <c r="J266" i="2"/>
  <c r="I266" i="2"/>
  <c r="H266" i="2"/>
  <c r="G266" i="2"/>
  <c r="J265" i="2"/>
  <c r="I265" i="2"/>
  <c r="H265" i="2"/>
  <c r="G265" i="2"/>
  <c r="J264" i="2"/>
  <c r="I264" i="2"/>
  <c r="H264" i="2"/>
  <c r="G264" i="2"/>
  <c r="J263" i="2"/>
  <c r="I263" i="2"/>
  <c r="H263" i="2"/>
  <c r="G263" i="2"/>
  <c r="I262" i="2"/>
  <c r="H262" i="2"/>
  <c r="G262" i="2"/>
  <c r="I261" i="2"/>
  <c r="H261" i="2"/>
  <c r="G261" i="2"/>
  <c r="I260" i="2"/>
  <c r="H260" i="2"/>
  <c r="G260" i="2"/>
  <c r="I259" i="2"/>
  <c r="H259" i="2"/>
  <c r="G259" i="2"/>
  <c r="I258" i="2"/>
  <c r="H258" i="2"/>
  <c r="G258" i="2"/>
  <c r="I257" i="2"/>
  <c r="H257" i="2"/>
  <c r="G257" i="2"/>
  <c r="I256" i="2"/>
  <c r="H256" i="2"/>
  <c r="G256" i="2"/>
  <c r="I255" i="2"/>
  <c r="H255" i="2"/>
  <c r="G255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40" i="2"/>
  <c r="H240" i="2"/>
  <c r="G240" i="2"/>
  <c r="I239" i="2"/>
  <c r="H239" i="2"/>
  <c r="G239" i="2"/>
  <c r="I238" i="2"/>
  <c r="H238" i="2"/>
  <c r="G238" i="2"/>
  <c r="I237" i="2"/>
  <c r="H237" i="2"/>
  <c r="G237" i="2"/>
  <c r="I236" i="2"/>
  <c r="H236" i="2"/>
  <c r="G236" i="2"/>
  <c r="E236" i="2"/>
  <c r="I235" i="2"/>
  <c r="H235" i="2"/>
  <c r="G235" i="2"/>
  <c r="E235" i="2"/>
  <c r="J235" i="2" s="1"/>
  <c r="I234" i="2"/>
  <c r="H234" i="2"/>
  <c r="G234" i="2"/>
  <c r="E234" i="2"/>
  <c r="I233" i="2"/>
  <c r="H233" i="2"/>
  <c r="G233" i="2"/>
  <c r="E233" i="2"/>
  <c r="J233" i="2" s="1"/>
  <c r="I232" i="2"/>
  <c r="H232" i="2"/>
  <c r="G232" i="2"/>
  <c r="E232" i="2"/>
  <c r="E245" i="2" s="1"/>
  <c r="J245" i="2" s="1"/>
  <c r="I231" i="2"/>
  <c r="H231" i="2"/>
  <c r="G231" i="2"/>
  <c r="E231" i="2"/>
  <c r="E244" i="2" s="1"/>
  <c r="I230" i="2"/>
  <c r="H230" i="2"/>
  <c r="G230" i="2"/>
  <c r="E230" i="2"/>
  <c r="E243" i="2" s="1"/>
  <c r="I229" i="2"/>
  <c r="H229" i="2"/>
  <c r="G229" i="2"/>
  <c r="E229" i="2"/>
  <c r="J229" i="2" s="1"/>
  <c r="I228" i="2"/>
  <c r="H228" i="2"/>
  <c r="G228" i="2"/>
  <c r="E228" i="2"/>
  <c r="I227" i="2"/>
  <c r="H227" i="2"/>
  <c r="G227" i="2"/>
  <c r="E227" i="2"/>
  <c r="J227" i="2" s="1"/>
  <c r="I226" i="2"/>
  <c r="H226" i="2"/>
  <c r="G226" i="2"/>
  <c r="E226" i="2"/>
  <c r="I225" i="2"/>
  <c r="H225" i="2"/>
  <c r="G225" i="2"/>
  <c r="E225" i="2"/>
  <c r="E238" i="2" s="1"/>
  <c r="I224" i="2"/>
  <c r="H224" i="2"/>
  <c r="G224" i="2"/>
  <c r="E224" i="2"/>
  <c r="E237" i="2" s="1"/>
  <c r="J223" i="2"/>
  <c r="I223" i="2"/>
  <c r="H223" i="2"/>
  <c r="G223" i="2"/>
  <c r="J222" i="2"/>
  <c r="I222" i="2"/>
  <c r="H222" i="2"/>
  <c r="G222" i="2"/>
  <c r="J221" i="2"/>
  <c r="I221" i="2"/>
  <c r="H221" i="2"/>
  <c r="G221" i="2"/>
  <c r="J220" i="2"/>
  <c r="I220" i="2"/>
  <c r="H220" i="2"/>
  <c r="G220" i="2"/>
  <c r="J219" i="2"/>
  <c r="I219" i="2"/>
  <c r="H219" i="2"/>
  <c r="G219" i="2"/>
  <c r="J218" i="2"/>
  <c r="I218" i="2"/>
  <c r="H218" i="2"/>
  <c r="G218" i="2"/>
  <c r="J217" i="2"/>
  <c r="I217" i="2"/>
  <c r="H217" i="2"/>
  <c r="G217" i="2"/>
  <c r="J216" i="2"/>
  <c r="I216" i="2"/>
  <c r="H216" i="2"/>
  <c r="G216" i="2"/>
  <c r="J215" i="2"/>
  <c r="I215" i="2"/>
  <c r="H215" i="2"/>
  <c r="G215" i="2"/>
  <c r="J214" i="2"/>
  <c r="I214" i="2"/>
  <c r="H214" i="2"/>
  <c r="G214" i="2"/>
  <c r="J213" i="2"/>
  <c r="I213" i="2"/>
  <c r="H213" i="2"/>
  <c r="G213" i="2"/>
  <c r="J212" i="2"/>
  <c r="I212" i="2"/>
  <c r="H212" i="2"/>
  <c r="G212" i="2"/>
  <c r="J211" i="2"/>
  <c r="I211" i="2"/>
  <c r="H211" i="2"/>
  <c r="G211" i="2"/>
  <c r="I210" i="2"/>
  <c r="H210" i="2"/>
  <c r="G210" i="2"/>
  <c r="I209" i="2"/>
  <c r="H209" i="2"/>
  <c r="G209" i="2"/>
  <c r="I208" i="2"/>
  <c r="H208" i="2"/>
  <c r="G208" i="2"/>
  <c r="I207" i="2"/>
  <c r="H207" i="2"/>
  <c r="G207" i="2"/>
  <c r="I206" i="2"/>
  <c r="H206" i="2"/>
  <c r="G206" i="2"/>
  <c r="I205" i="2"/>
  <c r="H205" i="2"/>
  <c r="G205" i="2"/>
  <c r="I204" i="2"/>
  <c r="H204" i="2"/>
  <c r="G204" i="2"/>
  <c r="I203" i="2"/>
  <c r="H203" i="2"/>
  <c r="G203" i="2"/>
  <c r="I202" i="2"/>
  <c r="H202" i="2"/>
  <c r="G202" i="2"/>
  <c r="I201" i="2"/>
  <c r="H201" i="2"/>
  <c r="G201" i="2"/>
  <c r="I200" i="2"/>
  <c r="H200" i="2"/>
  <c r="G200" i="2"/>
  <c r="I199" i="2"/>
  <c r="H199" i="2"/>
  <c r="G199" i="2"/>
  <c r="I198" i="2"/>
  <c r="H198" i="2"/>
  <c r="G198" i="2"/>
  <c r="I197" i="2"/>
  <c r="H197" i="2"/>
  <c r="G197" i="2"/>
  <c r="I196" i="2"/>
  <c r="H196" i="2"/>
  <c r="G196" i="2"/>
  <c r="I195" i="2"/>
  <c r="H195" i="2"/>
  <c r="G195" i="2"/>
  <c r="I194" i="2"/>
  <c r="H194" i="2"/>
  <c r="G194" i="2"/>
  <c r="I193" i="2"/>
  <c r="H193" i="2"/>
  <c r="G193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I188" i="2"/>
  <c r="H188" i="2"/>
  <c r="G188" i="2"/>
  <c r="I187" i="2"/>
  <c r="H187" i="2"/>
  <c r="G187" i="2"/>
  <c r="I186" i="2"/>
  <c r="H186" i="2"/>
  <c r="G186" i="2"/>
  <c r="I185" i="2"/>
  <c r="H185" i="2"/>
  <c r="G185" i="2"/>
  <c r="I184" i="2"/>
  <c r="H184" i="2"/>
  <c r="G184" i="2"/>
  <c r="E184" i="2"/>
  <c r="J184" i="2" s="1"/>
  <c r="I183" i="2"/>
  <c r="H183" i="2"/>
  <c r="G183" i="2"/>
  <c r="E183" i="2"/>
  <c r="I182" i="2"/>
  <c r="H182" i="2"/>
  <c r="G182" i="2"/>
  <c r="E182" i="2"/>
  <c r="J182" i="2" s="1"/>
  <c r="I181" i="2"/>
  <c r="H181" i="2"/>
  <c r="G181" i="2"/>
  <c r="E181" i="2"/>
  <c r="E194" i="2" s="1"/>
  <c r="J194" i="2" s="1"/>
  <c r="I180" i="2"/>
  <c r="H180" i="2"/>
  <c r="G180" i="2"/>
  <c r="E180" i="2"/>
  <c r="J180" i="2" s="1"/>
  <c r="I179" i="2"/>
  <c r="H179" i="2"/>
  <c r="G179" i="2"/>
  <c r="E179" i="2"/>
  <c r="E192" i="2" s="1"/>
  <c r="I178" i="2"/>
  <c r="H178" i="2"/>
  <c r="G178" i="2"/>
  <c r="E178" i="2"/>
  <c r="I177" i="2"/>
  <c r="H177" i="2"/>
  <c r="G177" i="2"/>
  <c r="E177" i="2"/>
  <c r="E190" i="2" s="1"/>
  <c r="J190" i="2" s="1"/>
  <c r="I176" i="2"/>
  <c r="H176" i="2"/>
  <c r="G176" i="2"/>
  <c r="E176" i="2"/>
  <c r="I175" i="2"/>
  <c r="H175" i="2"/>
  <c r="G175" i="2"/>
  <c r="E175" i="2"/>
  <c r="E188" i="2" s="1"/>
  <c r="J188" i="2" s="1"/>
  <c r="I174" i="2"/>
  <c r="H174" i="2"/>
  <c r="G174" i="2"/>
  <c r="E174" i="2"/>
  <c r="E187" i="2" s="1"/>
  <c r="I173" i="2"/>
  <c r="H173" i="2"/>
  <c r="G173" i="2"/>
  <c r="E173" i="2"/>
  <c r="E186" i="2" s="1"/>
  <c r="I172" i="2"/>
  <c r="H172" i="2"/>
  <c r="G172" i="2"/>
  <c r="E172" i="2"/>
  <c r="E185" i="2" s="1"/>
  <c r="J171" i="2"/>
  <c r="I171" i="2"/>
  <c r="H171" i="2"/>
  <c r="G171" i="2"/>
  <c r="J170" i="2"/>
  <c r="I170" i="2"/>
  <c r="H170" i="2"/>
  <c r="G170" i="2"/>
  <c r="J169" i="2"/>
  <c r="I169" i="2"/>
  <c r="H169" i="2"/>
  <c r="G169" i="2"/>
  <c r="J168" i="2"/>
  <c r="I168" i="2"/>
  <c r="H168" i="2"/>
  <c r="G168" i="2"/>
  <c r="J167" i="2"/>
  <c r="I167" i="2"/>
  <c r="H167" i="2"/>
  <c r="G167" i="2"/>
  <c r="J166" i="2"/>
  <c r="I166" i="2"/>
  <c r="H166" i="2"/>
  <c r="G166" i="2"/>
  <c r="J165" i="2"/>
  <c r="I165" i="2"/>
  <c r="H165" i="2"/>
  <c r="G165" i="2"/>
  <c r="J164" i="2"/>
  <c r="I164" i="2"/>
  <c r="H164" i="2"/>
  <c r="G164" i="2"/>
  <c r="J163" i="2"/>
  <c r="I163" i="2"/>
  <c r="H163" i="2"/>
  <c r="G163" i="2"/>
  <c r="J162" i="2"/>
  <c r="I162" i="2"/>
  <c r="H162" i="2"/>
  <c r="G162" i="2"/>
  <c r="J161" i="2"/>
  <c r="I161" i="2"/>
  <c r="H161" i="2"/>
  <c r="G161" i="2"/>
  <c r="J160" i="2"/>
  <c r="I160" i="2"/>
  <c r="H160" i="2"/>
  <c r="G160" i="2"/>
  <c r="A160" i="2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J159" i="2"/>
  <c r="I159" i="2"/>
  <c r="H159" i="2"/>
  <c r="G159" i="2"/>
  <c r="B159" i="2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J158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E132" i="2"/>
  <c r="E145" i="2" s="1"/>
  <c r="J145" i="2" s="1"/>
  <c r="I131" i="2"/>
  <c r="H131" i="2"/>
  <c r="G131" i="2"/>
  <c r="E131" i="2"/>
  <c r="E144" i="2" s="1"/>
  <c r="I130" i="2"/>
  <c r="H130" i="2"/>
  <c r="G130" i="2"/>
  <c r="E130" i="2"/>
  <c r="E143" i="2" s="1"/>
  <c r="I129" i="2"/>
  <c r="H129" i="2"/>
  <c r="G129" i="2"/>
  <c r="E129" i="2"/>
  <c r="I128" i="2"/>
  <c r="H128" i="2"/>
  <c r="G128" i="2"/>
  <c r="E128" i="2"/>
  <c r="I127" i="2"/>
  <c r="H127" i="2"/>
  <c r="G127" i="2"/>
  <c r="E127" i="2"/>
  <c r="I126" i="2"/>
  <c r="H126" i="2"/>
  <c r="G126" i="2"/>
  <c r="E126" i="2"/>
  <c r="J126" i="2" s="1"/>
  <c r="I125" i="2"/>
  <c r="H125" i="2"/>
  <c r="G125" i="2"/>
  <c r="E125" i="2"/>
  <c r="E138" i="2" s="1"/>
  <c r="J138" i="2" s="1"/>
  <c r="J124" i="2"/>
  <c r="I124" i="2"/>
  <c r="H124" i="2"/>
  <c r="G124" i="2"/>
  <c r="E124" i="2"/>
  <c r="E137" i="2" s="1"/>
  <c r="I123" i="2"/>
  <c r="H123" i="2"/>
  <c r="G123" i="2"/>
  <c r="E123" i="2"/>
  <c r="J123" i="2" s="1"/>
  <c r="I122" i="2"/>
  <c r="H122" i="2"/>
  <c r="G122" i="2"/>
  <c r="E122" i="2"/>
  <c r="E135" i="2" s="1"/>
  <c r="I121" i="2"/>
  <c r="H121" i="2"/>
  <c r="G121" i="2"/>
  <c r="E121" i="2"/>
  <c r="I120" i="2"/>
  <c r="H120" i="2"/>
  <c r="G120" i="2"/>
  <c r="E120" i="2"/>
  <c r="J119" i="2"/>
  <c r="I119" i="2"/>
  <c r="H119" i="2"/>
  <c r="G119" i="2"/>
  <c r="J118" i="2"/>
  <c r="I118" i="2"/>
  <c r="H118" i="2"/>
  <c r="G118" i="2"/>
  <c r="J117" i="2"/>
  <c r="I117" i="2"/>
  <c r="H117" i="2"/>
  <c r="G117" i="2"/>
  <c r="J116" i="2"/>
  <c r="I116" i="2"/>
  <c r="H116" i="2"/>
  <c r="G116" i="2"/>
  <c r="J115" i="2"/>
  <c r="I115" i="2"/>
  <c r="H115" i="2"/>
  <c r="G115" i="2"/>
  <c r="J114" i="2"/>
  <c r="I114" i="2"/>
  <c r="H114" i="2"/>
  <c r="G114" i="2"/>
  <c r="J113" i="2"/>
  <c r="I113" i="2"/>
  <c r="H113" i="2"/>
  <c r="G113" i="2"/>
  <c r="J112" i="2"/>
  <c r="I112" i="2"/>
  <c r="H112" i="2"/>
  <c r="G112" i="2"/>
  <c r="J111" i="2"/>
  <c r="I111" i="2"/>
  <c r="H111" i="2"/>
  <c r="G111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J107" i="2"/>
  <c r="I107" i="2"/>
  <c r="H107" i="2"/>
  <c r="G107" i="2"/>
  <c r="J106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J93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J80" i="2"/>
  <c r="I80" i="2"/>
  <c r="H80" i="2"/>
  <c r="G80" i="2"/>
  <c r="I79" i="2"/>
  <c r="H79" i="2"/>
  <c r="G79" i="2"/>
  <c r="E79" i="2"/>
  <c r="I78" i="2"/>
  <c r="H78" i="2"/>
  <c r="G78" i="2"/>
  <c r="E78" i="2"/>
  <c r="J78" i="2" s="1"/>
  <c r="I77" i="2"/>
  <c r="H77" i="2"/>
  <c r="G77" i="2"/>
  <c r="E77" i="2"/>
  <c r="E90" i="2" s="1"/>
  <c r="J90" i="2" s="1"/>
  <c r="I76" i="2"/>
  <c r="H76" i="2"/>
  <c r="G76" i="2"/>
  <c r="E76" i="2"/>
  <c r="E89" i="2" s="1"/>
  <c r="J89" i="2" s="1"/>
  <c r="I75" i="2"/>
  <c r="H75" i="2"/>
  <c r="G75" i="2"/>
  <c r="E75" i="2"/>
  <c r="J75" i="2" s="1"/>
  <c r="I74" i="2"/>
  <c r="H74" i="2"/>
  <c r="G74" i="2"/>
  <c r="E74" i="2"/>
  <c r="J74" i="2" s="1"/>
  <c r="I73" i="2"/>
  <c r="H73" i="2"/>
  <c r="G73" i="2"/>
  <c r="E73" i="2"/>
  <c r="J73" i="2" s="1"/>
  <c r="I72" i="2"/>
  <c r="H72" i="2"/>
  <c r="G72" i="2"/>
  <c r="E72" i="2"/>
  <c r="I71" i="2"/>
  <c r="H71" i="2"/>
  <c r="G71" i="2"/>
  <c r="E71" i="2"/>
  <c r="I70" i="2"/>
  <c r="H70" i="2"/>
  <c r="G70" i="2"/>
  <c r="E70" i="2"/>
  <c r="J70" i="2" s="1"/>
  <c r="I69" i="2"/>
  <c r="H69" i="2"/>
  <c r="G69" i="2"/>
  <c r="E69" i="2"/>
  <c r="E82" i="2" s="1"/>
  <c r="E95" i="2" s="1"/>
  <c r="J95" i="2" s="1"/>
  <c r="I68" i="2"/>
  <c r="H68" i="2"/>
  <c r="G68" i="2"/>
  <c r="E68" i="2"/>
  <c r="E81" i="2" s="1"/>
  <c r="J81" i="2" s="1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2" i="2"/>
  <c r="I62" i="2"/>
  <c r="H62" i="2"/>
  <c r="G62" i="2"/>
  <c r="J61" i="2"/>
  <c r="I61" i="2"/>
  <c r="H61" i="2"/>
  <c r="G61" i="2"/>
  <c r="J60" i="2"/>
  <c r="I60" i="2"/>
  <c r="H60" i="2"/>
  <c r="G60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E27" i="2"/>
  <c r="E40" i="2" s="1"/>
  <c r="E53" i="2" s="1"/>
  <c r="J53" i="2" s="1"/>
  <c r="I26" i="2"/>
  <c r="H26" i="2"/>
  <c r="G26" i="2"/>
  <c r="E26" i="2"/>
  <c r="J26" i="2" s="1"/>
  <c r="I25" i="2"/>
  <c r="H25" i="2"/>
  <c r="G25" i="2"/>
  <c r="E25" i="2"/>
  <c r="J25" i="2" s="1"/>
  <c r="I24" i="2"/>
  <c r="H24" i="2"/>
  <c r="G24" i="2"/>
  <c r="E24" i="2"/>
  <c r="J24" i="2" s="1"/>
  <c r="I23" i="2"/>
  <c r="H23" i="2"/>
  <c r="G23" i="2"/>
  <c r="E23" i="2"/>
  <c r="J23" i="2" s="1"/>
  <c r="I22" i="2"/>
  <c r="H22" i="2"/>
  <c r="G22" i="2"/>
  <c r="E22" i="2"/>
  <c r="E35" i="2" s="1"/>
  <c r="I21" i="2"/>
  <c r="H21" i="2"/>
  <c r="G21" i="2"/>
  <c r="E21" i="2"/>
  <c r="J21" i="2" s="1"/>
  <c r="I20" i="2"/>
  <c r="H20" i="2"/>
  <c r="G20" i="2"/>
  <c r="E20" i="2"/>
  <c r="E33" i="2" s="1"/>
  <c r="E46" i="2" s="1"/>
  <c r="J46" i="2" s="1"/>
  <c r="I19" i="2"/>
  <c r="H19" i="2"/>
  <c r="G19" i="2"/>
  <c r="E19" i="2"/>
  <c r="E32" i="2" s="1"/>
  <c r="E45" i="2" s="1"/>
  <c r="J45" i="2" s="1"/>
  <c r="I18" i="2"/>
  <c r="H18" i="2"/>
  <c r="G18" i="2"/>
  <c r="E18" i="2"/>
  <c r="J18" i="2" s="1"/>
  <c r="I17" i="2"/>
  <c r="H17" i="2"/>
  <c r="G17" i="2"/>
  <c r="E17" i="2"/>
  <c r="E30" i="2" s="1"/>
  <c r="I16" i="2"/>
  <c r="H16" i="2"/>
  <c r="G16" i="2"/>
  <c r="E16" i="2"/>
  <c r="J16" i="2" s="1"/>
  <c r="I15" i="2"/>
  <c r="H15" i="2"/>
  <c r="G15" i="2"/>
  <c r="E15" i="2"/>
  <c r="J15" i="2" s="1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  <c r="G4" i="2"/>
  <c r="J3" i="2"/>
  <c r="I3" i="2"/>
  <c r="H3" i="2"/>
  <c r="G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J2" i="2"/>
  <c r="I2" i="2"/>
  <c r="H2" i="2"/>
  <c r="G2" i="2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E15" i="10" a="1"/>
  <c r="G23" i="9" a="1"/>
  <c r="E25" i="10" a="1"/>
  <c r="E15" i="9" a="1"/>
  <c r="G11" i="9" a="1"/>
  <c r="E44" i="10" a="1"/>
  <c r="E47" i="10" a="1"/>
  <c r="G48" i="10" a="1"/>
  <c r="E8" i="8" a="1"/>
  <c r="E8" i="9" a="1"/>
  <c r="E16" i="10" a="1"/>
  <c r="G9" i="9" a="1"/>
  <c r="G37" i="9" a="1"/>
  <c r="G36" i="10" a="1"/>
  <c r="E17" i="9" a="1"/>
  <c r="E19" i="8" a="1"/>
  <c r="G37" i="8" a="1"/>
  <c r="E29" i="8" a="1"/>
  <c r="E35" i="10" a="1"/>
  <c r="E37" i="8" a="1"/>
  <c r="G39" i="9" a="1"/>
  <c r="G16" i="8" a="1"/>
  <c r="E23" i="9" a="1"/>
  <c r="E14" i="8" a="1"/>
  <c r="G8" i="10" a="1"/>
  <c r="E13" i="10" a="1"/>
  <c r="G35" i="9" a="1"/>
  <c r="G35" i="10" a="1"/>
  <c r="G35" i="8" a="1"/>
  <c r="G38" i="8" a="1"/>
  <c r="G45" i="10" a="1"/>
  <c r="G26" i="9" a="1"/>
  <c r="G14" i="8" a="1"/>
  <c r="E29" i="10" a="1"/>
  <c r="G10" i="10" a="1"/>
  <c r="G16" i="10" a="1"/>
  <c r="G25" i="10" a="1"/>
  <c r="E45" i="10" a="1"/>
  <c r="G37" i="10" a="1"/>
  <c r="E10" i="10" a="1"/>
  <c r="E37" i="9" a="1"/>
  <c r="G8" i="8" a="1"/>
  <c r="G26" i="10" a="1"/>
  <c r="G8" i="9" a="1"/>
  <c r="G13" i="8" a="1"/>
  <c r="E36" i="9" a="1"/>
  <c r="G15" i="9" a="1"/>
  <c r="E28" i="8" a="1"/>
  <c r="E39" i="9" a="1"/>
  <c r="E15" i="8" a="1"/>
  <c r="E38" i="9" a="1"/>
  <c r="G12" i="10" a="1"/>
  <c r="G22" i="9" a="1"/>
  <c r="G29" i="8" a="1"/>
  <c r="E40" i="10" a="1"/>
  <c r="E20" i="10" a="1"/>
  <c r="G17" i="9" a="1"/>
  <c r="E8" i="10" a="1"/>
  <c r="E16" i="8" a="1"/>
  <c r="G21" i="10" a="1"/>
  <c r="G38" i="9" a="1"/>
  <c r="E7" i="10" a="1"/>
  <c r="E31" i="10" a="1"/>
  <c r="E9" i="9" a="1"/>
  <c r="G27" i="10" a="1"/>
  <c r="E38" i="8" a="1"/>
  <c r="E13" i="8" a="1"/>
  <c r="G15" i="10" a="1"/>
  <c r="E11" i="9" a="1"/>
  <c r="E35" i="8" a="1"/>
  <c r="E10" i="9" a="1"/>
  <c r="E25" i="8" a="1"/>
  <c r="G10" i="9" a="1"/>
  <c r="G19" i="8" a="1"/>
  <c r="G28" i="9" a="1"/>
  <c r="G28" i="8" a="1"/>
  <c r="G13" i="10" a="1"/>
  <c r="G14" i="9" a="1"/>
  <c r="G20" i="10" a="1"/>
  <c r="E34" i="10" a="1"/>
  <c r="G47" i="10" a="1"/>
  <c r="G22" i="10" a="1"/>
  <c r="E28" i="9" a="1"/>
  <c r="G36" i="9" a="1"/>
  <c r="E22" i="10" a="1"/>
  <c r="E37" i="10" a="1"/>
  <c r="E26" i="9" a="1"/>
  <c r="G7" i="10" a="1"/>
  <c r="E48" i="10" a="1"/>
  <c r="E27" i="10" a="1"/>
  <c r="E33" i="8" a="1"/>
  <c r="G40" i="10" a="1"/>
  <c r="G34" i="10" a="1"/>
  <c r="E22" i="9" a="1"/>
  <c r="E14" i="9" a="1"/>
  <c r="G33" i="8" a="1"/>
  <c r="E21" i="10" a="1"/>
  <c r="G15" i="8" a="1"/>
  <c r="E26" i="10" a="1"/>
  <c r="E36" i="10" a="1"/>
  <c r="E12" i="10" a="1"/>
  <c r="G29" i="10" a="1"/>
  <c r="G31" i="10" a="1"/>
  <c r="G44" i="10" a="1"/>
  <c r="E35" i="9" a="1"/>
  <c r="G25" i="8" a="1"/>
  <c r="N27" i="7" l="1"/>
  <c r="AE34" i="6"/>
  <c r="N18" i="7"/>
  <c r="R31" i="6"/>
  <c r="AI22" i="6"/>
  <c r="F27" i="7"/>
  <c r="F72" i="7" s="1"/>
  <c r="F11" i="7"/>
  <c r="I56" i="7" s="1"/>
  <c r="U86" i="7"/>
  <c r="D48" i="7"/>
  <c r="AA35" i="6"/>
  <c r="E42" i="6"/>
  <c r="D42" i="6"/>
  <c r="C42" i="6"/>
  <c r="J31" i="6"/>
  <c r="E56" i="6"/>
  <c r="D56" i="6"/>
  <c r="C56" i="6"/>
  <c r="C71" i="6"/>
  <c r="E71" i="6"/>
  <c r="D71" i="6"/>
  <c r="V69" i="6"/>
  <c r="U69" i="6"/>
  <c r="T69" i="6"/>
  <c r="V61" i="6"/>
  <c r="U61" i="6"/>
  <c r="T61" i="6"/>
  <c r="U41" i="6"/>
  <c r="T41" i="6"/>
  <c r="V41" i="6"/>
  <c r="U70" i="6"/>
  <c r="T70" i="6"/>
  <c r="V70" i="6"/>
  <c r="C59" i="6"/>
  <c r="E59" i="6"/>
  <c r="D59" i="6"/>
  <c r="C55" i="6"/>
  <c r="E55" i="6"/>
  <c r="D55" i="6"/>
  <c r="U48" i="6"/>
  <c r="T48" i="6"/>
  <c r="V48" i="6"/>
  <c r="AA13" i="6"/>
  <c r="E72" i="7"/>
  <c r="C47" i="6"/>
  <c r="E47" i="6"/>
  <c r="D47" i="6"/>
  <c r="E41" i="6"/>
  <c r="D41" i="6"/>
  <c r="C41" i="6"/>
  <c r="V71" i="6"/>
  <c r="U71" i="6"/>
  <c r="T71" i="6"/>
  <c r="E50" i="6"/>
  <c r="D50" i="6"/>
  <c r="C50" i="6"/>
  <c r="V59" i="6"/>
  <c r="U59" i="6"/>
  <c r="T59" i="6"/>
  <c r="V56" i="6"/>
  <c r="T56" i="6"/>
  <c r="U56" i="6"/>
  <c r="U44" i="6"/>
  <c r="T44" i="6"/>
  <c r="V44" i="6"/>
  <c r="E48" i="6"/>
  <c r="D48" i="6"/>
  <c r="C48" i="6"/>
  <c r="V47" i="6"/>
  <c r="U47" i="6"/>
  <c r="T47" i="6"/>
  <c r="C43" i="6"/>
  <c r="E43" i="6"/>
  <c r="D43" i="6"/>
  <c r="E61" i="6"/>
  <c r="D61" i="6"/>
  <c r="C61" i="6"/>
  <c r="V43" i="6"/>
  <c r="U43" i="6"/>
  <c r="T43" i="6"/>
  <c r="V68" i="6"/>
  <c r="U68" i="6"/>
  <c r="T68" i="6"/>
  <c r="E70" i="6"/>
  <c r="D70" i="6"/>
  <c r="C70" i="6"/>
  <c r="E72" i="6"/>
  <c r="D72" i="6"/>
  <c r="C72" i="6"/>
  <c r="U55" i="6"/>
  <c r="T55" i="6"/>
  <c r="V55" i="6"/>
  <c r="E68" i="6"/>
  <c r="D68" i="6"/>
  <c r="C68" i="6"/>
  <c r="V72" i="6"/>
  <c r="U72" i="6"/>
  <c r="T72" i="6"/>
  <c r="E69" i="6"/>
  <c r="D69" i="6"/>
  <c r="C69" i="6"/>
  <c r="U42" i="6"/>
  <c r="T42" i="6"/>
  <c r="V42" i="6"/>
  <c r="E44" i="6"/>
  <c r="D44" i="6"/>
  <c r="C44" i="6"/>
  <c r="U50" i="6"/>
  <c r="T50" i="6"/>
  <c r="V50" i="6"/>
  <c r="W44" i="7"/>
  <c r="Z89" i="7" s="1"/>
  <c r="F40" i="7"/>
  <c r="F85" i="7" s="1"/>
  <c r="AA16" i="7"/>
  <c r="AI36" i="7"/>
  <c r="D67" i="7"/>
  <c r="AA17" i="7"/>
  <c r="AA21" i="7"/>
  <c r="E67" i="7"/>
  <c r="AA4" i="7"/>
  <c r="W5" i="6"/>
  <c r="AE31" i="6"/>
  <c r="AI35" i="6"/>
  <c r="AI5" i="6"/>
  <c r="AI32" i="6"/>
  <c r="N5" i="6"/>
  <c r="W4" i="5"/>
  <c r="Z40" i="5" s="1"/>
  <c r="J40" i="7"/>
  <c r="W18" i="6"/>
  <c r="AA10" i="6"/>
  <c r="W34" i="6"/>
  <c r="AI40" i="7"/>
  <c r="N17" i="7"/>
  <c r="F10" i="6"/>
  <c r="AI11" i="6"/>
  <c r="U76" i="7"/>
  <c r="AE44" i="7"/>
  <c r="AE7" i="6"/>
  <c r="AA11" i="7"/>
  <c r="AA22" i="6"/>
  <c r="J44" i="7"/>
  <c r="F3" i="7"/>
  <c r="G48" i="7" s="1"/>
  <c r="AE8" i="7"/>
  <c r="W16" i="7"/>
  <c r="Z61" i="7" s="1"/>
  <c r="W8" i="7"/>
  <c r="Z53" i="7" s="1"/>
  <c r="F18" i="7"/>
  <c r="G63" i="7" s="1"/>
  <c r="U89" i="7"/>
  <c r="J33" i="5"/>
  <c r="W36" i="7"/>
  <c r="X81" i="7" s="1"/>
  <c r="F32" i="7"/>
  <c r="I77" i="7" s="1"/>
  <c r="J11" i="7"/>
  <c r="AA19" i="6"/>
  <c r="AA23" i="7"/>
  <c r="J8" i="7"/>
  <c r="F44" i="7"/>
  <c r="R4" i="7"/>
  <c r="AA11" i="6"/>
  <c r="W22" i="7"/>
  <c r="W67" i="7" s="1"/>
  <c r="F36" i="7"/>
  <c r="F81" i="7" s="1"/>
  <c r="F8" i="7"/>
  <c r="F16" i="7"/>
  <c r="G61" i="7" s="1"/>
  <c r="W7" i="6"/>
  <c r="W44" i="6" s="1"/>
  <c r="W10" i="6"/>
  <c r="Z47" i="6" s="1"/>
  <c r="AA3" i="7"/>
  <c r="AI41" i="7"/>
  <c r="AA25" i="7"/>
  <c r="AE23" i="7"/>
  <c r="R21" i="7"/>
  <c r="N23" i="7"/>
  <c r="U67" i="7"/>
  <c r="W31" i="7"/>
  <c r="Y76" i="7" s="1"/>
  <c r="W13" i="6"/>
  <c r="V67" i="7"/>
  <c r="AI30" i="7"/>
  <c r="N40" i="7"/>
  <c r="R25" i="5"/>
  <c r="AE16" i="7"/>
  <c r="N3" i="7"/>
  <c r="F12" i="7"/>
  <c r="I57" i="7" s="1"/>
  <c r="R9" i="5"/>
  <c r="W3" i="7"/>
  <c r="N25" i="5"/>
  <c r="V63" i="7"/>
  <c r="J25" i="7"/>
  <c r="C89" i="7"/>
  <c r="J32" i="6"/>
  <c r="AA27" i="7"/>
  <c r="F31" i="7"/>
  <c r="I76" i="7" s="1"/>
  <c r="D89" i="7"/>
  <c r="N24" i="6"/>
  <c r="R33" i="6"/>
  <c r="AE24" i="6"/>
  <c r="J33" i="6"/>
  <c r="F21" i="7"/>
  <c r="F66" i="7" s="1"/>
  <c r="AE27" i="7"/>
  <c r="J6" i="7"/>
  <c r="E89" i="7"/>
  <c r="F13" i="6"/>
  <c r="G50" i="6" s="1"/>
  <c r="AI8" i="7"/>
  <c r="R32" i="6"/>
  <c r="AI16" i="7"/>
  <c r="R33" i="5"/>
  <c r="W32" i="7"/>
  <c r="X77" i="7" s="1"/>
  <c r="AI24" i="6"/>
  <c r="AI34" i="6"/>
  <c r="J25" i="5"/>
  <c r="J30" i="7"/>
  <c r="J4" i="5"/>
  <c r="N4" i="6"/>
  <c r="AA4" i="6"/>
  <c r="J12" i="7"/>
  <c r="G10" i="10"/>
  <c r="G48" i="10"/>
  <c r="G26" i="10"/>
  <c r="G40" i="10"/>
  <c r="E26" i="10"/>
  <c r="E7" i="10"/>
  <c r="G29" i="10"/>
  <c r="G36" i="10"/>
  <c r="G27" i="10"/>
  <c r="G37" i="10"/>
  <c r="E44" i="10"/>
  <c r="E22" i="10"/>
  <c r="G16" i="10"/>
  <c r="G47" i="10"/>
  <c r="E10" i="10"/>
  <c r="E40" i="10"/>
  <c r="E13" i="10"/>
  <c r="E34" i="10"/>
  <c r="G35" i="10"/>
  <c r="G20" i="10"/>
  <c r="G13" i="10"/>
  <c r="E37" i="10"/>
  <c r="E16" i="10"/>
  <c r="E12" i="10"/>
  <c r="E27" i="10"/>
  <c r="E25" i="10"/>
  <c r="G15" i="10"/>
  <c r="G8" i="10"/>
  <c r="G22" i="10"/>
  <c r="E8" i="10"/>
  <c r="E48" i="10"/>
  <c r="G25" i="10"/>
  <c r="E36" i="10"/>
  <c r="E47" i="10"/>
  <c r="E45" i="10"/>
  <c r="G45" i="10"/>
  <c r="E15" i="10"/>
  <c r="G34" i="10"/>
  <c r="E21" i="10"/>
  <c r="G12" i="10"/>
  <c r="E29" i="10"/>
  <c r="G7" i="10"/>
  <c r="G31" i="10"/>
  <c r="E20" i="10"/>
  <c r="E35" i="10"/>
  <c r="E31" i="10"/>
  <c r="G21" i="10"/>
  <c r="G44" i="10"/>
  <c r="AI6" i="7"/>
  <c r="AA36" i="7"/>
  <c r="E48" i="7"/>
  <c r="AI25" i="7"/>
  <c r="J41" i="7"/>
  <c r="AI12" i="7"/>
  <c r="AI27" i="7"/>
  <c r="AE21" i="7"/>
  <c r="J16" i="7"/>
  <c r="R6" i="7"/>
  <c r="J33" i="7"/>
  <c r="C72" i="7"/>
  <c r="R33" i="7"/>
  <c r="R12" i="7"/>
  <c r="U63" i="7"/>
  <c r="AI21" i="7"/>
  <c r="R32" i="7"/>
  <c r="R3" i="7"/>
  <c r="R31" i="7"/>
  <c r="AI17" i="7"/>
  <c r="W17" i="7"/>
  <c r="Z62" i="7" s="1"/>
  <c r="AA43" i="7"/>
  <c r="W18" i="7"/>
  <c r="Z63" i="7" s="1"/>
  <c r="R22" i="7"/>
  <c r="N33" i="5"/>
  <c r="W12" i="7"/>
  <c r="W57" i="7" s="1"/>
  <c r="J9" i="7"/>
  <c r="AE25" i="7"/>
  <c r="AE17" i="7"/>
  <c r="AE5" i="6"/>
  <c r="N11" i="7"/>
  <c r="AI23" i="7"/>
  <c r="AA33" i="6"/>
  <c r="W25" i="7"/>
  <c r="Z70" i="7" s="1"/>
  <c r="F11" i="6"/>
  <c r="R12" i="5"/>
  <c r="AE6" i="6"/>
  <c r="AA41" i="7"/>
  <c r="J31" i="7"/>
  <c r="R17" i="7"/>
  <c r="D72" i="7"/>
  <c r="N9" i="5"/>
  <c r="J12" i="5"/>
  <c r="N4" i="5"/>
  <c r="AA32" i="6"/>
  <c r="J21" i="7"/>
  <c r="F6" i="7"/>
  <c r="G51" i="7" s="1"/>
  <c r="E37" i="8"/>
  <c r="G14" i="8"/>
  <c r="G16" i="8"/>
  <c r="E38" i="9"/>
  <c r="E17" i="9"/>
  <c r="E9" i="9"/>
  <c r="E28" i="9"/>
  <c r="G8" i="9"/>
  <c r="E28" i="8"/>
  <c r="E14" i="8"/>
  <c r="E8" i="8"/>
  <c r="G8" i="8"/>
  <c r="G13" i="8"/>
  <c r="E11" i="9"/>
  <c r="E35" i="8"/>
  <c r="E29" i="8"/>
  <c r="E8" i="9"/>
  <c r="G22" i="9"/>
  <c r="E10" i="9"/>
  <c r="E37" i="9"/>
  <c r="E15" i="8"/>
  <c r="E23" i="9"/>
  <c r="E35" i="9"/>
  <c r="E15" i="9"/>
  <c r="G15" i="9"/>
  <c r="E33" i="8"/>
  <c r="E38" i="8"/>
  <c r="E19" i="8"/>
  <c r="E13" i="8"/>
  <c r="G33" i="8"/>
  <c r="G38" i="8"/>
  <c r="E36" i="9"/>
  <c r="G39" i="9"/>
  <c r="G10" i="9"/>
  <c r="G25" i="8"/>
  <c r="G37" i="8"/>
  <c r="E39" i="9"/>
  <c r="E22" i="9"/>
  <c r="E26" i="9"/>
  <c r="E14" i="9"/>
  <c r="G26" i="9"/>
  <c r="G14" i="9"/>
  <c r="E25" i="8"/>
  <c r="E16" i="8"/>
  <c r="G28" i="8"/>
  <c r="G29" i="8"/>
  <c r="G17" i="9"/>
  <c r="G37" i="9"/>
  <c r="G35" i="9"/>
  <c r="G35" i="8"/>
  <c r="G23" i="9"/>
  <c r="G15" i="8"/>
  <c r="G38" i="9"/>
  <c r="G36" i="9"/>
  <c r="G11" i="9"/>
  <c r="G9" i="9"/>
  <c r="G28" i="9"/>
  <c r="G19" i="8"/>
  <c r="J9" i="5"/>
  <c r="C51" i="5"/>
  <c r="D51" i="5"/>
  <c r="E51" i="5"/>
  <c r="T69" i="5"/>
  <c r="V69" i="5"/>
  <c r="U69" i="5"/>
  <c r="N13" i="6"/>
  <c r="AA31" i="7"/>
  <c r="V51" i="5"/>
  <c r="U51" i="5"/>
  <c r="T51" i="5"/>
  <c r="E45" i="5"/>
  <c r="C45" i="5"/>
  <c r="D45" i="5"/>
  <c r="C47" i="5"/>
  <c r="E47" i="5"/>
  <c r="D47" i="5"/>
  <c r="R4" i="5"/>
  <c r="D65" i="5"/>
  <c r="E65" i="5"/>
  <c r="C65" i="5"/>
  <c r="C46" i="5"/>
  <c r="E46" i="5"/>
  <c r="D46" i="5"/>
  <c r="T57" i="5"/>
  <c r="U57" i="5"/>
  <c r="V57" i="5"/>
  <c r="F12" i="5"/>
  <c r="G48" i="5" s="1"/>
  <c r="C48" i="5"/>
  <c r="E48" i="5"/>
  <c r="D48" i="5"/>
  <c r="N12" i="5"/>
  <c r="D57" i="5"/>
  <c r="C57" i="5"/>
  <c r="E57" i="5"/>
  <c r="V67" i="5"/>
  <c r="T67" i="5"/>
  <c r="U67" i="5"/>
  <c r="T65" i="5"/>
  <c r="U65" i="5"/>
  <c r="V65" i="5"/>
  <c r="AE18" i="7"/>
  <c r="V60" i="5"/>
  <c r="T60" i="5"/>
  <c r="U60" i="5"/>
  <c r="U46" i="5"/>
  <c r="T46" i="5"/>
  <c r="V46" i="5"/>
  <c r="V48" i="5"/>
  <c r="U48" i="5"/>
  <c r="T48" i="5"/>
  <c r="N31" i="6"/>
  <c r="N11" i="6"/>
  <c r="W21" i="7"/>
  <c r="Y66" i="7" s="1"/>
  <c r="F4" i="5"/>
  <c r="I40" i="5" s="1"/>
  <c r="C40" i="5"/>
  <c r="E40" i="5"/>
  <c r="D40" i="5"/>
  <c r="D69" i="5"/>
  <c r="C69" i="5"/>
  <c r="E69" i="5"/>
  <c r="C67" i="5"/>
  <c r="E67" i="5"/>
  <c r="D67" i="5"/>
  <c r="AE12" i="5"/>
  <c r="V47" i="5"/>
  <c r="U47" i="5"/>
  <c r="T47" i="5"/>
  <c r="U45" i="5"/>
  <c r="T45" i="5"/>
  <c r="V45" i="5"/>
  <c r="AI7" i="6"/>
  <c r="AE22" i="7"/>
  <c r="D70" i="5"/>
  <c r="E70" i="5"/>
  <c r="C70" i="5"/>
  <c r="D61" i="5"/>
  <c r="E61" i="5"/>
  <c r="C61" i="5"/>
  <c r="D60" i="5"/>
  <c r="C60" i="5"/>
  <c r="E60" i="5"/>
  <c r="T70" i="5"/>
  <c r="V70" i="5"/>
  <c r="U70" i="5"/>
  <c r="T61" i="5"/>
  <c r="V61" i="5"/>
  <c r="U61" i="5"/>
  <c r="AI31" i="7"/>
  <c r="W43" i="7"/>
  <c r="W88" i="7" s="1"/>
  <c r="AA33" i="7"/>
  <c r="AA18" i="6"/>
  <c r="AI43" i="7"/>
  <c r="AA32" i="7"/>
  <c r="N44" i="7"/>
  <c r="J17" i="7"/>
  <c r="C66" i="7"/>
  <c r="J32" i="7"/>
  <c r="J18" i="6"/>
  <c r="J36" i="7"/>
  <c r="D66" i="7"/>
  <c r="AI13" i="6"/>
  <c r="E66" i="7"/>
  <c r="R11" i="7"/>
  <c r="AE41" i="7"/>
  <c r="W9" i="7"/>
  <c r="Z54" i="7" s="1"/>
  <c r="AE9" i="7"/>
  <c r="AE4" i="7"/>
  <c r="AE43" i="7"/>
  <c r="AI10" i="6"/>
  <c r="W30" i="7"/>
  <c r="Y75" i="7" s="1"/>
  <c r="AE3" i="7"/>
  <c r="R8" i="7"/>
  <c r="R27" i="7"/>
  <c r="R18" i="6"/>
  <c r="AE19" i="6"/>
  <c r="R25" i="7"/>
  <c r="V40" i="5"/>
  <c r="U40" i="5"/>
  <c r="T40" i="5"/>
  <c r="N22" i="7"/>
  <c r="E57" i="7"/>
  <c r="D57" i="7"/>
  <c r="C57" i="7"/>
  <c r="N25" i="7"/>
  <c r="C53" i="7"/>
  <c r="E53" i="7"/>
  <c r="D53" i="7"/>
  <c r="F41" i="7"/>
  <c r="D86" i="7"/>
  <c r="E86" i="7"/>
  <c r="C86" i="7"/>
  <c r="E81" i="7"/>
  <c r="D81" i="7"/>
  <c r="C81" i="7"/>
  <c r="J18" i="7"/>
  <c r="J4" i="7"/>
  <c r="N16" i="7"/>
  <c r="H67" i="7"/>
  <c r="F4" i="7"/>
  <c r="E49" i="7"/>
  <c r="D49" i="7"/>
  <c r="C49" i="7"/>
  <c r="F33" i="7"/>
  <c r="D78" i="7"/>
  <c r="C78" i="7"/>
  <c r="E78" i="7"/>
  <c r="N21" i="7"/>
  <c r="E51" i="7"/>
  <c r="D51" i="7"/>
  <c r="C51" i="7"/>
  <c r="C77" i="7"/>
  <c r="E77" i="7"/>
  <c r="D77" i="7"/>
  <c r="R40" i="7"/>
  <c r="N12" i="7"/>
  <c r="I67" i="7"/>
  <c r="R36" i="7"/>
  <c r="C61" i="7"/>
  <c r="E61" i="7"/>
  <c r="D61" i="7"/>
  <c r="F67" i="7"/>
  <c r="N30" i="7"/>
  <c r="N6" i="7"/>
  <c r="R43" i="7"/>
  <c r="N33" i="7"/>
  <c r="R41" i="7"/>
  <c r="F9" i="7"/>
  <c r="I54" i="7" s="1"/>
  <c r="D54" i="7"/>
  <c r="E54" i="7"/>
  <c r="C54" i="7"/>
  <c r="F43" i="7"/>
  <c r="H88" i="7" s="1"/>
  <c r="E88" i="7"/>
  <c r="C88" i="7"/>
  <c r="D88" i="7"/>
  <c r="N43" i="7"/>
  <c r="F25" i="7"/>
  <c r="D70" i="7"/>
  <c r="E70" i="7"/>
  <c r="C70" i="7"/>
  <c r="R16" i="7"/>
  <c r="N32" i="7"/>
  <c r="N9" i="7"/>
  <c r="R23" i="7"/>
  <c r="N8" i="7"/>
  <c r="D76" i="7"/>
  <c r="C76" i="7"/>
  <c r="E76" i="7"/>
  <c r="J43" i="7"/>
  <c r="D68" i="7"/>
  <c r="C68" i="7"/>
  <c r="E68" i="7"/>
  <c r="N31" i="7"/>
  <c r="R9" i="7"/>
  <c r="J3" i="7"/>
  <c r="F23" i="7"/>
  <c r="R18" i="7"/>
  <c r="N41" i="7"/>
  <c r="E56" i="7"/>
  <c r="C56" i="7"/>
  <c r="D56" i="7"/>
  <c r="N4" i="7"/>
  <c r="C85" i="7"/>
  <c r="E85" i="7"/>
  <c r="D85" i="7"/>
  <c r="J27" i="7"/>
  <c r="G67" i="7"/>
  <c r="E75" i="7"/>
  <c r="D75" i="7"/>
  <c r="C75" i="7"/>
  <c r="F30" i="7"/>
  <c r="C63" i="7"/>
  <c r="E63" i="7"/>
  <c r="D63" i="7"/>
  <c r="N36" i="7"/>
  <c r="J23" i="7"/>
  <c r="J22" i="7"/>
  <c r="F17" i="7"/>
  <c r="D62" i="7"/>
  <c r="E62" i="7"/>
  <c r="C62" i="7"/>
  <c r="W6" i="7"/>
  <c r="U51" i="7"/>
  <c r="T51" i="7"/>
  <c r="V51" i="7"/>
  <c r="U66" i="7"/>
  <c r="V66" i="7"/>
  <c r="T66" i="7"/>
  <c r="U61" i="7"/>
  <c r="T61" i="7"/>
  <c r="V61" i="7"/>
  <c r="AE6" i="7"/>
  <c r="AI44" i="7"/>
  <c r="AA22" i="7"/>
  <c r="AA40" i="7"/>
  <c r="AB85" i="7" s="1"/>
  <c r="V75" i="7"/>
  <c r="U75" i="7"/>
  <c r="T75" i="7"/>
  <c r="AI11" i="7"/>
  <c r="AA6" i="7"/>
  <c r="V86" i="7"/>
  <c r="AE36" i="7"/>
  <c r="U70" i="7"/>
  <c r="V70" i="7"/>
  <c r="T70" i="7"/>
  <c r="AI3" i="7"/>
  <c r="W41" i="7"/>
  <c r="W85" i="7"/>
  <c r="U85" i="7"/>
  <c r="T85" i="7"/>
  <c r="Y85" i="7"/>
  <c r="X85" i="7"/>
  <c r="V85" i="7"/>
  <c r="Z85" i="7"/>
  <c r="AA9" i="7"/>
  <c r="AI9" i="7"/>
  <c r="V88" i="7"/>
  <c r="U88" i="7"/>
  <c r="T88" i="7"/>
  <c r="AI33" i="7"/>
  <c r="AE33" i="7"/>
  <c r="AE32" i="7"/>
  <c r="W4" i="7"/>
  <c r="Y49" i="7" s="1"/>
  <c r="T49" i="7"/>
  <c r="V49" i="7"/>
  <c r="U49" i="7"/>
  <c r="V76" i="7"/>
  <c r="U54" i="7"/>
  <c r="W33" i="7"/>
  <c r="U78" i="7"/>
  <c r="V78" i="7"/>
  <c r="T78" i="7"/>
  <c r="AA18" i="7"/>
  <c r="V54" i="7"/>
  <c r="AI32" i="7"/>
  <c r="V68" i="7"/>
  <c r="U68" i="7"/>
  <c r="T68" i="7"/>
  <c r="W23" i="7"/>
  <c r="AI18" i="7"/>
  <c r="U81" i="7"/>
  <c r="T81" i="7"/>
  <c r="V81" i="7"/>
  <c r="U77" i="7"/>
  <c r="T77" i="7"/>
  <c r="V77" i="7"/>
  <c r="AE12" i="7"/>
  <c r="AA8" i="7"/>
  <c r="V48" i="7"/>
  <c r="U48" i="7"/>
  <c r="T48" i="7"/>
  <c r="AE11" i="7"/>
  <c r="V72" i="7"/>
  <c r="U72" i="7"/>
  <c r="T72" i="7"/>
  <c r="W27" i="7"/>
  <c r="AI22" i="7"/>
  <c r="U53" i="7"/>
  <c r="T53" i="7"/>
  <c r="V53" i="7"/>
  <c r="V89" i="7"/>
  <c r="AA30" i="7"/>
  <c r="AE31" i="7"/>
  <c r="U57" i="7"/>
  <c r="T57" i="7"/>
  <c r="V57" i="7"/>
  <c r="AA44" i="7"/>
  <c r="U62" i="7"/>
  <c r="V62" i="7"/>
  <c r="T62" i="7"/>
  <c r="AI4" i="7"/>
  <c r="X89" i="7"/>
  <c r="AE40" i="7"/>
  <c r="V56" i="7"/>
  <c r="U56" i="7"/>
  <c r="T56" i="7"/>
  <c r="W11" i="7"/>
  <c r="AE30" i="7"/>
  <c r="AA12" i="7"/>
  <c r="AE10" i="6"/>
  <c r="AI4" i="6"/>
  <c r="W6" i="6"/>
  <c r="W32" i="6"/>
  <c r="W22" i="6"/>
  <c r="AI18" i="6"/>
  <c r="W11" i="6"/>
  <c r="W35" i="6"/>
  <c r="Y72" i="6" s="1"/>
  <c r="AI19" i="6"/>
  <c r="AA34" i="6"/>
  <c r="AE18" i="6"/>
  <c r="AA7" i="6"/>
  <c r="AE4" i="6"/>
  <c r="AE13" i="6"/>
  <c r="AA31" i="6"/>
  <c r="W4" i="6"/>
  <c r="Z41" i="6" s="1"/>
  <c r="W19" i="6"/>
  <c r="AD56" i="6" s="1"/>
  <c r="AI33" i="6"/>
  <c r="AE35" i="6"/>
  <c r="W33" i="6"/>
  <c r="Z70" i="6" s="1"/>
  <c r="AE11" i="6"/>
  <c r="AE33" i="6"/>
  <c r="W24" i="6"/>
  <c r="AI6" i="6"/>
  <c r="AA5" i="6"/>
  <c r="AE32" i="6"/>
  <c r="AE22" i="6"/>
  <c r="AA24" i="6"/>
  <c r="AI31" i="6"/>
  <c r="W31" i="6"/>
  <c r="Z68" i="6" s="1"/>
  <c r="J13" i="6"/>
  <c r="R10" i="6"/>
  <c r="J22" i="6"/>
  <c r="F6" i="6"/>
  <c r="R34" i="6"/>
  <c r="N22" i="6"/>
  <c r="N19" i="6"/>
  <c r="J10" i="6"/>
  <c r="R7" i="6"/>
  <c r="R5" i="6"/>
  <c r="R19" i="6"/>
  <c r="J34" i="6"/>
  <c r="F7" i="6"/>
  <c r="F5" i="6"/>
  <c r="F22" i="6"/>
  <c r="F19" i="6"/>
  <c r="F56" i="6" s="1"/>
  <c r="J7" i="6"/>
  <c r="J5" i="6"/>
  <c r="J19" i="6"/>
  <c r="F31" i="6"/>
  <c r="H68" i="6" s="1"/>
  <c r="R11" i="6"/>
  <c r="R6" i="6"/>
  <c r="N33" i="6"/>
  <c r="R4" i="6"/>
  <c r="F4" i="6"/>
  <c r="J11" i="6"/>
  <c r="N35" i="6"/>
  <c r="J6" i="6"/>
  <c r="F33" i="6"/>
  <c r="F70" i="6" s="1"/>
  <c r="R24" i="6"/>
  <c r="J4" i="6"/>
  <c r="F35" i="6"/>
  <c r="G72" i="6" s="1"/>
  <c r="N32" i="6"/>
  <c r="J24" i="6"/>
  <c r="N10" i="6"/>
  <c r="N34" i="6"/>
  <c r="N18" i="6"/>
  <c r="F32" i="6"/>
  <c r="G69" i="6" s="1"/>
  <c r="R35" i="6"/>
  <c r="N7" i="6"/>
  <c r="F24" i="6"/>
  <c r="R13" i="6"/>
  <c r="F34" i="6"/>
  <c r="F18" i="6"/>
  <c r="G55" i="6" s="1"/>
  <c r="R22" i="6"/>
  <c r="J35" i="6"/>
  <c r="N6" i="6"/>
  <c r="AA33" i="5"/>
  <c r="AA25" i="5"/>
  <c r="AA34" i="5"/>
  <c r="AE31" i="5"/>
  <c r="AE24" i="5"/>
  <c r="W21" i="5"/>
  <c r="AA12" i="5"/>
  <c r="AA4" i="5"/>
  <c r="W31" i="5"/>
  <c r="AI11" i="5"/>
  <c r="W29" i="5"/>
  <c r="W24" i="5"/>
  <c r="AI34" i="5"/>
  <c r="AA15" i="5"/>
  <c r="AE10" i="5"/>
  <c r="AE11" i="5"/>
  <c r="W10" i="5"/>
  <c r="X46" i="5" s="1"/>
  <c r="AE33" i="5"/>
  <c r="AE25" i="5"/>
  <c r="AI33" i="5"/>
  <c r="AI29" i="5"/>
  <c r="AA24" i="5"/>
  <c r="W11" i="5"/>
  <c r="W9" i="5"/>
  <c r="W12" i="5"/>
  <c r="AI25" i="5"/>
  <c r="AI15" i="5"/>
  <c r="AA31" i="5"/>
  <c r="AI21" i="5"/>
  <c r="AA21" i="5"/>
  <c r="AI12" i="5"/>
  <c r="AI4" i="5"/>
  <c r="AA10" i="5"/>
  <c r="AA11" i="5"/>
  <c r="AE34" i="5"/>
  <c r="W34" i="5"/>
  <c r="W25" i="5"/>
  <c r="AE4" i="5"/>
  <c r="AE29" i="5"/>
  <c r="AE21" i="5"/>
  <c r="AI31" i="5"/>
  <c r="AI24" i="5"/>
  <c r="AA9" i="5"/>
  <c r="AE15" i="5"/>
  <c r="W33" i="5"/>
  <c r="AA29" i="5"/>
  <c r="AI10" i="5"/>
  <c r="W15" i="5"/>
  <c r="AI9" i="5"/>
  <c r="AE9" i="5"/>
  <c r="J29" i="5"/>
  <c r="N31" i="5"/>
  <c r="R24" i="5"/>
  <c r="F11" i="5"/>
  <c r="G47" i="5" s="1"/>
  <c r="J21" i="5"/>
  <c r="R10" i="5"/>
  <c r="J34" i="5"/>
  <c r="F29" i="5"/>
  <c r="R31" i="5"/>
  <c r="J15" i="5"/>
  <c r="F10" i="5"/>
  <c r="N29" i="5"/>
  <c r="F21" i="5"/>
  <c r="N15" i="5"/>
  <c r="R11" i="5"/>
  <c r="J11" i="5"/>
  <c r="J24" i="5"/>
  <c r="N21" i="5"/>
  <c r="N34" i="5"/>
  <c r="R15" i="5"/>
  <c r="F33" i="5"/>
  <c r="R29" i="5"/>
  <c r="F31" i="5"/>
  <c r="F25" i="5"/>
  <c r="R21" i="5"/>
  <c r="R34" i="5"/>
  <c r="J10" i="5"/>
  <c r="F34" i="5"/>
  <c r="N24" i="5"/>
  <c r="F24" i="5"/>
  <c r="F9" i="5"/>
  <c r="N11" i="5"/>
  <c r="N10" i="5"/>
  <c r="J31" i="5"/>
  <c r="F15" i="5"/>
  <c r="J276" i="2"/>
  <c r="J122" i="2"/>
  <c r="J232" i="2"/>
  <c r="E291" i="2"/>
  <c r="J282" i="2"/>
  <c r="J69" i="2"/>
  <c r="J19" i="2"/>
  <c r="J179" i="2"/>
  <c r="J225" i="2"/>
  <c r="J172" i="2"/>
  <c r="J181" i="2"/>
  <c r="J20" i="2"/>
  <c r="J131" i="2"/>
  <c r="J174" i="2"/>
  <c r="J22" i="2"/>
  <c r="J76" i="2"/>
  <c r="E251" i="2"/>
  <c r="J251" i="2" s="1"/>
  <c r="J238" i="2"/>
  <c r="E198" i="2"/>
  <c r="J198" i="2" s="1"/>
  <c r="J185" i="2"/>
  <c r="J237" i="2"/>
  <c r="E250" i="2"/>
  <c r="J250" i="2" s="1"/>
  <c r="A257" i="2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T262" i="1" s="1"/>
  <c r="J40" i="2"/>
  <c r="J82" i="2"/>
  <c r="E193" i="2"/>
  <c r="E206" i="2" s="1"/>
  <c r="J206" i="2" s="1"/>
  <c r="E136" i="2"/>
  <c r="J136" i="2" s="1"/>
  <c r="E88" i="2"/>
  <c r="E34" i="2"/>
  <c r="J34" i="2" s="1"/>
  <c r="J130" i="2"/>
  <c r="E203" i="2"/>
  <c r="J203" i="2" s="1"/>
  <c r="J231" i="2"/>
  <c r="J284" i="2"/>
  <c r="J297" i="2"/>
  <c r="J173" i="2"/>
  <c r="J224" i="2"/>
  <c r="E246" i="2"/>
  <c r="E248" i="2"/>
  <c r="J281" i="2"/>
  <c r="E296" i="2"/>
  <c r="J68" i="2"/>
  <c r="J132" i="2"/>
  <c r="J27" i="2"/>
  <c r="J77" i="2"/>
  <c r="E87" i="2"/>
  <c r="J87" i="2" s="1"/>
  <c r="J125" i="2"/>
  <c r="J230" i="2"/>
  <c r="E240" i="2"/>
  <c r="E258" i="2"/>
  <c r="J258" i="2" s="1"/>
  <c r="E197" i="2"/>
  <c r="E299" i="2"/>
  <c r="E48" i="2"/>
  <c r="J48" i="2" s="1"/>
  <c r="J35" i="2"/>
  <c r="E43" i="2"/>
  <c r="J43" i="2" s="1"/>
  <c r="J30" i="2"/>
  <c r="J280" i="2"/>
  <c r="E293" i="2"/>
  <c r="J287" i="2"/>
  <c r="E300" i="2"/>
  <c r="E31" i="2"/>
  <c r="E38" i="2"/>
  <c r="J128" i="2"/>
  <c r="E141" i="2"/>
  <c r="E151" i="2"/>
  <c r="J151" i="2" s="1"/>
  <c r="J71" i="2"/>
  <c r="E84" i="2"/>
  <c r="E39" i="2"/>
  <c r="J72" i="2"/>
  <c r="E85" i="2"/>
  <c r="E103" i="2"/>
  <c r="J103" i="2" s="1"/>
  <c r="E200" i="2"/>
  <c r="J200" i="2" s="1"/>
  <c r="J187" i="2"/>
  <c r="J17" i="2"/>
  <c r="E29" i="2"/>
  <c r="J33" i="2"/>
  <c r="E37" i="2"/>
  <c r="J121" i="2"/>
  <c r="E134" i="2"/>
  <c r="J186" i="2"/>
  <c r="E199" i="2"/>
  <c r="J199" i="2" s="1"/>
  <c r="J120" i="2"/>
  <c r="E133" i="2"/>
  <c r="E196" i="2"/>
  <c r="J183" i="2"/>
  <c r="E28" i="2"/>
  <c r="J32" i="2"/>
  <c r="E36" i="2"/>
  <c r="J79" i="2"/>
  <c r="E92" i="2"/>
  <c r="E86" i="2"/>
  <c r="E102" i="2"/>
  <c r="J102" i="2" s="1"/>
  <c r="J127" i="2"/>
  <c r="E140" i="2"/>
  <c r="J135" i="2"/>
  <c r="E148" i="2"/>
  <c r="J148" i="2" s="1"/>
  <c r="J176" i="2"/>
  <c r="E189" i="2"/>
  <c r="J234" i="2"/>
  <c r="E247" i="2"/>
  <c r="E94" i="2"/>
  <c r="J94" i="2" s="1"/>
  <c r="J143" i="2"/>
  <c r="E156" i="2"/>
  <c r="J156" i="2" s="1"/>
  <c r="J129" i="2"/>
  <c r="E142" i="2"/>
  <c r="J137" i="2"/>
  <c r="E150" i="2"/>
  <c r="J150" i="2" s="1"/>
  <c r="J144" i="2"/>
  <c r="E157" i="2"/>
  <c r="J157" i="2" s="1"/>
  <c r="E191" i="2"/>
  <c r="J178" i="2"/>
  <c r="E210" i="2"/>
  <c r="J210" i="2" s="1"/>
  <c r="J197" i="2"/>
  <c r="J228" i="2"/>
  <c r="E241" i="2"/>
  <c r="J243" i="2"/>
  <c r="E256" i="2"/>
  <c r="J256" i="2" s="1"/>
  <c r="J244" i="2"/>
  <c r="E257" i="2"/>
  <c r="J257" i="2" s="1"/>
  <c r="J236" i="2"/>
  <c r="E249" i="2"/>
  <c r="J277" i="2"/>
  <c r="E290" i="2"/>
  <c r="J289" i="2"/>
  <c r="E83" i="2"/>
  <c r="E91" i="2"/>
  <c r="J177" i="2"/>
  <c r="E207" i="2"/>
  <c r="J207" i="2" s="1"/>
  <c r="J285" i="2"/>
  <c r="E298" i="2"/>
  <c r="J295" i="2"/>
  <c r="E308" i="2"/>
  <c r="J308" i="2" s="1"/>
  <c r="E139" i="2"/>
  <c r="J192" i="2"/>
  <c r="E205" i="2"/>
  <c r="J205" i="2" s="1"/>
  <c r="E195" i="2"/>
  <c r="J226" i="2"/>
  <c r="E239" i="2"/>
  <c r="J279" i="2"/>
  <c r="E292" i="2"/>
  <c r="J294" i="2"/>
  <c r="E307" i="2"/>
  <c r="J307" i="2" s="1"/>
  <c r="J175" i="2"/>
  <c r="J193" i="2"/>
  <c r="E201" i="2"/>
  <c r="J201" i="2" s="1"/>
  <c r="E242" i="2"/>
  <c r="E301" i="2"/>
  <c r="W89" i="7" l="1"/>
  <c r="X61" i="7"/>
  <c r="H72" i="7"/>
  <c r="J72" i="7"/>
  <c r="AD42" i="6"/>
  <c r="H85" i="7"/>
  <c r="I85" i="7"/>
  <c r="F56" i="7"/>
  <c r="M42" i="6"/>
  <c r="AC69" i="6"/>
  <c r="W61" i="7"/>
  <c r="Q71" i="6"/>
  <c r="Y89" i="7"/>
  <c r="G72" i="7"/>
  <c r="K70" i="6"/>
  <c r="I72" i="7"/>
  <c r="AA55" i="6"/>
  <c r="AI43" i="6"/>
  <c r="G56" i="7"/>
  <c r="M85" i="7"/>
  <c r="AI69" i="6"/>
  <c r="K43" i="6"/>
  <c r="K85" i="7"/>
  <c r="H56" i="7"/>
  <c r="M56" i="7"/>
  <c r="Y55" i="6"/>
  <c r="I55" i="6"/>
  <c r="O48" i="6"/>
  <c r="H69" i="6"/>
  <c r="P42" i="6"/>
  <c r="G85" i="7"/>
  <c r="AA71" i="6"/>
  <c r="P68" i="6"/>
  <c r="G70" i="6"/>
  <c r="AB43" i="6"/>
  <c r="R47" i="6"/>
  <c r="AG42" i="6"/>
  <c r="AF72" i="6"/>
  <c r="M68" i="6"/>
  <c r="AF43" i="6"/>
  <c r="AH69" i="6"/>
  <c r="F71" i="6"/>
  <c r="G71" i="6"/>
  <c r="Q68" i="6"/>
  <c r="AI56" i="6"/>
  <c r="AE71" i="6"/>
  <c r="F47" i="6"/>
  <c r="J71" i="6"/>
  <c r="F42" i="6"/>
  <c r="P70" i="6"/>
  <c r="R48" i="6"/>
  <c r="L69" i="6"/>
  <c r="AD47" i="6"/>
  <c r="R68" i="6"/>
  <c r="L72" i="6"/>
  <c r="H43" i="6"/>
  <c r="AF71" i="6"/>
  <c r="G47" i="6"/>
  <c r="J55" i="6"/>
  <c r="Q42" i="6"/>
  <c r="AF55" i="6"/>
  <c r="AC42" i="6"/>
  <c r="AF42" i="6"/>
  <c r="AB55" i="6"/>
  <c r="W43" i="6"/>
  <c r="H48" i="6"/>
  <c r="AI71" i="6"/>
  <c r="M55" i="6"/>
  <c r="AI42" i="6"/>
  <c r="O72" i="6"/>
  <c r="Y43" i="6"/>
  <c r="I48" i="6"/>
  <c r="W56" i="6"/>
  <c r="W70" i="6"/>
  <c r="W69" i="6"/>
  <c r="M56" i="6"/>
  <c r="K42" i="6"/>
  <c r="L43" i="6"/>
  <c r="AA72" i="6"/>
  <c r="L68" i="6"/>
  <c r="P72" i="6"/>
  <c r="X56" i="6"/>
  <c r="AB71" i="6"/>
  <c r="H55" i="6"/>
  <c r="O69" i="6"/>
  <c r="P69" i="6"/>
  <c r="AF61" i="6"/>
  <c r="AC61" i="6"/>
  <c r="Z61" i="6"/>
  <c r="Y61" i="6"/>
  <c r="AI61" i="6"/>
  <c r="AE61" i="6"/>
  <c r="X61" i="6"/>
  <c r="AB61" i="6"/>
  <c r="AA61" i="6"/>
  <c r="W61" i="6"/>
  <c r="AH61" i="6"/>
  <c r="AD61" i="6"/>
  <c r="AG61" i="6"/>
  <c r="AA70" i="6"/>
  <c r="AC70" i="6"/>
  <c r="AD70" i="6"/>
  <c r="AA50" i="6"/>
  <c r="Z50" i="6"/>
  <c r="AG50" i="6"/>
  <c r="AB50" i="6"/>
  <c r="AC50" i="6"/>
  <c r="Y50" i="6"/>
  <c r="W50" i="6"/>
  <c r="AF50" i="6"/>
  <c r="AH50" i="6"/>
  <c r="X50" i="6"/>
  <c r="AE50" i="6"/>
  <c r="AI50" i="6"/>
  <c r="AG70" i="6"/>
  <c r="R44" i="6"/>
  <c r="K50" i="6"/>
  <c r="N50" i="6"/>
  <c r="Q50" i="6"/>
  <c r="H59" i="6"/>
  <c r="G59" i="6"/>
  <c r="Q59" i="6"/>
  <c r="K59" i="6"/>
  <c r="F59" i="6"/>
  <c r="R59" i="6"/>
  <c r="M59" i="6"/>
  <c r="J59" i="6"/>
  <c r="N59" i="6"/>
  <c r="I59" i="6"/>
  <c r="O59" i="6"/>
  <c r="P59" i="6"/>
  <c r="L59" i="6"/>
  <c r="O56" i="6"/>
  <c r="N56" i="6"/>
  <c r="AG41" i="6"/>
  <c r="G61" i="6"/>
  <c r="Q61" i="6"/>
  <c r="H61" i="6"/>
  <c r="N61" i="6"/>
  <c r="P61" i="6"/>
  <c r="F61" i="6"/>
  <c r="J61" i="6"/>
  <c r="M61" i="6"/>
  <c r="I61" i="6"/>
  <c r="L61" i="6"/>
  <c r="K61" i="6"/>
  <c r="O61" i="6"/>
  <c r="R61" i="6"/>
  <c r="K44" i="6"/>
  <c r="O44" i="6"/>
  <c r="M44" i="6"/>
  <c r="AC48" i="6"/>
  <c r="AH48" i="6"/>
  <c r="AD48" i="6"/>
  <c r="AG48" i="6"/>
  <c r="AA48" i="6"/>
  <c r="Y48" i="6"/>
  <c r="AB48" i="6"/>
  <c r="X48" i="6"/>
  <c r="AF48" i="6"/>
  <c r="AE48" i="6"/>
  <c r="Z48" i="6"/>
  <c r="W48" i="6"/>
  <c r="AI48" i="6"/>
  <c r="O43" i="6"/>
  <c r="N43" i="6"/>
  <c r="X59" i="6"/>
  <c r="AB59" i="6"/>
  <c r="AG59" i="6"/>
  <c r="AI59" i="6"/>
  <c r="W59" i="6"/>
  <c r="AD59" i="6"/>
  <c r="AA59" i="6"/>
  <c r="AH59" i="6"/>
  <c r="Z59" i="6"/>
  <c r="Y59" i="6"/>
  <c r="AC59" i="6"/>
  <c r="AF59" i="6"/>
  <c r="AE59" i="6"/>
  <c r="M50" i="6"/>
  <c r="AD50" i="6"/>
  <c r="L41" i="6"/>
  <c r="Q41" i="6"/>
  <c r="I41" i="6"/>
  <c r="G41" i="6"/>
  <c r="N41" i="6"/>
  <c r="P41" i="6"/>
  <c r="H41" i="6"/>
  <c r="K41" i="6"/>
  <c r="O41" i="6"/>
  <c r="M41" i="6"/>
  <c r="R41" i="6"/>
  <c r="F41" i="6"/>
  <c r="J41" i="6"/>
  <c r="AE68" i="6"/>
  <c r="AD68" i="6"/>
  <c r="AA68" i="6"/>
  <c r="AI41" i="6"/>
  <c r="AH47" i="6"/>
  <c r="AA44" i="6"/>
  <c r="AE44" i="6"/>
  <c r="AC41" i="6"/>
  <c r="G44" i="6"/>
  <c r="AH42" i="6"/>
  <c r="AA42" i="6"/>
  <c r="Q69" i="6"/>
  <c r="Z72" i="6"/>
  <c r="AC72" i="6"/>
  <c r="AG72" i="6"/>
  <c r="I68" i="6"/>
  <c r="AD55" i="6"/>
  <c r="AG55" i="6"/>
  <c r="H72" i="6"/>
  <c r="H70" i="6"/>
  <c r="AI68" i="6"/>
  <c r="W68" i="6"/>
  <c r="AD43" i="6"/>
  <c r="AE43" i="6"/>
  <c r="M43" i="6"/>
  <c r="G43" i="6"/>
  <c r="AA47" i="6"/>
  <c r="P48" i="6"/>
  <c r="AD44" i="6"/>
  <c r="X44" i="6"/>
  <c r="AE56" i="6"/>
  <c r="J50" i="6"/>
  <c r="X71" i="6"/>
  <c r="N47" i="6"/>
  <c r="K47" i="6"/>
  <c r="L55" i="6"/>
  <c r="P55" i="6"/>
  <c r="AH70" i="6"/>
  <c r="W41" i="6"/>
  <c r="AE41" i="6"/>
  <c r="AA69" i="6"/>
  <c r="AD69" i="6"/>
  <c r="N71" i="6"/>
  <c r="R71" i="6"/>
  <c r="G56" i="6"/>
  <c r="R42" i="6"/>
  <c r="F44" i="6"/>
  <c r="H44" i="6"/>
  <c r="I69" i="6"/>
  <c r="AH72" i="6"/>
  <c r="AD72" i="6"/>
  <c r="F68" i="6"/>
  <c r="AE55" i="6"/>
  <c r="AI55" i="6"/>
  <c r="I72" i="6"/>
  <c r="I70" i="6"/>
  <c r="L70" i="6"/>
  <c r="AB68" i="6"/>
  <c r="X68" i="6"/>
  <c r="AG43" i="6"/>
  <c r="P43" i="6"/>
  <c r="I43" i="6"/>
  <c r="W47" i="6"/>
  <c r="F48" i="6"/>
  <c r="L48" i="6"/>
  <c r="Q48" i="6"/>
  <c r="AB44" i="6"/>
  <c r="Y44" i="6"/>
  <c r="Z56" i="6"/>
  <c r="AF56" i="6"/>
  <c r="O50" i="6"/>
  <c r="AC71" i="6"/>
  <c r="Y71" i="6"/>
  <c r="O47" i="6"/>
  <c r="N55" i="6"/>
  <c r="Q55" i="6"/>
  <c r="AE70" i="6"/>
  <c r="AI70" i="6"/>
  <c r="AF41" i="6"/>
  <c r="AF69" i="6"/>
  <c r="AE69" i="6"/>
  <c r="O71" i="6"/>
  <c r="K71" i="6"/>
  <c r="P56" i="6"/>
  <c r="G42" i="6"/>
  <c r="AI47" i="6"/>
  <c r="J44" i="6"/>
  <c r="P44" i="6"/>
  <c r="W42" i="6"/>
  <c r="AB42" i="6"/>
  <c r="J69" i="6"/>
  <c r="M69" i="6"/>
  <c r="AI72" i="6"/>
  <c r="W72" i="6"/>
  <c r="N68" i="6"/>
  <c r="W55" i="6"/>
  <c r="J72" i="6"/>
  <c r="M72" i="6"/>
  <c r="Q72" i="6"/>
  <c r="Q70" i="6"/>
  <c r="AF68" i="6"/>
  <c r="Z43" i="6"/>
  <c r="Q43" i="6"/>
  <c r="X47" i="6"/>
  <c r="AE47" i="6"/>
  <c r="AI44" i="6"/>
  <c r="AG44" i="6"/>
  <c r="AA56" i="6"/>
  <c r="Y56" i="6"/>
  <c r="R50" i="6"/>
  <c r="AG71" i="6"/>
  <c r="H47" i="6"/>
  <c r="I47" i="6"/>
  <c r="X70" i="6"/>
  <c r="X41" i="6"/>
  <c r="AB41" i="6"/>
  <c r="X69" i="6"/>
  <c r="AB69" i="6"/>
  <c r="M71" i="6"/>
  <c r="H71" i="6"/>
  <c r="J56" i="6"/>
  <c r="I56" i="6"/>
  <c r="N42" i="6"/>
  <c r="I44" i="6"/>
  <c r="X42" i="6"/>
  <c r="R69" i="6"/>
  <c r="F69" i="6"/>
  <c r="AE72" i="6"/>
  <c r="J68" i="6"/>
  <c r="G68" i="6"/>
  <c r="AC55" i="6"/>
  <c r="AH55" i="6"/>
  <c r="K72" i="6"/>
  <c r="F72" i="6"/>
  <c r="N70" i="6"/>
  <c r="J70" i="6"/>
  <c r="M70" i="6"/>
  <c r="Y68" i="6"/>
  <c r="AH43" i="6"/>
  <c r="J43" i="6"/>
  <c r="AB47" i="6"/>
  <c r="Y47" i="6"/>
  <c r="J48" i="6"/>
  <c r="M48" i="6"/>
  <c r="AH44" i="6"/>
  <c r="AB56" i="6"/>
  <c r="AG56" i="6"/>
  <c r="H50" i="6"/>
  <c r="L50" i="6"/>
  <c r="Z71" i="6"/>
  <c r="P47" i="6"/>
  <c r="Q47" i="6"/>
  <c r="R55" i="6"/>
  <c r="K55" i="6"/>
  <c r="AF70" i="6"/>
  <c r="AB70" i="6"/>
  <c r="AH41" i="6"/>
  <c r="Y69" i="6"/>
  <c r="L71" i="6"/>
  <c r="P71" i="6"/>
  <c r="K56" i="6"/>
  <c r="Q56" i="6"/>
  <c r="H42" i="6"/>
  <c r="L42" i="6"/>
  <c r="AF44" i="6"/>
  <c r="AA41" i="6"/>
  <c r="N44" i="6"/>
  <c r="L44" i="6"/>
  <c r="Q44" i="6"/>
  <c r="Z42" i="6"/>
  <c r="N69" i="6"/>
  <c r="AB72" i="6"/>
  <c r="X72" i="6"/>
  <c r="K68" i="6"/>
  <c r="O68" i="6"/>
  <c r="X55" i="6"/>
  <c r="R72" i="6"/>
  <c r="N72" i="6"/>
  <c r="O70" i="6"/>
  <c r="R70" i="6"/>
  <c r="AH68" i="6"/>
  <c r="AC68" i="6"/>
  <c r="AG68" i="6"/>
  <c r="AA43" i="6"/>
  <c r="F43" i="6"/>
  <c r="R43" i="6"/>
  <c r="AC47" i="6"/>
  <c r="AG47" i="6"/>
  <c r="K48" i="6"/>
  <c r="G48" i="6"/>
  <c r="AC44" i="6"/>
  <c r="AC56" i="6"/>
  <c r="P50" i="6"/>
  <c r="AD71" i="6"/>
  <c r="AH71" i="6"/>
  <c r="L47" i="6"/>
  <c r="J47" i="6"/>
  <c r="O55" i="6"/>
  <c r="F55" i="6"/>
  <c r="Y70" i="6"/>
  <c r="Y41" i="6"/>
  <c r="AD41" i="6"/>
  <c r="AG69" i="6"/>
  <c r="I71" i="6"/>
  <c r="R56" i="6"/>
  <c r="L56" i="6"/>
  <c r="J42" i="6"/>
  <c r="AE42" i="6"/>
  <c r="Y42" i="6"/>
  <c r="K69" i="6"/>
  <c r="Z55" i="6"/>
  <c r="AC43" i="6"/>
  <c r="X43" i="6"/>
  <c r="AF47" i="6"/>
  <c r="N48" i="6"/>
  <c r="Z44" i="6"/>
  <c r="AH56" i="6"/>
  <c r="F50" i="6"/>
  <c r="I50" i="6"/>
  <c r="W71" i="6"/>
  <c r="M47" i="6"/>
  <c r="Z69" i="6"/>
  <c r="H56" i="6"/>
  <c r="O42" i="6"/>
  <c r="I42" i="6"/>
  <c r="G81" i="7"/>
  <c r="H61" i="7"/>
  <c r="AB66" i="7"/>
  <c r="AC66" i="7"/>
  <c r="Z57" i="7"/>
  <c r="P63" i="7"/>
  <c r="N85" i="7"/>
  <c r="J85" i="7"/>
  <c r="L85" i="7"/>
  <c r="Y40" i="5"/>
  <c r="X40" i="5"/>
  <c r="W40" i="5"/>
  <c r="F57" i="7"/>
  <c r="W77" i="7"/>
  <c r="H63" i="7"/>
  <c r="I51" i="7"/>
  <c r="Q85" i="7"/>
  <c r="M89" i="7"/>
  <c r="L70" i="7"/>
  <c r="W53" i="7"/>
  <c r="Y61" i="7"/>
  <c r="J56" i="7"/>
  <c r="AD61" i="7"/>
  <c r="AD66" i="7"/>
  <c r="H81" i="7"/>
  <c r="AA61" i="7"/>
  <c r="AJ16" i="7"/>
  <c r="AJ61" i="7" s="1"/>
  <c r="AF61" i="7"/>
  <c r="I81" i="7"/>
  <c r="AB61" i="7"/>
  <c r="AI66" i="7"/>
  <c r="AC61" i="7"/>
  <c r="K56" i="7"/>
  <c r="AA48" i="7"/>
  <c r="X70" i="7"/>
  <c r="L56" i="7"/>
  <c r="I61" i="7"/>
  <c r="X53" i="7"/>
  <c r="K53" i="7"/>
  <c r="W66" i="7"/>
  <c r="F61" i="7"/>
  <c r="G89" i="7"/>
  <c r="G77" i="7"/>
  <c r="F48" i="7"/>
  <c r="AA53" i="7"/>
  <c r="W70" i="7"/>
  <c r="X66" i="7"/>
  <c r="I48" i="7"/>
  <c r="Z48" i="7"/>
  <c r="AG85" i="7"/>
  <c r="Y53" i="7"/>
  <c r="W75" i="7"/>
  <c r="Z66" i="7"/>
  <c r="L89" i="7"/>
  <c r="AF48" i="7"/>
  <c r="X67" i="7"/>
  <c r="H48" i="7"/>
  <c r="I89" i="7"/>
  <c r="AH61" i="7"/>
  <c r="X62" i="7"/>
  <c r="W81" i="7"/>
  <c r="G66" i="7"/>
  <c r="H66" i="7"/>
  <c r="AA81" i="7"/>
  <c r="Y62" i="7"/>
  <c r="Y81" i="7"/>
  <c r="S22" i="7"/>
  <c r="S67" i="7" s="1"/>
  <c r="Z81" i="7"/>
  <c r="K89" i="7"/>
  <c r="J57" i="7"/>
  <c r="AD81" i="7"/>
  <c r="F89" i="7"/>
  <c r="J89" i="7"/>
  <c r="H89" i="7"/>
  <c r="S44" i="7"/>
  <c r="S89" i="7" s="1"/>
  <c r="H53" i="7"/>
  <c r="AI61" i="7"/>
  <c r="AE86" i="7"/>
  <c r="I53" i="7"/>
  <c r="AB81" i="7"/>
  <c r="J53" i="7"/>
  <c r="F53" i="7"/>
  <c r="L61" i="7"/>
  <c r="P53" i="7"/>
  <c r="H51" i="7"/>
  <c r="G53" i="7"/>
  <c r="N56" i="7"/>
  <c r="AA70" i="7"/>
  <c r="M53" i="7"/>
  <c r="AA62" i="7"/>
  <c r="W76" i="7"/>
  <c r="Y48" i="7"/>
  <c r="I63" i="7"/>
  <c r="F77" i="7"/>
  <c r="L53" i="7"/>
  <c r="G57" i="7"/>
  <c r="AB62" i="7"/>
  <c r="AC62" i="7"/>
  <c r="Z76" i="7"/>
  <c r="L51" i="7"/>
  <c r="O63" i="7"/>
  <c r="H57" i="7"/>
  <c r="I66" i="7"/>
  <c r="W48" i="7"/>
  <c r="AE68" i="7"/>
  <c r="G76" i="7"/>
  <c r="H77" i="7"/>
  <c r="J81" i="7"/>
  <c r="AD62" i="7"/>
  <c r="AE48" i="7"/>
  <c r="AI70" i="7"/>
  <c r="F63" i="7"/>
  <c r="AC48" i="7"/>
  <c r="Z75" i="7"/>
  <c r="M77" i="7"/>
  <c r="H76" i="7"/>
  <c r="AC70" i="7"/>
  <c r="AA86" i="7"/>
  <c r="F76" i="7"/>
  <c r="Y67" i="7"/>
  <c r="Z67" i="7"/>
  <c r="AD70" i="7"/>
  <c r="M76" i="7"/>
  <c r="Z86" i="7"/>
  <c r="AG66" i="7"/>
  <c r="X76" i="7"/>
  <c r="AB48" i="7"/>
  <c r="X48" i="7"/>
  <c r="AF70" i="7"/>
  <c r="AE61" i="7"/>
  <c r="M57" i="7"/>
  <c r="AG48" i="7"/>
  <c r="AD48" i="7"/>
  <c r="AI48" i="7"/>
  <c r="Y70" i="7"/>
  <c r="X75" i="7"/>
  <c r="AG61" i="7"/>
  <c r="O85" i="7"/>
  <c r="P85" i="7"/>
  <c r="AE70" i="7"/>
  <c r="AG70" i="7"/>
  <c r="M51" i="7"/>
  <c r="AD76" i="7"/>
  <c r="AB88" i="7"/>
  <c r="AJ10" i="6"/>
  <c r="AJ47" i="6" s="1"/>
  <c r="AH70" i="7"/>
  <c r="O86" i="7"/>
  <c r="R85" i="7"/>
  <c r="F51" i="7"/>
  <c r="AH76" i="7"/>
  <c r="AH88" i="7"/>
  <c r="AC88" i="7"/>
  <c r="AJ21" i="7"/>
  <c r="AJ66" i="7" s="1"/>
  <c r="AB76" i="7"/>
  <c r="AE88" i="7"/>
  <c r="J63" i="7"/>
  <c r="O51" i="7"/>
  <c r="J51" i="7"/>
  <c r="N89" i="7"/>
  <c r="AE62" i="7"/>
  <c r="W63" i="7"/>
  <c r="Y77" i="7"/>
  <c r="Y63" i="7"/>
  <c r="AJ13" i="6"/>
  <c r="AJ50" i="6" s="1"/>
  <c r="Z77" i="7"/>
  <c r="R89" i="7"/>
  <c r="Q89" i="7"/>
  <c r="K51" i="7"/>
  <c r="H54" i="7"/>
  <c r="P88" i="7"/>
  <c r="X63" i="7"/>
  <c r="AJ7" i="6"/>
  <c r="AJ44" i="6" s="1"/>
  <c r="AJ19" i="6"/>
  <c r="AJ56" i="6" s="1"/>
  <c r="AG62" i="7"/>
  <c r="X57" i="7"/>
  <c r="Z88" i="7"/>
  <c r="Y88" i="7"/>
  <c r="M61" i="7"/>
  <c r="L57" i="7"/>
  <c r="AF62" i="7"/>
  <c r="AH62" i="7"/>
  <c r="Y57" i="7"/>
  <c r="AC81" i="7"/>
  <c r="AA88" i="7"/>
  <c r="AC76" i="7"/>
  <c r="R48" i="7"/>
  <c r="N61" i="7"/>
  <c r="P61" i="7"/>
  <c r="AI62" i="7"/>
  <c r="O61" i="7"/>
  <c r="AA76" i="7"/>
  <c r="S17" i="7"/>
  <c r="J61" i="7"/>
  <c r="AH48" i="7"/>
  <c r="AD88" i="7"/>
  <c r="J76" i="7"/>
  <c r="K57" i="7"/>
  <c r="K61" i="7"/>
  <c r="AJ3" i="7"/>
  <c r="AJ48" i="7" s="1"/>
  <c r="AC85" i="7"/>
  <c r="AJ25" i="7"/>
  <c r="AJ70" i="7" s="1"/>
  <c r="AD85" i="7"/>
  <c r="M68" i="7"/>
  <c r="Q54" i="7"/>
  <c r="AH66" i="7"/>
  <c r="P60" i="5"/>
  <c r="W62" i="7"/>
  <c r="AB70" i="7"/>
  <c r="AE66" i="7"/>
  <c r="AA66" i="7"/>
  <c r="J78" i="7"/>
  <c r="Q48" i="7"/>
  <c r="AG86" i="7"/>
  <c r="AF66" i="7"/>
  <c r="L63" i="7"/>
  <c r="R61" i="7"/>
  <c r="G54" i="7"/>
  <c r="S40" i="7"/>
  <c r="S85" i="7" s="1"/>
  <c r="O66" i="7"/>
  <c r="AJ17" i="7"/>
  <c r="AJ62" i="7" s="1"/>
  <c r="AC57" i="7"/>
  <c r="N57" i="7"/>
  <c r="F70" i="7"/>
  <c r="J70" i="7"/>
  <c r="R66" i="7"/>
  <c r="Q70" i="7"/>
  <c r="K49" i="7"/>
  <c r="S34" i="6"/>
  <c r="S71" i="6" s="1"/>
  <c r="J70" i="5"/>
  <c r="S4" i="5"/>
  <c r="S40" i="5" s="1"/>
  <c r="K46" i="5"/>
  <c r="AC61" i="5"/>
  <c r="W86" i="7"/>
  <c r="AC53" i="7"/>
  <c r="Y54" i="7"/>
  <c r="AF88" i="7"/>
  <c r="AG88" i="7"/>
  <c r="K48" i="7"/>
  <c r="M48" i="7"/>
  <c r="K76" i="7"/>
  <c r="K70" i="7"/>
  <c r="J54" i="7"/>
  <c r="O89" i="7"/>
  <c r="Q61" i="7"/>
  <c r="J77" i="7"/>
  <c r="P89" i="7"/>
  <c r="X54" i="7"/>
  <c r="AD54" i="7"/>
  <c r="AJ41" i="7"/>
  <c r="AJ86" i="7" s="1"/>
  <c r="K63" i="7"/>
  <c r="Q63" i="7"/>
  <c r="Q56" i="7"/>
  <c r="R56" i="7"/>
  <c r="P56" i="7"/>
  <c r="L77" i="7"/>
  <c r="AJ18" i="6"/>
  <c r="AJ55" i="6" s="1"/>
  <c r="AJ11" i="7"/>
  <c r="AJ56" i="7" s="1"/>
  <c r="AJ44" i="7"/>
  <c r="AJ89" i="7" s="1"/>
  <c r="AI86" i="7"/>
  <c r="AE53" i="7"/>
  <c r="AH86" i="7"/>
  <c r="X88" i="7"/>
  <c r="F62" i="7"/>
  <c r="S11" i="7"/>
  <c r="S56" i="7" s="1"/>
  <c r="L76" i="7"/>
  <c r="P77" i="7"/>
  <c r="K54" i="7"/>
  <c r="K77" i="7"/>
  <c r="R72" i="7"/>
  <c r="R70" i="7"/>
  <c r="AF86" i="7"/>
  <c r="W54" i="7"/>
  <c r="AE78" i="7"/>
  <c r="AA85" i="7"/>
  <c r="N63" i="7"/>
  <c r="S30" i="7"/>
  <c r="S75" i="7" s="1"/>
  <c r="S12" i="7"/>
  <c r="S57" i="7" s="1"/>
  <c r="Q76" i="7"/>
  <c r="G70" i="7"/>
  <c r="M66" i="7"/>
  <c r="AJ29" i="5"/>
  <c r="AJ65" i="5" s="1"/>
  <c r="AJ18" i="7"/>
  <c r="AJ63" i="7" s="1"/>
  <c r="M62" i="7"/>
  <c r="M63" i="7"/>
  <c r="L66" i="7"/>
  <c r="M70" i="7"/>
  <c r="H70" i="7"/>
  <c r="K66" i="7"/>
  <c r="O56" i="7"/>
  <c r="S24" i="6"/>
  <c r="S61" i="6" s="1"/>
  <c r="AJ5" i="6"/>
  <c r="AJ42" i="6" s="1"/>
  <c r="AB86" i="7"/>
  <c r="AB54" i="7"/>
  <c r="R63" i="7"/>
  <c r="J66" i="7"/>
  <c r="I70" i="7"/>
  <c r="AJ43" i="7"/>
  <c r="AJ88" i="7" s="1"/>
  <c r="AC54" i="7"/>
  <c r="AA49" i="7"/>
  <c r="S25" i="7"/>
  <c r="S70" i="7" s="1"/>
  <c r="K81" i="7"/>
  <c r="AG54" i="7"/>
  <c r="O62" i="7"/>
  <c r="S11" i="6"/>
  <c r="S48" i="6" s="1"/>
  <c r="AE54" i="7"/>
  <c r="AI88" i="7"/>
  <c r="S27" i="7"/>
  <c r="S72" i="7" s="1"/>
  <c r="N70" i="7"/>
  <c r="O70" i="7"/>
  <c r="F40" i="5"/>
  <c r="K78" i="7"/>
  <c r="L81" i="7"/>
  <c r="P48" i="5"/>
  <c r="L51" i="5"/>
  <c r="AJ9" i="7"/>
  <c r="AJ54" i="7" s="1"/>
  <c r="P70" i="7"/>
  <c r="N81" i="7"/>
  <c r="M81" i="7"/>
  <c r="S12" i="5"/>
  <c r="S48" i="5" s="1"/>
  <c r="R78" i="7"/>
  <c r="H78" i="7"/>
  <c r="AJ11" i="5"/>
  <c r="AJ47" i="5" s="1"/>
  <c r="H40" i="5"/>
  <c r="H48" i="5"/>
  <c r="AG57" i="5"/>
  <c r="AB56" i="7"/>
  <c r="AC49" i="7"/>
  <c r="AF76" i="7"/>
  <c r="N40" i="5"/>
  <c r="L40" i="5"/>
  <c r="R48" i="5"/>
  <c r="J48" i="5"/>
  <c r="G88" i="7"/>
  <c r="G40" i="5"/>
  <c r="K48" i="5"/>
  <c r="I48" i="5"/>
  <c r="AF70" i="5"/>
  <c r="AF60" i="5"/>
  <c r="AF78" i="7"/>
  <c r="AD49" i="7"/>
  <c r="M40" i="5"/>
  <c r="O40" i="5"/>
  <c r="L48" i="5"/>
  <c r="Q48" i="5"/>
  <c r="Y78" i="7"/>
  <c r="N75" i="7"/>
  <c r="P40" i="5"/>
  <c r="R40" i="5"/>
  <c r="AD60" i="5"/>
  <c r="F48" i="5"/>
  <c r="G46" i="5"/>
  <c r="K67" i="5"/>
  <c r="AF75" i="7"/>
  <c r="Z49" i="7"/>
  <c r="W49" i="7"/>
  <c r="Q75" i="7"/>
  <c r="M48" i="5"/>
  <c r="N48" i="5"/>
  <c r="AI48" i="5"/>
  <c r="AC78" i="7"/>
  <c r="AH49" i="7"/>
  <c r="X49" i="7"/>
  <c r="J75" i="7"/>
  <c r="Q40" i="5"/>
  <c r="K40" i="5"/>
  <c r="O48" i="5"/>
  <c r="AE40" i="5"/>
  <c r="Y51" i="7"/>
  <c r="W51" i="7"/>
  <c r="X51" i="7"/>
  <c r="AB51" i="7"/>
  <c r="Z51" i="7"/>
  <c r="S31" i="5"/>
  <c r="S67" i="5" s="1"/>
  <c r="J65" i="5"/>
  <c r="K65" i="5"/>
  <c r="O65" i="5"/>
  <c r="M65" i="5"/>
  <c r="P65" i="5"/>
  <c r="N65" i="5"/>
  <c r="I65" i="5"/>
  <c r="H65" i="5"/>
  <c r="L65" i="5"/>
  <c r="Q65" i="5"/>
  <c r="F65" i="5"/>
  <c r="G65" i="5"/>
  <c r="AJ9" i="5"/>
  <c r="AJ45" i="5" s="1"/>
  <c r="X45" i="5"/>
  <c r="AE45" i="5"/>
  <c r="AD45" i="5"/>
  <c r="AA45" i="5"/>
  <c r="Z45" i="5"/>
  <c r="AC45" i="5"/>
  <c r="AI45" i="5"/>
  <c r="W45" i="5"/>
  <c r="AH45" i="5"/>
  <c r="AB45" i="5"/>
  <c r="Y45" i="5"/>
  <c r="AG81" i="7"/>
  <c r="AI81" i="7"/>
  <c r="AJ36" i="7"/>
  <c r="AJ81" i="7" s="1"/>
  <c r="AF81" i="7"/>
  <c r="AE81" i="7"/>
  <c r="J86" i="7"/>
  <c r="F86" i="7"/>
  <c r="I86" i="7"/>
  <c r="G86" i="7"/>
  <c r="L86" i="7"/>
  <c r="M86" i="7"/>
  <c r="AF48" i="5"/>
  <c r="AC57" i="5"/>
  <c r="P67" i="5"/>
  <c r="I67" i="5"/>
  <c r="M67" i="5"/>
  <c r="H67" i="5"/>
  <c r="Q67" i="5"/>
  <c r="O67" i="5"/>
  <c r="G67" i="5"/>
  <c r="N67" i="5"/>
  <c r="F67" i="5"/>
  <c r="L67" i="5"/>
  <c r="R67" i="5"/>
  <c r="Y72" i="7"/>
  <c r="X72" i="7"/>
  <c r="AJ27" i="7"/>
  <c r="AJ72" i="7" s="1"/>
  <c r="AG72" i="7"/>
  <c r="AH72" i="7"/>
  <c r="AE72" i="7"/>
  <c r="AA72" i="7"/>
  <c r="AD72" i="7"/>
  <c r="AF72" i="7"/>
  <c r="AB72" i="7"/>
  <c r="AC72" i="7"/>
  <c r="Z72" i="7"/>
  <c r="Q70" i="5"/>
  <c r="K70" i="5"/>
  <c r="I70" i="5"/>
  <c r="P70" i="5"/>
  <c r="H70" i="5"/>
  <c r="F70" i="5"/>
  <c r="O70" i="5"/>
  <c r="G70" i="5"/>
  <c r="L70" i="5"/>
  <c r="R70" i="5"/>
  <c r="N70" i="5"/>
  <c r="AJ15" i="5"/>
  <c r="AJ51" i="5" s="1"/>
  <c r="AG51" i="5"/>
  <c r="AH51" i="5"/>
  <c r="Y51" i="5"/>
  <c r="AF51" i="5"/>
  <c r="AC51" i="5"/>
  <c r="X51" i="5"/>
  <c r="AE51" i="5"/>
  <c r="AI51" i="5"/>
  <c r="AD51" i="5"/>
  <c r="AA51" i="5"/>
  <c r="AB51" i="5"/>
  <c r="Z51" i="5"/>
  <c r="AJ21" i="5"/>
  <c r="AJ57" i="5" s="1"/>
  <c r="AH65" i="5"/>
  <c r="AD65" i="5"/>
  <c r="Z65" i="5"/>
  <c r="W65" i="5"/>
  <c r="Y65" i="5"/>
  <c r="AI65" i="5"/>
  <c r="AF65" i="5"/>
  <c r="X65" i="5"/>
  <c r="AE65" i="5"/>
  <c r="AC65" i="5"/>
  <c r="AA65" i="5"/>
  <c r="AB65" i="5"/>
  <c r="AJ31" i="5"/>
  <c r="AJ67" i="5" s="1"/>
  <c r="AD67" i="5"/>
  <c r="AG67" i="5"/>
  <c r="AC67" i="5"/>
  <c r="Z67" i="5"/>
  <c r="AI67" i="5"/>
  <c r="AA67" i="5"/>
  <c r="AF67" i="5"/>
  <c r="Y67" i="5"/>
  <c r="X67" i="5"/>
  <c r="AH67" i="5"/>
  <c r="AE67" i="5"/>
  <c r="S7" i="6"/>
  <c r="S44" i="6" s="1"/>
  <c r="W67" i="5"/>
  <c r="S15" i="5"/>
  <c r="S51" i="5" s="1"/>
  <c r="K51" i="5"/>
  <c r="F51" i="5"/>
  <c r="R51" i="5"/>
  <c r="J51" i="5"/>
  <c r="M51" i="5"/>
  <c r="Q51" i="5"/>
  <c r="G51" i="5"/>
  <c r="I51" i="5"/>
  <c r="O51" i="5"/>
  <c r="P51" i="5"/>
  <c r="H51" i="5"/>
  <c r="N51" i="5"/>
  <c r="S33" i="5"/>
  <c r="S69" i="5" s="1"/>
  <c r="P69" i="5"/>
  <c r="O69" i="5"/>
  <c r="K69" i="5"/>
  <c r="M69" i="5"/>
  <c r="F69" i="5"/>
  <c r="R69" i="5"/>
  <c r="H69" i="5"/>
  <c r="J69" i="5"/>
  <c r="G69" i="5"/>
  <c r="Q69" i="5"/>
  <c r="N69" i="5"/>
  <c r="AJ33" i="5"/>
  <c r="AJ69" i="5" s="1"/>
  <c r="AA69" i="5"/>
  <c r="AH69" i="5"/>
  <c r="X69" i="5"/>
  <c r="Z69" i="5"/>
  <c r="W69" i="5"/>
  <c r="AG69" i="5"/>
  <c r="AD69" i="5"/>
  <c r="Y69" i="5"/>
  <c r="AB69" i="5"/>
  <c r="AF69" i="5"/>
  <c r="AE69" i="5"/>
  <c r="AJ25" i="5"/>
  <c r="AJ61" i="5" s="1"/>
  <c r="Z61" i="5"/>
  <c r="X61" i="5"/>
  <c r="AG61" i="5"/>
  <c r="W61" i="5"/>
  <c r="AE61" i="5"/>
  <c r="AF61" i="5"/>
  <c r="AD61" i="5"/>
  <c r="AA61" i="5"/>
  <c r="AB61" i="5"/>
  <c r="Y61" i="5"/>
  <c r="AI61" i="5"/>
  <c r="AD47" i="5"/>
  <c r="AE47" i="5"/>
  <c r="AC47" i="5"/>
  <c r="AG47" i="5"/>
  <c r="W47" i="5"/>
  <c r="AH47" i="5"/>
  <c r="Y47" i="5"/>
  <c r="AB47" i="5"/>
  <c r="AF47" i="5"/>
  <c r="X47" i="5"/>
  <c r="Z47" i="5"/>
  <c r="AI47" i="5"/>
  <c r="AG40" i="5"/>
  <c r="AD40" i="5"/>
  <c r="AI40" i="5"/>
  <c r="AF40" i="5"/>
  <c r="AC40" i="5"/>
  <c r="AA40" i="5"/>
  <c r="AB40" i="5"/>
  <c r="AH40" i="5"/>
  <c r="AF45" i="5"/>
  <c r="AA47" i="5"/>
  <c r="I69" i="5"/>
  <c r="AG65" i="5"/>
  <c r="S24" i="5"/>
  <c r="S60" i="5" s="1"/>
  <c r="Q60" i="5"/>
  <c r="K60" i="5"/>
  <c r="N60" i="5"/>
  <c r="G60" i="5"/>
  <c r="I60" i="5"/>
  <c r="F60" i="5"/>
  <c r="L60" i="5"/>
  <c r="R60" i="5"/>
  <c r="J60" i="5"/>
  <c r="O60" i="5"/>
  <c r="H60" i="5"/>
  <c r="S21" i="5"/>
  <c r="S57" i="5" s="1"/>
  <c r="N57" i="5"/>
  <c r="H57" i="5"/>
  <c r="G57" i="5"/>
  <c r="M57" i="5"/>
  <c r="F57" i="5"/>
  <c r="L57" i="5"/>
  <c r="Q57" i="5"/>
  <c r="R57" i="5"/>
  <c r="P57" i="5"/>
  <c r="J57" i="5"/>
  <c r="K57" i="5"/>
  <c r="AJ24" i="5"/>
  <c r="AJ60" i="5" s="1"/>
  <c r="AA60" i="5"/>
  <c r="AG60" i="5"/>
  <c r="AB60" i="5"/>
  <c r="AC60" i="5"/>
  <c r="AE60" i="5"/>
  <c r="AI60" i="5"/>
  <c r="Y60" i="5"/>
  <c r="Z60" i="5"/>
  <c r="AH60" i="5"/>
  <c r="W60" i="5"/>
  <c r="AH81" i="7"/>
  <c r="AH61" i="5"/>
  <c r="M60" i="5"/>
  <c r="O57" i="5"/>
  <c r="K47" i="5"/>
  <c r="F47" i="5"/>
  <c r="N47" i="5"/>
  <c r="R47" i="5"/>
  <c r="M47" i="5"/>
  <c r="Q47" i="5"/>
  <c r="J47" i="5"/>
  <c r="I47" i="5"/>
  <c r="O47" i="5"/>
  <c r="P47" i="5"/>
  <c r="H47" i="5"/>
  <c r="L47" i="5"/>
  <c r="AI46" i="5"/>
  <c r="AF46" i="5"/>
  <c r="AB46" i="5"/>
  <c r="AA46" i="5"/>
  <c r="AH46" i="5"/>
  <c r="Z46" i="5"/>
  <c r="AG46" i="5"/>
  <c r="AC46" i="5"/>
  <c r="W46" i="5"/>
  <c r="Y46" i="5"/>
  <c r="AE46" i="5"/>
  <c r="J67" i="5"/>
  <c r="X60" i="5"/>
  <c r="W51" i="5"/>
  <c r="AC69" i="5"/>
  <c r="P46" i="5"/>
  <c r="R46" i="5"/>
  <c r="Q46" i="5"/>
  <c r="J46" i="5"/>
  <c r="O46" i="5"/>
  <c r="M46" i="5"/>
  <c r="I46" i="5"/>
  <c r="N46" i="5"/>
  <c r="H46" i="5"/>
  <c r="L46" i="5"/>
  <c r="F46" i="5"/>
  <c r="X70" i="5"/>
  <c r="AE70" i="5"/>
  <c r="W70" i="5"/>
  <c r="AI70" i="5"/>
  <c r="AH70" i="5"/>
  <c r="AD70" i="5"/>
  <c r="AB70" i="5"/>
  <c r="Z70" i="5"/>
  <c r="AC70" i="5"/>
  <c r="AG70" i="5"/>
  <c r="AA70" i="5"/>
  <c r="Y70" i="5"/>
  <c r="AB57" i="5"/>
  <c r="W57" i="5"/>
  <c r="AI57" i="5"/>
  <c r="AH57" i="5"/>
  <c r="AA57" i="5"/>
  <c r="Z57" i="5"/>
  <c r="X57" i="5"/>
  <c r="AE57" i="5"/>
  <c r="Y57" i="5"/>
  <c r="AD57" i="5"/>
  <c r="AF57" i="5"/>
  <c r="AB77" i="7"/>
  <c r="AD77" i="7"/>
  <c r="AA77" i="7"/>
  <c r="AG77" i="7"/>
  <c r="AC77" i="7"/>
  <c r="AF77" i="7"/>
  <c r="L69" i="5"/>
  <c r="AD46" i="5"/>
  <c r="I57" i="5"/>
  <c r="AI69" i="5"/>
  <c r="S9" i="5"/>
  <c r="S45" i="5" s="1"/>
  <c r="G45" i="5"/>
  <c r="K45" i="5"/>
  <c r="R45" i="5"/>
  <c r="L45" i="5"/>
  <c r="Q45" i="5"/>
  <c r="J45" i="5"/>
  <c r="I45" i="5"/>
  <c r="P45" i="5"/>
  <c r="F45" i="5"/>
  <c r="H45" i="5"/>
  <c r="M45" i="5"/>
  <c r="O45" i="5"/>
  <c r="S25" i="5"/>
  <c r="S61" i="5" s="1"/>
  <c r="L61" i="5"/>
  <c r="F61" i="5"/>
  <c r="R61" i="5"/>
  <c r="Q61" i="5"/>
  <c r="J61" i="5"/>
  <c r="I61" i="5"/>
  <c r="M61" i="5"/>
  <c r="P61" i="5"/>
  <c r="K61" i="5"/>
  <c r="N61" i="5"/>
  <c r="O61" i="5"/>
  <c r="H61" i="5"/>
  <c r="Z48" i="5"/>
  <c r="AE48" i="5"/>
  <c r="AH48" i="5"/>
  <c r="X48" i="5"/>
  <c r="W48" i="5"/>
  <c r="AD48" i="5"/>
  <c r="AB48" i="5"/>
  <c r="AG48" i="5"/>
  <c r="AC48" i="5"/>
  <c r="Y48" i="5"/>
  <c r="AA48" i="5"/>
  <c r="G61" i="5"/>
  <c r="M70" i="5"/>
  <c r="AG45" i="5"/>
  <c r="AB67" i="5"/>
  <c r="R65" i="5"/>
  <c r="N45" i="5"/>
  <c r="AE49" i="7"/>
  <c r="AG76" i="7"/>
  <c r="K62" i="7"/>
  <c r="P62" i="7"/>
  <c r="N66" i="7"/>
  <c r="P66" i="7"/>
  <c r="F78" i="7"/>
  <c r="I78" i="7"/>
  <c r="AE56" i="7"/>
  <c r="X78" i="7"/>
  <c r="AB49" i="7"/>
  <c r="AF49" i="7"/>
  <c r="AE85" i="7"/>
  <c r="Q62" i="7"/>
  <c r="M75" i="7"/>
  <c r="F88" i="7"/>
  <c r="Q66" i="7"/>
  <c r="M78" i="7"/>
  <c r="M49" i="7"/>
  <c r="S16" i="7"/>
  <c r="S61" i="7" s="1"/>
  <c r="AJ4" i="6"/>
  <c r="AJ41" i="6" s="1"/>
  <c r="AH51" i="7"/>
  <c r="S33" i="7"/>
  <c r="S78" i="7" s="1"/>
  <c r="AG63" i="7"/>
  <c r="AG49" i="7"/>
  <c r="AI85" i="7"/>
  <c r="S62" i="7"/>
  <c r="K68" i="7"/>
  <c r="S33" i="6"/>
  <c r="S70" i="6" s="1"/>
  <c r="AJ31" i="6"/>
  <c r="AJ68" i="6" s="1"/>
  <c r="AI49" i="7"/>
  <c r="AI77" i="7"/>
  <c r="Y86" i="7"/>
  <c r="AE63" i="7"/>
  <c r="H75" i="7"/>
  <c r="F49" i="7"/>
  <c r="J40" i="5"/>
  <c r="S19" i="6"/>
  <c r="S56" i="6" s="1"/>
  <c r="S10" i="6"/>
  <c r="S47" i="6" s="1"/>
  <c r="AA56" i="7"/>
  <c r="L62" i="7"/>
  <c r="L78" i="7"/>
  <c r="G62" i="7"/>
  <c r="I88" i="7"/>
  <c r="G78" i="7"/>
  <c r="R62" i="7"/>
  <c r="G75" i="7"/>
  <c r="L75" i="7"/>
  <c r="O68" i="7"/>
  <c r="J68" i="7"/>
  <c r="N72" i="7"/>
  <c r="L88" i="7"/>
  <c r="S9" i="7"/>
  <c r="S54" i="7" s="1"/>
  <c r="Q77" i="7"/>
  <c r="P51" i="7"/>
  <c r="O78" i="7"/>
  <c r="J67" i="7"/>
  <c r="S18" i="7"/>
  <c r="S63" i="7" s="1"/>
  <c r="P86" i="7"/>
  <c r="N53" i="7"/>
  <c r="N48" i="7"/>
  <c r="O75" i="7"/>
  <c r="P68" i="7"/>
  <c r="R68" i="7"/>
  <c r="R76" i="7"/>
  <c r="Q72" i="7"/>
  <c r="Q88" i="7"/>
  <c r="N88" i="7"/>
  <c r="O54" i="7"/>
  <c r="S3" i="7"/>
  <c r="M72" i="7"/>
  <c r="N77" i="7"/>
  <c r="Q51" i="7"/>
  <c r="R51" i="7"/>
  <c r="S6" i="7"/>
  <c r="S51" i="7" s="1"/>
  <c r="N78" i="7"/>
  <c r="R81" i="7"/>
  <c r="Q81" i="7"/>
  <c r="O81" i="7"/>
  <c r="O53" i="7"/>
  <c r="Q53" i="7"/>
  <c r="Q57" i="7"/>
  <c r="O57" i="7"/>
  <c r="S21" i="7"/>
  <c r="S66" i="7" s="1"/>
  <c r="N54" i="7"/>
  <c r="J48" i="7"/>
  <c r="O77" i="7"/>
  <c r="R77" i="7"/>
  <c r="P78" i="7"/>
  <c r="N49" i="7"/>
  <c r="S4" i="7"/>
  <c r="S49" i="7" s="1"/>
  <c r="K72" i="7"/>
  <c r="N86" i="7"/>
  <c r="Q86" i="7"/>
  <c r="H62" i="7"/>
  <c r="P75" i="7"/>
  <c r="R75" i="7"/>
  <c r="H68" i="7"/>
  <c r="O76" i="7"/>
  <c r="O88" i="7"/>
  <c r="M54" i="7"/>
  <c r="P54" i="7"/>
  <c r="S32" i="7"/>
  <c r="S77" i="7" s="1"/>
  <c r="O48" i="7"/>
  <c r="G49" i="7"/>
  <c r="H49" i="7"/>
  <c r="R53" i="7"/>
  <c r="S23" i="7"/>
  <c r="S68" i="7" s="1"/>
  <c r="F68" i="7"/>
  <c r="L48" i="7"/>
  <c r="J88" i="7"/>
  <c r="S36" i="7"/>
  <c r="S81" i="7" s="1"/>
  <c r="Q78" i="7"/>
  <c r="O49" i="7"/>
  <c r="I49" i="7"/>
  <c r="R86" i="7"/>
  <c r="S31" i="7"/>
  <c r="S76" i="7" s="1"/>
  <c r="N62" i="7"/>
  <c r="I62" i="7"/>
  <c r="F75" i="7"/>
  <c r="K75" i="7"/>
  <c r="Q67" i="7"/>
  <c r="N68" i="7"/>
  <c r="N76" i="7"/>
  <c r="P48" i="7"/>
  <c r="R88" i="7"/>
  <c r="S8" i="7"/>
  <c r="S53" i="7" s="1"/>
  <c r="N51" i="7"/>
  <c r="J49" i="7"/>
  <c r="S41" i="7"/>
  <c r="S86" i="7" s="1"/>
  <c r="P72" i="7"/>
  <c r="O72" i="7"/>
  <c r="I68" i="7"/>
  <c r="L68" i="7"/>
  <c r="P76" i="7"/>
  <c r="K67" i="7"/>
  <c r="S43" i="7"/>
  <c r="S88" i="7" s="1"/>
  <c r="L72" i="7"/>
  <c r="R49" i="7"/>
  <c r="L49" i="7"/>
  <c r="P57" i="7"/>
  <c r="O67" i="7"/>
  <c r="J62" i="7"/>
  <c r="I75" i="7"/>
  <c r="L67" i="7"/>
  <c r="G68" i="7"/>
  <c r="Q68" i="7"/>
  <c r="P67" i="7"/>
  <c r="N67" i="7"/>
  <c r="K88" i="7"/>
  <c r="M88" i="7"/>
  <c r="F54" i="7"/>
  <c r="L54" i="7"/>
  <c r="R54" i="7"/>
  <c r="R67" i="7"/>
  <c r="Q49" i="7"/>
  <c r="P49" i="7"/>
  <c r="M67" i="7"/>
  <c r="P81" i="7"/>
  <c r="K86" i="7"/>
  <c r="H86" i="7"/>
  <c r="R57" i="7"/>
  <c r="X68" i="7"/>
  <c r="AG68" i="7"/>
  <c r="AI54" i="7"/>
  <c r="AC75" i="7"/>
  <c r="AG75" i="7"/>
  <c r="AC63" i="7"/>
  <c r="AC51" i="7"/>
  <c r="AE51" i="7"/>
  <c r="AJ32" i="7"/>
  <c r="AJ77" i="7" s="1"/>
  <c r="Y68" i="7"/>
  <c r="AH56" i="7"/>
  <c r="AF56" i="7"/>
  <c r="AG56" i="7"/>
  <c r="AH57" i="7"/>
  <c r="AI57" i="7"/>
  <c r="AB89" i="7"/>
  <c r="Z68" i="7"/>
  <c r="AJ23" i="7"/>
  <c r="AJ68" i="7" s="1"/>
  <c r="AB78" i="7"/>
  <c r="AG78" i="7"/>
  <c r="AH63" i="7"/>
  <c r="AA89" i="7"/>
  <c r="AF63" i="7"/>
  <c r="AF85" i="7"/>
  <c r="AJ8" i="7"/>
  <c r="AJ53" i="7" s="1"/>
  <c r="AA75" i="7"/>
  <c r="AC67" i="7"/>
  <c r="AE67" i="7"/>
  <c r="AB67" i="7"/>
  <c r="AJ22" i="7"/>
  <c r="AJ67" i="7" s="1"/>
  <c r="AD67" i="7"/>
  <c r="AI67" i="7"/>
  <c r="AA67" i="7"/>
  <c r="AG67" i="7"/>
  <c r="AF67" i="7"/>
  <c r="AH67" i="7"/>
  <c r="AF57" i="7"/>
  <c r="AH77" i="7"/>
  <c r="AB68" i="7"/>
  <c r="AC68" i="7"/>
  <c r="Z78" i="7"/>
  <c r="AG89" i="7"/>
  <c r="AD63" i="7"/>
  <c r="AH85" i="7"/>
  <c r="AJ40" i="7"/>
  <c r="AJ85" i="7" s="1"/>
  <c r="AD75" i="7"/>
  <c r="AB75" i="7"/>
  <c r="AI75" i="7"/>
  <c r="AD51" i="7"/>
  <c r="AG51" i="7"/>
  <c r="Y56" i="7"/>
  <c r="AE57" i="7"/>
  <c r="X56" i="7"/>
  <c r="AC56" i="7"/>
  <c r="AG57" i="7"/>
  <c r="AB57" i="7"/>
  <c r="AF53" i="7"/>
  <c r="AI53" i="7"/>
  <c r="AI72" i="7"/>
  <c r="W72" i="7"/>
  <c r="AA63" i="7"/>
  <c r="AF89" i="7"/>
  <c r="AA68" i="7"/>
  <c r="AH78" i="7"/>
  <c r="AI76" i="7"/>
  <c r="AA54" i="7"/>
  <c r="AC86" i="7"/>
  <c r="AJ30" i="7"/>
  <c r="AJ75" i="7" s="1"/>
  <c r="AF51" i="7"/>
  <c r="AA51" i="7"/>
  <c r="AJ31" i="7"/>
  <c r="AJ76" i="7" s="1"/>
  <c r="AA57" i="7"/>
  <c r="AB63" i="7"/>
  <c r="Z56" i="7"/>
  <c r="AI63" i="7"/>
  <c r="AG53" i="7"/>
  <c r="AE77" i="7"/>
  <c r="AF68" i="7"/>
  <c r="AD68" i="7"/>
  <c r="AI89" i="7"/>
  <c r="W78" i="7"/>
  <c r="AA78" i="7"/>
  <c r="AF54" i="7"/>
  <c r="AE75" i="7"/>
  <c r="AI51" i="7"/>
  <c r="AJ12" i="7"/>
  <c r="AD89" i="7"/>
  <c r="AI56" i="7"/>
  <c r="AD56" i="7"/>
  <c r="AE76" i="7"/>
  <c r="AD53" i="7"/>
  <c r="AB53" i="7"/>
  <c r="AH68" i="7"/>
  <c r="W68" i="7"/>
  <c r="AH89" i="7"/>
  <c r="AD78" i="7"/>
  <c r="AI78" i="7"/>
  <c r="AJ4" i="7"/>
  <c r="AJ49" i="7" s="1"/>
  <c r="AD86" i="7"/>
  <c r="X86" i="7"/>
  <c r="AH75" i="7"/>
  <c r="AH54" i="7"/>
  <c r="AJ6" i="7"/>
  <c r="AJ51" i="7" s="1"/>
  <c r="AJ33" i="7"/>
  <c r="AJ78" i="7" s="1"/>
  <c r="AD57" i="7"/>
  <c r="W56" i="7"/>
  <c r="AH53" i="7"/>
  <c r="AI68" i="7"/>
  <c r="AC89" i="7"/>
  <c r="AE89" i="7"/>
  <c r="AJ35" i="6"/>
  <c r="AJ72" i="6" s="1"/>
  <c r="AJ11" i="6"/>
  <c r="AJ48" i="6" s="1"/>
  <c r="AJ22" i="6"/>
  <c r="AJ59" i="6" s="1"/>
  <c r="AJ34" i="6"/>
  <c r="AJ71" i="6" s="1"/>
  <c r="AJ33" i="6"/>
  <c r="AJ70" i="6" s="1"/>
  <c r="AJ32" i="6"/>
  <c r="AJ69" i="6" s="1"/>
  <c r="AJ24" i="6"/>
  <c r="AJ61" i="6" s="1"/>
  <c r="AJ6" i="6"/>
  <c r="AJ43" i="6" s="1"/>
  <c r="S35" i="6"/>
  <c r="S72" i="6" s="1"/>
  <c r="S13" i="6"/>
  <c r="S50" i="6" s="1"/>
  <c r="S22" i="6"/>
  <c r="S59" i="6" s="1"/>
  <c r="S31" i="6"/>
  <c r="S68" i="6" s="1"/>
  <c r="S18" i="6"/>
  <c r="S55" i="6" s="1"/>
  <c r="S32" i="6"/>
  <c r="S69" i="6" s="1"/>
  <c r="S4" i="6"/>
  <c r="S41" i="6" s="1"/>
  <c r="S5" i="6"/>
  <c r="S42" i="6" s="1"/>
  <c r="S6" i="6"/>
  <c r="S43" i="6" s="1"/>
  <c r="AJ34" i="5"/>
  <c r="AJ70" i="5" s="1"/>
  <c r="AJ4" i="5"/>
  <c r="AJ40" i="5" s="1"/>
  <c r="AJ12" i="5"/>
  <c r="AJ48" i="5" s="1"/>
  <c r="AJ10" i="5"/>
  <c r="AJ46" i="5" s="1"/>
  <c r="S11" i="5"/>
  <c r="S47" i="5" s="1"/>
  <c r="S29" i="5"/>
  <c r="S65" i="5" s="1"/>
  <c r="S10" i="5"/>
  <c r="S46" i="5" s="1"/>
  <c r="S34" i="5"/>
  <c r="S70" i="5" s="1"/>
  <c r="E100" i="2"/>
  <c r="J100" i="2" s="1"/>
  <c r="S513" i="1"/>
  <c r="S482" i="1"/>
  <c r="S49" i="1"/>
  <c r="S65" i="1"/>
  <c r="T319" i="1"/>
  <c r="S2" i="1"/>
  <c r="S51" i="1"/>
  <c r="S41" i="1"/>
  <c r="S263" i="1"/>
  <c r="S506" i="1"/>
  <c r="T280" i="1"/>
  <c r="S287" i="1"/>
  <c r="S477" i="1"/>
  <c r="S458" i="1"/>
  <c r="S308" i="1"/>
  <c r="S490" i="1"/>
  <c r="S94" i="1"/>
  <c r="S32" i="1"/>
  <c r="S478" i="1"/>
  <c r="S270" i="1"/>
  <c r="S500" i="1"/>
  <c r="S262" i="1"/>
  <c r="S31" i="1"/>
  <c r="S485" i="1"/>
  <c r="T66" i="1"/>
  <c r="T285" i="1"/>
  <c r="T254" i="1"/>
  <c r="T14" i="1"/>
  <c r="T11" i="1"/>
  <c r="T484" i="1"/>
  <c r="T326" i="1"/>
  <c r="T303" i="1"/>
  <c r="S39" i="1"/>
  <c r="S10" i="1"/>
  <c r="S96" i="1"/>
  <c r="T274" i="1"/>
  <c r="T33" i="1"/>
  <c r="T480" i="1"/>
  <c r="T512" i="1"/>
  <c r="S62" i="1"/>
  <c r="S66" i="1"/>
  <c r="S4" i="1"/>
  <c r="S539" i="1"/>
  <c r="S86" i="1"/>
  <c r="S508" i="1"/>
  <c r="S289" i="1"/>
  <c r="S316" i="1"/>
  <c r="S288" i="1"/>
  <c r="S465" i="1"/>
  <c r="S223" i="1"/>
  <c r="T259" i="1"/>
  <c r="T261" i="1"/>
  <c r="S544" i="1"/>
  <c r="S59" i="1"/>
  <c r="S26" i="1"/>
  <c r="S498" i="1"/>
  <c r="S25" i="1"/>
  <c r="S516" i="1"/>
  <c r="T456" i="1"/>
  <c r="T497" i="1"/>
  <c r="T324" i="1"/>
  <c r="T258" i="1"/>
  <c r="T520" i="1"/>
  <c r="T294" i="1"/>
  <c r="T475" i="1"/>
  <c r="T23" i="1"/>
  <c r="T26" i="1"/>
  <c r="A385" i="2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T92" i="1"/>
  <c r="T18" i="1"/>
  <c r="T9" i="1"/>
  <c r="S521" i="1"/>
  <c r="T283" i="1"/>
  <c r="T322" i="1"/>
  <c r="T8" i="1"/>
  <c r="T519" i="1"/>
  <c r="T471" i="1"/>
  <c r="T545" i="1"/>
  <c r="T68" i="1"/>
  <c r="T13" i="1"/>
  <c r="T542" i="1"/>
  <c r="T536" i="1"/>
  <c r="T271" i="1"/>
  <c r="T306" i="1"/>
  <c r="T79" i="1"/>
  <c r="T463" i="1"/>
  <c r="T525" i="1"/>
  <c r="S78" i="1"/>
  <c r="S80" i="1"/>
  <c r="S483" i="1"/>
  <c r="S526" i="1"/>
  <c r="S293" i="1"/>
  <c r="S93" i="1"/>
  <c r="S76" i="1"/>
  <c r="S267" i="1"/>
  <c r="S35" i="1"/>
  <c r="S264" i="1"/>
  <c r="S12" i="1"/>
  <c r="S33" i="1"/>
  <c r="S18" i="1"/>
  <c r="S304" i="1"/>
  <c r="S224" i="1"/>
  <c r="S22" i="1"/>
  <c r="S14" i="1"/>
  <c r="S275" i="1"/>
  <c r="S6" i="1"/>
  <c r="S484" i="1"/>
  <c r="S320" i="1"/>
  <c r="S3" i="1"/>
  <c r="S88" i="1"/>
  <c r="S456" i="1"/>
  <c r="S325" i="1"/>
  <c r="T16" i="1"/>
  <c r="T488" i="1"/>
  <c r="T224" i="1"/>
  <c r="T95" i="1"/>
  <c r="T474" i="1"/>
  <c r="T528" i="1"/>
  <c r="T75" i="1"/>
  <c r="T87" i="1"/>
  <c r="T476" i="1"/>
  <c r="T321" i="1"/>
  <c r="S42" i="1"/>
  <c r="T94" i="1"/>
  <c r="T266" i="1"/>
  <c r="T287" i="1"/>
  <c r="T521" i="1"/>
  <c r="T301" i="1"/>
  <c r="T253" i="1"/>
  <c r="T461" i="1"/>
  <c r="T85" i="1"/>
  <c r="T540" i="1"/>
  <c r="S15" i="1"/>
  <c r="S252" i="1"/>
  <c r="S269" i="1"/>
  <c r="S537" i="1"/>
  <c r="S514" i="1"/>
  <c r="S282" i="1"/>
  <c r="S529" i="1"/>
  <c r="S518" i="1"/>
  <c r="S273" i="1"/>
  <c r="S310" i="1"/>
  <c r="S72" i="1"/>
  <c r="S473" i="1"/>
  <c r="S52" i="1"/>
  <c r="S488" i="1"/>
  <c r="S326" i="1"/>
  <c r="S36" i="1"/>
  <c r="S493" i="1"/>
  <c r="S487" i="1"/>
  <c r="S495" i="1"/>
  <c r="T252" i="1"/>
  <c r="S505" i="1"/>
  <c r="S302" i="1"/>
  <c r="S328" i="1"/>
  <c r="S503" i="1"/>
  <c r="S480" i="1"/>
  <c r="S519" i="1"/>
  <c r="S471" i="1"/>
  <c r="S545" i="1"/>
  <c r="S512" i="1"/>
  <c r="T256" i="1"/>
  <c r="T19" i="1"/>
  <c r="T222" i="1"/>
  <c r="T517" i="1"/>
  <c r="T524" i="1"/>
  <c r="T305" i="1"/>
  <c r="T32" i="1"/>
  <c r="S286" i="1"/>
  <c r="T291" i="1"/>
  <c r="T223" i="1"/>
  <c r="T30" i="1"/>
  <c r="S255" i="1"/>
  <c r="T282" i="1"/>
  <c r="T88" i="1"/>
  <c r="T548" i="1"/>
  <c r="T460" i="1"/>
  <c r="T10" i="1"/>
  <c r="T543" i="1"/>
  <c r="T468" i="1"/>
  <c r="T490" i="1"/>
  <c r="T550" i="1"/>
  <c r="T42" i="1"/>
  <c r="S510" i="1"/>
  <c r="S45" i="1"/>
  <c r="S546" i="1"/>
  <c r="S259" i="1"/>
  <c r="S268" i="1"/>
  <c r="S549" i="1"/>
  <c r="S454" i="1"/>
  <c r="S523" i="1"/>
  <c r="S538" i="1"/>
  <c r="S515" i="1"/>
  <c r="S542" i="1"/>
  <c r="T298" i="1"/>
  <c r="S82" i="1"/>
  <c r="S19" i="1"/>
  <c r="S530" i="1"/>
  <c r="S222" i="1"/>
  <c r="S91" i="1"/>
  <c r="T269" i="1"/>
  <c r="S23" i="1"/>
  <c r="S532" i="1"/>
  <c r="S323" i="1"/>
  <c r="S60" i="1"/>
  <c r="S467" i="1"/>
  <c r="T510" i="1"/>
  <c r="S87" i="1"/>
  <c r="S476" i="1"/>
  <c r="S321" i="1"/>
  <c r="S520" i="1"/>
  <c r="T309" i="1"/>
  <c r="T22" i="1"/>
  <c r="T78" i="1"/>
  <c r="T83" i="1"/>
  <c r="T65" i="1"/>
  <c r="S77" i="1"/>
  <c r="T24" i="1"/>
  <c r="T308" i="1"/>
  <c r="T96" i="1"/>
  <c r="S298" i="1"/>
  <c r="T284" i="1"/>
  <c r="T473" i="1"/>
  <c r="T467" i="1"/>
  <c r="S318" i="1"/>
  <c r="T508" i="1"/>
  <c r="T86" i="1"/>
  <c r="T539" i="1"/>
  <c r="T292" i="1"/>
  <c r="T260" i="1"/>
  <c r="T549" i="1"/>
  <c r="T489" i="1"/>
  <c r="S507" i="1"/>
  <c r="S261" i="1"/>
  <c r="S547" i="1"/>
  <c r="S61" i="1"/>
  <c r="S266" i="1"/>
  <c r="S73" i="1"/>
  <c r="S509" i="1"/>
  <c r="S491" i="1"/>
  <c r="S327" i="1"/>
  <c r="S5" i="1"/>
  <c r="S37" i="1"/>
  <c r="T483" i="1"/>
  <c r="S7" i="1"/>
  <c r="S472" i="1"/>
  <c r="S541" i="1"/>
  <c r="S469" i="1"/>
  <c r="S548" i="1"/>
  <c r="T537" i="1"/>
  <c r="S283" i="1"/>
  <c r="S322" i="1"/>
  <c r="S8" i="1"/>
  <c r="S58" i="1"/>
  <c r="S457" i="1"/>
  <c r="T45" i="1"/>
  <c r="S291" i="1"/>
  <c r="T499" i="1"/>
  <c r="T304" i="1"/>
  <c r="T15" i="1"/>
  <c r="T295" i="1"/>
  <c r="T544" i="1"/>
  <c r="S79" i="1"/>
  <c r="T496" i="1"/>
  <c r="T533" i="1"/>
  <c r="T465" i="1"/>
  <c r="T552" i="1"/>
  <c r="T268" i="1"/>
  <c r="T316" i="1"/>
  <c r="T31" i="1"/>
  <c r="S28" i="1"/>
  <c r="T506" i="1"/>
  <c r="T263" i="1"/>
  <c r="T41" i="1"/>
  <c r="T281" i="1"/>
  <c r="T315" i="1"/>
  <c r="T265" i="1"/>
  <c r="T462" i="1"/>
  <c r="S280" i="1"/>
  <c r="S300" i="1"/>
  <c r="S466" i="1"/>
  <c r="S53" i="1"/>
  <c r="S314" i="1"/>
  <c r="S55" i="1"/>
  <c r="S290" i="1"/>
  <c r="S303" i="1"/>
  <c r="S16" i="1"/>
  <c r="S459" i="1"/>
  <c r="S46" i="1"/>
  <c r="T526" i="1"/>
  <c r="S67" i="1"/>
  <c r="S43" i="1"/>
  <c r="S279" i="1"/>
  <c r="S44" i="1"/>
  <c r="S74" i="1"/>
  <c r="S474" i="1"/>
  <c r="S528" i="1"/>
  <c r="S75" i="1"/>
  <c r="S504" i="1"/>
  <c r="S502" i="1"/>
  <c r="T546" i="1"/>
  <c r="T89" i="1"/>
  <c r="S71" i="1"/>
  <c r="S56" i="1"/>
  <c r="S305" i="1"/>
  <c r="T297" i="1"/>
  <c r="S517" i="1"/>
  <c r="T6" i="1"/>
  <c r="T493" i="1"/>
  <c r="S525" i="1"/>
  <c r="S292" i="1"/>
  <c r="T272" i="1"/>
  <c r="S278" i="1"/>
  <c r="S38" i="1"/>
  <c r="S306" i="1"/>
  <c r="S271" i="1"/>
  <c r="T507" i="1"/>
  <c r="S307" i="1"/>
  <c r="S535" i="1"/>
  <c r="S496" i="1"/>
  <c r="S494" i="1"/>
  <c r="S295" i="1"/>
  <c r="S20" i="1"/>
  <c r="S481" i="1"/>
  <c r="S90" i="1"/>
  <c r="S531" i="1"/>
  <c r="T255" i="1"/>
  <c r="S21" i="1"/>
  <c r="S89" i="1"/>
  <c r="S95" i="1"/>
  <c r="T313" i="1"/>
  <c r="T84" i="1"/>
  <c r="T91" i="1"/>
  <c r="T535" i="1"/>
  <c r="T551" i="1"/>
  <c r="T328" i="1"/>
  <c r="S536" i="1"/>
  <c r="S497" i="1"/>
  <c r="S543" i="1"/>
  <c r="S13" i="1"/>
  <c r="S9" i="1"/>
  <c r="S256" i="1"/>
  <c r="S274" i="1"/>
  <c r="T329" i="1"/>
  <c r="T40" i="1"/>
  <c r="T82" i="1"/>
  <c r="T299" i="1"/>
  <c r="S551" i="1"/>
  <c r="S68" i="1"/>
  <c r="S284" i="1"/>
  <c r="T482" i="1"/>
  <c r="S522" i="1"/>
  <c r="T458" i="1"/>
  <c r="T323" i="1"/>
  <c r="S315" i="1"/>
  <c r="S468" i="1"/>
  <c r="S57" i="1"/>
  <c r="S285" i="1"/>
  <c r="S312" i="1"/>
  <c r="S453" i="1"/>
  <c r="S455" i="1"/>
  <c r="S527" i="1"/>
  <c r="S24" i="1"/>
  <c r="S277" i="1"/>
  <c r="S83" i="1"/>
  <c r="T547" i="1"/>
  <c r="S534" i="1"/>
  <c r="S317" i="1"/>
  <c r="S92" i="1"/>
  <c r="S492" i="1"/>
  <c r="S297" i="1"/>
  <c r="T90" i="1"/>
  <c r="T311" i="1"/>
  <c r="T487" i="1"/>
  <c r="T527" i="1"/>
  <c r="T320" i="1"/>
  <c r="S258" i="1"/>
  <c r="S460" i="1"/>
  <c r="S11" i="1"/>
  <c r="T77" i="1"/>
  <c r="T505" i="1"/>
  <c r="T293" i="1"/>
  <c r="S540" i="1"/>
  <c r="S301" i="1"/>
  <c r="S30" i="1"/>
  <c r="S257" i="1"/>
  <c r="S462" i="1"/>
  <c r="T312" i="1"/>
  <c r="T314" i="1"/>
  <c r="T80" i="1"/>
  <c r="E47" i="2"/>
  <c r="J47" i="2" s="1"/>
  <c r="S85" i="1"/>
  <c r="S461" i="1"/>
  <c r="S501" i="1"/>
  <c r="S324" i="1"/>
  <c r="S84" i="1"/>
  <c r="S27" i="1"/>
  <c r="T466" i="1"/>
  <c r="S50" i="1"/>
  <c r="S294" i="1"/>
  <c r="S464" i="1"/>
  <c r="S69" i="1"/>
  <c r="S524" i="1"/>
  <c r="S550" i="1"/>
  <c r="S309" i="1"/>
  <c r="S276" i="1"/>
  <c r="S29" i="1"/>
  <c r="S48" i="1"/>
  <c r="S489" i="1"/>
  <c r="T529" i="1"/>
  <c r="T453" i="1"/>
  <c r="T12" i="1"/>
  <c r="T464" i="1"/>
  <c r="T532" i="1"/>
  <c r="T17" i="1"/>
  <c r="T516" i="1"/>
  <c r="S511" i="1"/>
  <c r="T485" i="1"/>
  <c r="S81" i="1"/>
  <c r="S281" i="1"/>
  <c r="S253" i="1"/>
  <c r="S313" i="1"/>
  <c r="S475" i="1"/>
  <c r="S17" i="1"/>
  <c r="T286" i="1"/>
  <c r="T518" i="1"/>
  <c r="T278" i="1"/>
  <c r="S463" i="1"/>
  <c r="S499" i="1"/>
  <c r="S64" i="1"/>
  <c r="S329" i="1"/>
  <c r="S311" i="1"/>
  <c r="S254" i="1"/>
  <c r="T300" i="1"/>
  <c r="S70" i="1"/>
  <c r="S40" i="1"/>
  <c r="S533" i="1"/>
  <c r="S265" i="1"/>
  <c r="S296" i="1"/>
  <c r="S486" i="1"/>
  <c r="S299" i="1"/>
  <c r="S260" i="1"/>
  <c r="S47" i="1"/>
  <c r="S479" i="1"/>
  <c r="S54" i="1"/>
  <c r="S470" i="1"/>
  <c r="S63" i="1"/>
  <c r="S34" i="1"/>
  <c r="S272" i="1"/>
  <c r="T2" i="1"/>
  <c r="T27" i="1"/>
  <c r="T296" i="1"/>
  <c r="T325" i="1"/>
  <c r="T302" i="1"/>
  <c r="T530" i="1"/>
  <c r="J291" i="2"/>
  <c r="E304" i="2"/>
  <c r="J304" i="2" s="1"/>
  <c r="T455" i="1" s="1"/>
  <c r="T477" i="1"/>
  <c r="T29" i="1"/>
  <c r="E149" i="2"/>
  <c r="J149" i="2" s="1"/>
  <c r="T25" i="1"/>
  <c r="T290" i="1"/>
  <c r="T257" i="1"/>
  <c r="T318" i="1"/>
  <c r="T492" i="1"/>
  <c r="T74" i="1"/>
  <c r="E253" i="2"/>
  <c r="J253" i="2" s="1"/>
  <c r="J240" i="2"/>
  <c r="E259" i="2"/>
  <c r="J259" i="2" s="1"/>
  <c r="J246" i="2"/>
  <c r="T20" i="1"/>
  <c r="T69" i="1"/>
  <c r="T534" i="1"/>
  <c r="T270" i="1"/>
  <c r="T93" i="1"/>
  <c r="T5" i="1"/>
  <c r="T327" i="1"/>
  <c r="T491" i="1"/>
  <c r="T509" i="1"/>
  <c r="T513" i="1"/>
  <c r="T538" i="1"/>
  <c r="T523" i="1"/>
  <c r="T454" i="1"/>
  <c r="J88" i="2"/>
  <c r="E101" i="2"/>
  <c r="J101" i="2" s="1"/>
  <c r="T277" i="1"/>
  <c r="T481" i="1"/>
  <c r="T479" i="1"/>
  <c r="T511" i="1"/>
  <c r="S319" i="1"/>
  <c r="T72" i="1"/>
  <c r="T310" i="1"/>
  <c r="T273" i="1"/>
  <c r="T81" i="1"/>
  <c r="J248" i="2"/>
  <c r="E261" i="2"/>
  <c r="J261" i="2" s="1"/>
  <c r="E312" i="2"/>
  <c r="J312" i="2" s="1"/>
  <c r="T36" i="1" s="1"/>
  <c r="J299" i="2"/>
  <c r="T44" i="1"/>
  <c r="T279" i="1"/>
  <c r="T43" i="1"/>
  <c r="T67" i="1"/>
  <c r="S552" i="1"/>
  <c r="T267" i="1"/>
  <c r="T76" i="1"/>
  <c r="T522" i="1"/>
  <c r="J296" i="2"/>
  <c r="T264" i="1" s="1"/>
  <c r="E309" i="2"/>
  <c r="J309" i="2" s="1"/>
  <c r="T541" i="1"/>
  <c r="T472" i="1"/>
  <c r="T7" i="1"/>
  <c r="T276" i="1"/>
  <c r="T498" i="1"/>
  <c r="T531" i="1"/>
  <c r="T470" i="1"/>
  <c r="T28" i="1"/>
  <c r="E204" i="2"/>
  <c r="J204" i="2" s="1"/>
  <c r="J191" i="2"/>
  <c r="J85" i="2"/>
  <c r="E98" i="2"/>
  <c r="J98" i="2" s="1"/>
  <c r="J293" i="2"/>
  <c r="T494" i="1" s="1"/>
  <c r="E306" i="2"/>
  <c r="J306" i="2" s="1"/>
  <c r="T515" i="1" s="1"/>
  <c r="E305" i="2"/>
  <c r="J305" i="2" s="1"/>
  <c r="T3" i="1" s="1"/>
  <c r="J292" i="2"/>
  <c r="J247" i="2"/>
  <c r="E260" i="2"/>
  <c r="J260" i="2" s="1"/>
  <c r="J196" i="2"/>
  <c r="E209" i="2"/>
  <c r="J209" i="2" s="1"/>
  <c r="J37" i="2"/>
  <c r="E50" i="2"/>
  <c r="J50" i="2" s="1"/>
  <c r="E152" i="2"/>
  <c r="J152" i="2" s="1"/>
  <c r="J139" i="2"/>
  <c r="E254" i="2"/>
  <c r="J254" i="2" s="1"/>
  <c r="J241" i="2"/>
  <c r="J86" i="2"/>
  <c r="E99" i="2"/>
  <c r="J99" i="2" s="1"/>
  <c r="E146" i="2"/>
  <c r="J146" i="2" s="1"/>
  <c r="J133" i="2"/>
  <c r="E52" i="2"/>
  <c r="J52" i="2" s="1"/>
  <c r="J39" i="2"/>
  <c r="J140" i="2"/>
  <c r="E153" i="2"/>
  <c r="J153" i="2" s="1"/>
  <c r="E96" i="2"/>
  <c r="J96" i="2" s="1"/>
  <c r="J83" i="2"/>
  <c r="J239" i="2"/>
  <c r="E252" i="2"/>
  <c r="J252" i="2" s="1"/>
  <c r="E202" i="2"/>
  <c r="J202" i="2" s="1"/>
  <c r="J189" i="2"/>
  <c r="E105" i="2"/>
  <c r="J105" i="2" s="1"/>
  <c r="J92" i="2"/>
  <c r="J29" i="2"/>
  <c r="E42" i="2"/>
  <c r="J42" i="2" s="1"/>
  <c r="E97" i="2"/>
  <c r="J97" i="2" s="1"/>
  <c r="J84" i="2"/>
  <c r="J300" i="2"/>
  <c r="E313" i="2"/>
  <c r="J313" i="2" s="1"/>
  <c r="T35" i="1" s="1"/>
  <c r="E41" i="2"/>
  <c r="J41" i="2" s="1"/>
  <c r="J28" i="2"/>
  <c r="J134" i="2"/>
  <c r="E147" i="2"/>
  <c r="J147" i="2" s="1"/>
  <c r="E154" i="2"/>
  <c r="J154" i="2" s="1"/>
  <c r="J141" i="2"/>
  <c r="J301" i="2"/>
  <c r="E314" i="2"/>
  <c r="J314" i="2" s="1"/>
  <c r="J290" i="2"/>
  <c r="E303" i="2"/>
  <c r="J303" i="2" s="1"/>
  <c r="J242" i="2"/>
  <c r="E255" i="2"/>
  <c r="J255" i="2" s="1"/>
  <c r="J298" i="2"/>
  <c r="E311" i="2"/>
  <c r="J311" i="2" s="1"/>
  <c r="T486" i="1" s="1"/>
  <c r="E262" i="2"/>
  <c r="J262" i="2" s="1"/>
  <c r="J249" i="2"/>
  <c r="J142" i="2"/>
  <c r="E155" i="2"/>
  <c r="J155" i="2" s="1"/>
  <c r="J38" i="2"/>
  <c r="E51" i="2"/>
  <c r="J51" i="2" s="1"/>
  <c r="E104" i="2"/>
  <c r="J104" i="2" s="1"/>
  <c r="J91" i="2"/>
  <c r="E208" i="2"/>
  <c r="J208" i="2" s="1"/>
  <c r="J195" i="2"/>
  <c r="E49" i="2"/>
  <c r="J49" i="2" s="1"/>
  <c r="J36" i="2"/>
  <c r="J31" i="2"/>
  <c r="E44" i="2"/>
  <c r="J44" i="2" s="1"/>
  <c r="F29" i="8" a="1"/>
  <c r="F39" i="9" a="1"/>
  <c r="F29" i="10" a="1"/>
  <c r="H28" i="9" a="1"/>
  <c r="H47" i="10" a="1"/>
  <c r="H38" i="9" a="1"/>
  <c r="H23" i="9" a="1"/>
  <c r="H34" i="10" a="1"/>
  <c r="F40" i="10" a="1"/>
  <c r="F35" i="8" a="1"/>
  <c r="H20" i="10" a="1"/>
  <c r="F44" i="10" a="1"/>
  <c r="H8" i="10" a="1"/>
  <c r="H13" i="10" a="1"/>
  <c r="F22" i="9" a="1"/>
  <c r="H15" i="8" a="1"/>
  <c r="H36" i="10" a="1"/>
  <c r="F8" i="9" a="1"/>
  <c r="H36" i="9" a="1"/>
  <c r="F26" i="10" a="1"/>
  <c r="F28" i="8" a="1"/>
  <c r="H10" i="10" a="1"/>
  <c r="F34" i="10" a="1"/>
  <c r="H40" i="10" a="1"/>
  <c r="F28" i="9" a="1"/>
  <c r="F37" i="8" a="1"/>
  <c r="H35" i="9" a="1"/>
  <c r="H25" i="8" a="1"/>
  <c r="F10" i="9" a="1"/>
  <c r="F25" i="10" a="1"/>
  <c r="H37" i="8" a="1"/>
  <c r="F31" i="10" a="1"/>
  <c r="F35" i="10" a="1"/>
  <c r="H39" i="9" a="1"/>
  <c r="H8" i="8" a="1"/>
  <c r="H14" i="8" a="1"/>
  <c r="H14" i="9" a="1"/>
  <c r="F15" i="8" a="1"/>
  <c r="F37" i="10" a="1"/>
  <c r="F48" i="10" a="1"/>
  <c r="F27" i="10" a="1"/>
  <c r="F35" i="9" a="1"/>
  <c r="F15" i="10" a="1"/>
  <c r="H35" i="10" a="1"/>
  <c r="F7" i="10" a="1"/>
  <c r="H28" i="8" a="1"/>
  <c r="H17" i="9" a="1"/>
  <c r="F16" i="8" a="1"/>
  <c r="H33" i="8" a="1"/>
  <c r="H13" i="8" a="1"/>
  <c r="H16" i="10" a="1"/>
  <c r="H35" i="8" a="1"/>
  <c r="F14" i="9" a="1"/>
  <c r="H27" i="10" a="1"/>
  <c r="F9" i="9" a="1"/>
  <c r="H16" i="8" a="1"/>
  <c r="H29" i="8" a="1"/>
  <c r="F11" i="9" a="1"/>
  <c r="H8" i="9" a="1"/>
  <c r="F38" i="8" a="1"/>
  <c r="H11" i="9" a="1"/>
  <c r="H48" i="10" a="1"/>
  <c r="F14" i="8" a="1"/>
  <c r="F12" i="10" a="1"/>
  <c r="F33" i="8" a="1"/>
  <c r="F8" i="8" a="1"/>
  <c r="H9" i="9" a="1"/>
  <c r="F10" i="10" a="1"/>
  <c r="F13" i="10" a="1"/>
  <c r="H15" i="9" a="1"/>
  <c r="H19" i="8" a="1"/>
  <c r="F45" i="10" a="1"/>
  <c r="F37" i="9" a="1"/>
  <c r="F22" i="10" a="1"/>
  <c r="H10" i="9" a="1"/>
  <c r="F13" i="8" a="1"/>
  <c r="H37" i="9" a="1"/>
  <c r="H29" i="10" a="1"/>
  <c r="H38" i="8" a="1"/>
  <c r="F17" i="9" a="1"/>
  <c r="H45" i="10" a="1"/>
  <c r="F36" i="10" a="1"/>
  <c r="F15" i="9" a="1"/>
  <c r="H21" i="10" a="1"/>
  <c r="F47" i="10" a="1"/>
  <c r="F38" i="9" a="1"/>
  <c r="F26" i="9" a="1"/>
  <c r="H26" i="10" a="1"/>
  <c r="H15" i="10" a="1"/>
  <c r="F8" i="10" a="1"/>
  <c r="H22" i="9" a="1"/>
  <c r="F16" i="10" a="1"/>
  <c r="H31" i="10" a="1"/>
  <c r="F23" i="9" a="1"/>
  <c r="H12" i="10" a="1"/>
  <c r="H22" i="10" a="1"/>
  <c r="H44" i="10" a="1"/>
  <c r="F20" i="10" a="1"/>
  <c r="H26" i="9" a="1"/>
  <c r="F19" i="8" a="1"/>
  <c r="H7" i="10" a="1"/>
  <c r="F36" i="9" a="1"/>
  <c r="H25" i="10" a="1"/>
  <c r="H37" i="10" a="1"/>
  <c r="F25" i="8" a="1"/>
  <c r="F21" i="10" a="1"/>
  <c r="F9" i="9" l="1"/>
  <c r="F35" i="9"/>
  <c r="F37" i="9"/>
  <c r="F39" i="9"/>
  <c r="H9" i="9"/>
  <c r="H37" i="9"/>
  <c r="H10" i="9"/>
  <c r="F22" i="9"/>
  <c r="H28" i="9"/>
  <c r="F23" i="9"/>
  <c r="F17" i="9"/>
  <c r="H23" i="9"/>
  <c r="F15" i="9"/>
  <c r="H39" i="9"/>
  <c r="F8" i="9"/>
  <c r="H8" i="9"/>
  <c r="F36" i="9"/>
  <c r="F11" i="9"/>
  <c r="H17" i="9"/>
  <c r="H38" i="9"/>
  <c r="F10" i="9"/>
  <c r="H35" i="9"/>
  <c r="F38" i="9"/>
  <c r="H15" i="9"/>
  <c r="H14" i="9"/>
  <c r="H22" i="9"/>
  <c r="H11" i="9"/>
  <c r="H26" i="9"/>
  <c r="F28" i="9"/>
  <c r="F26" i="9"/>
  <c r="H36" i="9"/>
  <c r="F14" i="9"/>
  <c r="H20" i="10"/>
  <c r="H7" i="10"/>
  <c r="S48" i="7"/>
  <c r="F22" i="10"/>
  <c r="F44" i="10"/>
  <c r="H29" i="10"/>
  <c r="F45" i="10"/>
  <c r="F10" i="10"/>
  <c r="F20" i="10"/>
  <c r="H21" i="10"/>
  <c r="T26" i="7"/>
  <c r="C26" i="7"/>
  <c r="U26" i="7"/>
  <c r="I26" i="7"/>
  <c r="K26" i="7"/>
  <c r="M26" i="7"/>
  <c r="AF26" i="7"/>
  <c r="Z26" i="7"/>
  <c r="V26" i="7"/>
  <c r="X26" i="7"/>
  <c r="Y26" i="7"/>
  <c r="G26" i="7"/>
  <c r="H26" i="7"/>
  <c r="AH26" i="7"/>
  <c r="AB26" i="7"/>
  <c r="AC26" i="7"/>
  <c r="O26" i="7"/>
  <c r="AD26" i="7"/>
  <c r="Q26" i="7"/>
  <c r="D26" i="7"/>
  <c r="P26" i="7"/>
  <c r="AG26" i="7"/>
  <c r="E26" i="7"/>
  <c r="L26" i="7"/>
  <c r="H16" i="10"/>
  <c r="F8" i="10"/>
  <c r="F47" i="10"/>
  <c r="F12" i="10"/>
  <c r="F13" i="8"/>
  <c r="F14" i="8"/>
  <c r="F37" i="8"/>
  <c r="H31" i="10"/>
  <c r="F15" i="10"/>
  <c r="F35" i="10"/>
  <c r="F40" i="10"/>
  <c r="H13" i="8"/>
  <c r="F16" i="8"/>
  <c r="F29" i="10"/>
  <c r="F21" i="10"/>
  <c r="H12" i="10"/>
  <c r="H26" i="10"/>
  <c r="F37" i="10"/>
  <c r="H34" i="10"/>
  <c r="F8" i="8"/>
  <c r="H28" i="8"/>
  <c r="H15" i="10"/>
  <c r="F31" i="10"/>
  <c r="F27" i="10"/>
  <c r="H36" i="10"/>
  <c r="H25" i="8"/>
  <c r="F28" i="8"/>
  <c r="H29" i="8"/>
  <c r="H37" i="8"/>
  <c r="H38" i="8"/>
  <c r="H27" i="10"/>
  <c r="F7" i="10"/>
  <c r="F16" i="10"/>
  <c r="F34" i="10"/>
  <c r="F29" i="8"/>
  <c r="F15" i="8"/>
  <c r="H48" i="10"/>
  <c r="H44" i="10"/>
  <c r="F13" i="10"/>
  <c r="F25" i="8"/>
  <c r="H15" i="8"/>
  <c r="H33" i="8"/>
  <c r="H19" i="8"/>
  <c r="H37" i="10"/>
  <c r="H45" i="10"/>
  <c r="H25" i="10"/>
  <c r="H10" i="10"/>
  <c r="H22" i="10"/>
  <c r="F26" i="10"/>
  <c r="F36" i="10"/>
  <c r="H8" i="10"/>
  <c r="H8" i="8"/>
  <c r="F19" i="8"/>
  <c r="F38" i="8"/>
  <c r="H16" i="8"/>
  <c r="H40" i="10"/>
  <c r="H47" i="10"/>
  <c r="H13" i="10"/>
  <c r="H14" i="8"/>
  <c r="H35" i="8"/>
  <c r="F35" i="8"/>
  <c r="F33" i="8"/>
  <c r="H35" i="10"/>
  <c r="F48" i="10"/>
  <c r="F25" i="10"/>
  <c r="AJ57" i="7"/>
  <c r="I14" i="6"/>
  <c r="P14" i="6"/>
  <c r="H14" i="6"/>
  <c r="Q14" i="6"/>
  <c r="AB14" i="6"/>
  <c r="AD14" i="6"/>
  <c r="AC14" i="6"/>
  <c r="AG14" i="6"/>
  <c r="C14" i="6"/>
  <c r="D14" i="6"/>
  <c r="Y14" i="6"/>
  <c r="K14" i="6"/>
  <c r="L14" i="6"/>
  <c r="AH14" i="6"/>
  <c r="T14" i="6"/>
  <c r="U14" i="6"/>
  <c r="V14" i="6"/>
  <c r="Z14" i="6"/>
  <c r="E14" i="6"/>
  <c r="AF14" i="6"/>
  <c r="M14" i="6"/>
  <c r="G14" i="6"/>
  <c r="X14" i="6"/>
  <c r="O14" i="6"/>
  <c r="AD35" i="5"/>
  <c r="Y35" i="5"/>
  <c r="AG35" i="5"/>
  <c r="Z35" i="5"/>
  <c r="AH35" i="5"/>
  <c r="V35" i="5"/>
  <c r="AB35" i="5"/>
  <c r="AC35" i="5"/>
  <c r="AF35" i="5"/>
  <c r="X35" i="5"/>
  <c r="T35" i="5"/>
  <c r="U35" i="5"/>
  <c r="AG14" i="5"/>
  <c r="Z14" i="5"/>
  <c r="AH14" i="5"/>
  <c r="V14" i="5"/>
  <c r="AD14" i="5"/>
  <c r="Y14" i="5"/>
  <c r="X14" i="5"/>
  <c r="T14" i="5"/>
  <c r="U14" i="5"/>
  <c r="AB14" i="5"/>
  <c r="AC14" i="5"/>
  <c r="AF14" i="5"/>
  <c r="X35" i="7"/>
  <c r="C35" i="7"/>
  <c r="O35" i="7"/>
  <c r="P35" i="7"/>
  <c r="Q35" i="7"/>
  <c r="Y35" i="7"/>
  <c r="M35" i="7"/>
  <c r="K35" i="7"/>
  <c r="L35" i="7"/>
  <c r="G35" i="7"/>
  <c r="AG35" i="7"/>
  <c r="AB35" i="7"/>
  <c r="T35" i="7"/>
  <c r="AC35" i="7"/>
  <c r="H35" i="7"/>
  <c r="AH35" i="7"/>
  <c r="I35" i="7"/>
  <c r="D35" i="7"/>
  <c r="E35" i="7"/>
  <c r="U35" i="7"/>
  <c r="Z35" i="7"/>
  <c r="AD35" i="7"/>
  <c r="V35" i="7"/>
  <c r="AF35" i="7"/>
  <c r="V29" i="6"/>
  <c r="I29" i="6"/>
  <c r="AD29" i="6"/>
  <c r="AF29" i="6"/>
  <c r="Q29" i="6"/>
  <c r="C29" i="6"/>
  <c r="AG29" i="6"/>
  <c r="D29" i="6"/>
  <c r="L29" i="6"/>
  <c r="U29" i="6"/>
  <c r="K29" i="6"/>
  <c r="H29" i="6"/>
  <c r="X29" i="6"/>
  <c r="AB29" i="6"/>
  <c r="AC29" i="6"/>
  <c r="P29" i="6"/>
  <c r="AH29" i="6"/>
  <c r="T29" i="6"/>
  <c r="Y29" i="6"/>
  <c r="Z29" i="6"/>
  <c r="E29" i="6"/>
  <c r="G29" i="6"/>
  <c r="M29" i="6"/>
  <c r="O29" i="6"/>
  <c r="U13" i="7"/>
  <c r="AD13" i="7"/>
  <c r="AG13" i="7"/>
  <c r="K13" i="7"/>
  <c r="E13" i="7"/>
  <c r="G13" i="7"/>
  <c r="X13" i="7"/>
  <c r="P13" i="7"/>
  <c r="L13" i="7"/>
  <c r="V13" i="7"/>
  <c r="H13" i="7"/>
  <c r="C13" i="7"/>
  <c r="AF13" i="7"/>
  <c r="M13" i="7"/>
  <c r="I13" i="7"/>
  <c r="Q13" i="7"/>
  <c r="D13" i="7"/>
  <c r="O13" i="7"/>
  <c r="Y13" i="7"/>
  <c r="T13" i="7"/>
  <c r="AC13" i="7"/>
  <c r="AB13" i="7"/>
  <c r="AH13" i="7"/>
  <c r="Z13" i="7"/>
  <c r="U13" i="5"/>
  <c r="AD13" i="5"/>
  <c r="Y13" i="5"/>
  <c r="Z13" i="5"/>
  <c r="AC13" i="5"/>
  <c r="X13" i="5"/>
  <c r="V13" i="5"/>
  <c r="AB13" i="5"/>
  <c r="AG13" i="5"/>
  <c r="AH13" i="5"/>
  <c r="T13" i="5"/>
  <c r="AF13" i="5"/>
  <c r="C5" i="7"/>
  <c r="O5" i="7"/>
  <c r="K5" i="7"/>
  <c r="L5" i="7"/>
  <c r="D5" i="7"/>
  <c r="Q5" i="7"/>
  <c r="V5" i="7"/>
  <c r="M5" i="7"/>
  <c r="P5" i="7"/>
  <c r="Y5" i="7"/>
  <c r="E5" i="7"/>
  <c r="Z5" i="7"/>
  <c r="AB5" i="7"/>
  <c r="AG5" i="7"/>
  <c r="X5" i="7"/>
  <c r="T5" i="7"/>
  <c r="G5" i="7"/>
  <c r="H5" i="7"/>
  <c r="I5" i="7"/>
  <c r="AH5" i="7"/>
  <c r="AD5" i="7"/>
  <c r="U5" i="7"/>
  <c r="AF5" i="7"/>
  <c r="AC5" i="7"/>
  <c r="C12" i="6"/>
  <c r="Q12" i="6"/>
  <c r="AB12" i="6"/>
  <c r="AD12" i="6"/>
  <c r="AC12" i="6"/>
  <c r="I12" i="6"/>
  <c r="K12" i="6"/>
  <c r="U12" i="6"/>
  <c r="G12" i="6"/>
  <c r="AF12" i="6"/>
  <c r="O12" i="6"/>
  <c r="V12" i="6"/>
  <c r="H12" i="6"/>
  <c r="AG12" i="6"/>
  <c r="Z12" i="6"/>
  <c r="P12" i="6"/>
  <c r="X12" i="6"/>
  <c r="D12" i="6"/>
  <c r="E12" i="6"/>
  <c r="AH12" i="6"/>
  <c r="L12" i="6"/>
  <c r="M12" i="6"/>
  <c r="T12" i="6"/>
  <c r="Y12" i="6"/>
  <c r="K28" i="6"/>
  <c r="L28" i="6"/>
  <c r="Y28" i="6"/>
  <c r="Z28" i="6"/>
  <c r="C28" i="6"/>
  <c r="D28" i="6"/>
  <c r="AC28" i="6"/>
  <c r="AG28" i="6"/>
  <c r="AH28" i="6"/>
  <c r="T28" i="6"/>
  <c r="AD28" i="6"/>
  <c r="AB28" i="6"/>
  <c r="U28" i="6"/>
  <c r="E28" i="6"/>
  <c r="G28" i="6"/>
  <c r="AF28" i="6"/>
  <c r="M28" i="6"/>
  <c r="O28" i="6"/>
  <c r="I28" i="6"/>
  <c r="H28" i="6"/>
  <c r="Q28" i="6"/>
  <c r="V28" i="6"/>
  <c r="X28" i="6"/>
  <c r="P28" i="6"/>
  <c r="E21" i="6"/>
  <c r="M21" i="6"/>
  <c r="H21" i="6"/>
  <c r="P21" i="6"/>
  <c r="Z21" i="6"/>
  <c r="C21" i="6"/>
  <c r="I21" i="6"/>
  <c r="V21" i="6"/>
  <c r="Q21" i="6"/>
  <c r="AC21" i="6"/>
  <c r="AG21" i="6"/>
  <c r="K21" i="6"/>
  <c r="T21" i="6"/>
  <c r="X21" i="6"/>
  <c r="G21" i="6"/>
  <c r="AD21" i="6"/>
  <c r="AH21" i="6"/>
  <c r="O21" i="6"/>
  <c r="U21" i="6"/>
  <c r="D21" i="6"/>
  <c r="AB21" i="6"/>
  <c r="AF21" i="6"/>
  <c r="Y21" i="6"/>
  <c r="L21" i="6"/>
  <c r="D24" i="7"/>
  <c r="M24" i="7"/>
  <c r="O24" i="7"/>
  <c r="E24" i="7"/>
  <c r="P24" i="7"/>
  <c r="G24" i="7"/>
  <c r="U24" i="7"/>
  <c r="Q24" i="7"/>
  <c r="I24" i="7"/>
  <c r="Y24" i="7"/>
  <c r="AC24" i="7"/>
  <c r="C24" i="7"/>
  <c r="H24" i="7"/>
  <c r="K24" i="7"/>
  <c r="L24" i="7"/>
  <c r="Z24" i="7"/>
  <c r="AG24" i="7"/>
  <c r="AH24" i="7"/>
  <c r="AB24" i="7"/>
  <c r="AD24" i="7"/>
  <c r="V24" i="7"/>
  <c r="AF24" i="7"/>
  <c r="T24" i="7"/>
  <c r="X24" i="7"/>
  <c r="I30" i="6"/>
  <c r="K30" i="6"/>
  <c r="X30" i="6"/>
  <c r="Q30" i="6"/>
  <c r="Z30" i="6"/>
  <c r="AH30" i="6"/>
  <c r="C30" i="6"/>
  <c r="Y30" i="6"/>
  <c r="AF30" i="6"/>
  <c r="D30" i="6"/>
  <c r="E30" i="6"/>
  <c r="P30" i="6"/>
  <c r="AB30" i="6"/>
  <c r="L30" i="6"/>
  <c r="M30" i="6"/>
  <c r="V30" i="6"/>
  <c r="G30" i="6"/>
  <c r="AC30" i="6"/>
  <c r="AG30" i="6"/>
  <c r="O30" i="6"/>
  <c r="R30" i="6" s="1"/>
  <c r="T30" i="6"/>
  <c r="AD30" i="6"/>
  <c r="U30" i="6"/>
  <c r="H30" i="6"/>
  <c r="AH30" i="5"/>
  <c r="V30" i="5"/>
  <c r="Z30" i="5"/>
  <c r="Y30" i="5"/>
  <c r="AD30" i="5"/>
  <c r="AG30" i="5"/>
  <c r="AC30" i="5"/>
  <c r="X30" i="5"/>
  <c r="T30" i="5"/>
  <c r="U30" i="5"/>
  <c r="AB30" i="5"/>
  <c r="AF30" i="5"/>
  <c r="V20" i="6"/>
  <c r="AF20" i="6"/>
  <c r="AG20" i="6"/>
  <c r="P20" i="6"/>
  <c r="X20" i="6"/>
  <c r="AH20" i="6"/>
  <c r="U20" i="6"/>
  <c r="H20" i="6"/>
  <c r="AB20" i="6"/>
  <c r="C20" i="6"/>
  <c r="G20" i="6"/>
  <c r="K20" i="6"/>
  <c r="Y20" i="6"/>
  <c r="AC20" i="6"/>
  <c r="O20" i="6"/>
  <c r="D20" i="6"/>
  <c r="E20" i="6"/>
  <c r="Z20" i="6"/>
  <c r="T20" i="6"/>
  <c r="L20" i="6"/>
  <c r="M20" i="6"/>
  <c r="AD20" i="6"/>
  <c r="I20" i="6"/>
  <c r="Q20" i="6"/>
  <c r="D23" i="6"/>
  <c r="L23" i="6"/>
  <c r="Z23" i="6"/>
  <c r="AB23" i="6"/>
  <c r="AC23" i="6"/>
  <c r="AG23" i="6"/>
  <c r="G23" i="6"/>
  <c r="U23" i="6"/>
  <c r="O23" i="6"/>
  <c r="AD23" i="6"/>
  <c r="Y23" i="6"/>
  <c r="E23" i="6"/>
  <c r="C23" i="6"/>
  <c r="AH23" i="6"/>
  <c r="M23" i="6"/>
  <c r="K23" i="6"/>
  <c r="V23" i="6"/>
  <c r="H23" i="6"/>
  <c r="I23" i="6"/>
  <c r="AF23" i="6"/>
  <c r="P23" i="6"/>
  <c r="Q23" i="6"/>
  <c r="T23" i="6"/>
  <c r="X23" i="6"/>
  <c r="Q10" i="7"/>
  <c r="H10" i="7"/>
  <c r="D10" i="7"/>
  <c r="C10" i="7"/>
  <c r="I10" i="7"/>
  <c r="L10" i="7"/>
  <c r="M10" i="7"/>
  <c r="K10" i="7"/>
  <c r="AC10" i="7"/>
  <c r="O10" i="7"/>
  <c r="E10" i="7"/>
  <c r="T10" i="7"/>
  <c r="AB10" i="7"/>
  <c r="P10" i="7"/>
  <c r="Z10" i="7"/>
  <c r="AD10" i="7"/>
  <c r="U10" i="7"/>
  <c r="V10" i="7"/>
  <c r="Y10" i="7"/>
  <c r="G10" i="7"/>
  <c r="AG10" i="7"/>
  <c r="X10" i="7"/>
  <c r="AH10" i="7"/>
  <c r="AF10" i="7"/>
  <c r="Q20" i="7"/>
  <c r="M20" i="7"/>
  <c r="I20" i="7"/>
  <c r="O20" i="7"/>
  <c r="Y20" i="7"/>
  <c r="E20" i="7"/>
  <c r="K20" i="7"/>
  <c r="T20" i="7"/>
  <c r="P20" i="7"/>
  <c r="C20" i="7"/>
  <c r="AD20" i="7"/>
  <c r="AB20" i="7"/>
  <c r="D20" i="7"/>
  <c r="AF20" i="7"/>
  <c r="V20" i="7"/>
  <c r="L20" i="7"/>
  <c r="G20" i="7"/>
  <c r="H20" i="7"/>
  <c r="Z20" i="7"/>
  <c r="U20" i="7"/>
  <c r="X20" i="7"/>
  <c r="AH20" i="7"/>
  <c r="AC20" i="7"/>
  <c r="AG20" i="7"/>
  <c r="T42" i="7"/>
  <c r="V42" i="7"/>
  <c r="AC42" i="7"/>
  <c r="K42" i="7"/>
  <c r="M42" i="7"/>
  <c r="AD42" i="7"/>
  <c r="C42" i="7"/>
  <c r="H42" i="7"/>
  <c r="AG42" i="7"/>
  <c r="D42" i="7"/>
  <c r="I42" i="7"/>
  <c r="U42" i="7"/>
  <c r="O42" i="7"/>
  <c r="E42" i="7"/>
  <c r="AF42" i="7"/>
  <c r="X42" i="7"/>
  <c r="L42" i="7"/>
  <c r="P42" i="7"/>
  <c r="G42" i="7"/>
  <c r="AH42" i="7"/>
  <c r="Q42" i="7"/>
  <c r="Y42" i="7"/>
  <c r="Z42" i="7"/>
  <c r="AB42" i="7"/>
  <c r="H19" i="7"/>
  <c r="Q19" i="7"/>
  <c r="K19" i="7"/>
  <c r="D19" i="7"/>
  <c r="I19" i="7"/>
  <c r="C19" i="7"/>
  <c r="AG19" i="7"/>
  <c r="L19" i="7"/>
  <c r="AB19" i="7"/>
  <c r="AD19" i="7"/>
  <c r="E19" i="7"/>
  <c r="G19" i="7"/>
  <c r="T19" i="7"/>
  <c r="M19" i="7"/>
  <c r="O19" i="7"/>
  <c r="P19" i="7"/>
  <c r="AC19" i="7"/>
  <c r="Z19" i="7"/>
  <c r="V19" i="7"/>
  <c r="AF19" i="7"/>
  <c r="Y19" i="7"/>
  <c r="U19" i="7"/>
  <c r="AH19" i="7"/>
  <c r="X19" i="7"/>
  <c r="E34" i="7"/>
  <c r="G34" i="7"/>
  <c r="H34" i="7"/>
  <c r="Q34" i="7"/>
  <c r="I34" i="7"/>
  <c r="O34" i="7"/>
  <c r="AD34" i="7"/>
  <c r="Z34" i="7"/>
  <c r="AG34" i="7"/>
  <c r="D34" i="7"/>
  <c r="P34" i="7"/>
  <c r="C34" i="7"/>
  <c r="U34" i="7"/>
  <c r="L34" i="7"/>
  <c r="M34" i="7"/>
  <c r="AF34" i="7"/>
  <c r="X34" i="7"/>
  <c r="K34" i="7"/>
  <c r="AB34" i="7"/>
  <c r="V34" i="7"/>
  <c r="T34" i="7"/>
  <c r="AH34" i="7"/>
  <c r="Y34" i="7"/>
  <c r="AC34" i="7"/>
  <c r="X8" i="6"/>
  <c r="Y8" i="6"/>
  <c r="AG8" i="6"/>
  <c r="AH8" i="6"/>
  <c r="D8" i="6"/>
  <c r="K8" i="6"/>
  <c r="V8" i="6"/>
  <c r="C8" i="6"/>
  <c r="L8" i="6"/>
  <c r="T8" i="6"/>
  <c r="H8" i="6"/>
  <c r="AD8" i="6"/>
  <c r="P8" i="6"/>
  <c r="I8" i="6"/>
  <c r="Z8" i="6"/>
  <c r="Q8" i="6"/>
  <c r="E8" i="6"/>
  <c r="G8" i="6"/>
  <c r="AB8" i="6"/>
  <c r="U8" i="6"/>
  <c r="M8" i="6"/>
  <c r="O8" i="6"/>
  <c r="AC8" i="6"/>
  <c r="AF8" i="6"/>
  <c r="AH22" i="5"/>
  <c r="AG22" i="5"/>
  <c r="Y22" i="5"/>
  <c r="AD22" i="5"/>
  <c r="Z22" i="5"/>
  <c r="V22" i="5"/>
  <c r="X22" i="5"/>
  <c r="T22" i="5"/>
  <c r="U22" i="5"/>
  <c r="AB22" i="5"/>
  <c r="AF22" i="5"/>
  <c r="AC22" i="5"/>
  <c r="AC28" i="5"/>
  <c r="T28" i="5"/>
  <c r="AB28" i="5"/>
  <c r="AG28" i="5"/>
  <c r="AH28" i="5"/>
  <c r="AD28" i="5"/>
  <c r="X28" i="5"/>
  <c r="AF28" i="5"/>
  <c r="V28" i="5"/>
  <c r="Y28" i="5"/>
  <c r="Z28" i="5"/>
  <c r="U28" i="5"/>
  <c r="X17" i="5"/>
  <c r="U17" i="5"/>
  <c r="V17" i="5"/>
  <c r="AF17" i="5"/>
  <c r="AC17" i="5"/>
  <c r="Y17" i="5"/>
  <c r="AG17" i="5"/>
  <c r="T17" i="5"/>
  <c r="Z17" i="5"/>
  <c r="AH17" i="5"/>
  <c r="AB17" i="5"/>
  <c r="AD17" i="5"/>
  <c r="Z7" i="5"/>
  <c r="AH7" i="5"/>
  <c r="AD7" i="5"/>
  <c r="AB7" i="5"/>
  <c r="AF7" i="5"/>
  <c r="V7" i="5"/>
  <c r="AG7" i="5"/>
  <c r="T7" i="5"/>
  <c r="X7" i="5"/>
  <c r="U7" i="5"/>
  <c r="AC7" i="5"/>
  <c r="Y7" i="5"/>
  <c r="C9" i="6"/>
  <c r="AB9" i="6"/>
  <c r="AC9" i="6"/>
  <c r="D9" i="6"/>
  <c r="K9" i="6"/>
  <c r="AD9" i="6"/>
  <c r="L9" i="6"/>
  <c r="AH9" i="6"/>
  <c r="T9" i="6"/>
  <c r="Y9" i="6"/>
  <c r="H9" i="6"/>
  <c r="P9" i="6"/>
  <c r="U9" i="6"/>
  <c r="I9" i="6"/>
  <c r="AF9" i="6"/>
  <c r="Q9" i="6"/>
  <c r="V9" i="6"/>
  <c r="E9" i="6"/>
  <c r="G9" i="6"/>
  <c r="AG9" i="6"/>
  <c r="X9" i="6"/>
  <c r="Z9" i="6"/>
  <c r="M9" i="6"/>
  <c r="O9" i="6"/>
  <c r="T20" i="5"/>
  <c r="U20" i="5"/>
  <c r="AF20" i="5"/>
  <c r="AD20" i="5"/>
  <c r="AC20" i="5"/>
  <c r="Y20" i="5"/>
  <c r="Z20" i="5"/>
  <c r="V20" i="5"/>
  <c r="X20" i="5"/>
  <c r="AB20" i="5"/>
  <c r="AG20" i="5"/>
  <c r="AH20" i="5"/>
  <c r="V15" i="6"/>
  <c r="Q15" i="6"/>
  <c r="X15" i="6"/>
  <c r="H15" i="6"/>
  <c r="AD15" i="6"/>
  <c r="AF15" i="6"/>
  <c r="U15" i="6"/>
  <c r="I15" i="6"/>
  <c r="P15" i="6"/>
  <c r="AG15" i="6"/>
  <c r="M15" i="6"/>
  <c r="G15" i="6"/>
  <c r="O15" i="6"/>
  <c r="C15" i="6"/>
  <c r="D15" i="6"/>
  <c r="AB15" i="6"/>
  <c r="K15" i="6"/>
  <c r="L15" i="6"/>
  <c r="Y15" i="6"/>
  <c r="AH15" i="6"/>
  <c r="T15" i="6"/>
  <c r="Z15" i="6"/>
  <c r="AC15" i="6"/>
  <c r="E15" i="6"/>
  <c r="AH3" i="5"/>
  <c r="Y3" i="5"/>
  <c r="T3" i="5"/>
  <c r="T39" i="5" s="1"/>
  <c r="U3" i="5"/>
  <c r="AC3" i="5"/>
  <c r="V3" i="5"/>
  <c r="AB3" i="5"/>
  <c r="AF3" i="5"/>
  <c r="Z3" i="5"/>
  <c r="X3" i="5"/>
  <c r="AD3" i="5"/>
  <c r="AG3" i="5"/>
  <c r="D26" i="6"/>
  <c r="L26" i="6"/>
  <c r="AB26" i="6"/>
  <c r="AC26" i="6"/>
  <c r="T26" i="6"/>
  <c r="K26" i="6"/>
  <c r="AD26" i="6"/>
  <c r="I26" i="6"/>
  <c r="Y26" i="6"/>
  <c r="Q26" i="6"/>
  <c r="AH26" i="6"/>
  <c r="E26" i="6"/>
  <c r="G26" i="6"/>
  <c r="H26" i="6"/>
  <c r="U26" i="6"/>
  <c r="M26" i="6"/>
  <c r="O26" i="6"/>
  <c r="P26" i="6"/>
  <c r="V26" i="6"/>
  <c r="Z26" i="6"/>
  <c r="C26" i="6"/>
  <c r="AF26" i="6"/>
  <c r="X26" i="6"/>
  <c r="AG26" i="6"/>
  <c r="AF16" i="5"/>
  <c r="T16" i="5"/>
  <c r="Y16" i="5"/>
  <c r="Z16" i="5"/>
  <c r="X16" i="5"/>
  <c r="AH16" i="5"/>
  <c r="V16" i="5"/>
  <c r="AB16" i="5"/>
  <c r="U16" i="5"/>
  <c r="AC16" i="5"/>
  <c r="AG16" i="5"/>
  <c r="AD16" i="5"/>
  <c r="Z32" i="5"/>
  <c r="AH32" i="5"/>
  <c r="AD32" i="5"/>
  <c r="X32" i="5"/>
  <c r="AG32" i="5"/>
  <c r="T32" i="5"/>
  <c r="AB32" i="5"/>
  <c r="U32" i="5"/>
  <c r="AC32" i="5"/>
  <c r="AF32" i="5"/>
  <c r="V32" i="5"/>
  <c r="Y32" i="5"/>
  <c r="X16" i="6"/>
  <c r="H16" i="6"/>
  <c r="I16" i="6"/>
  <c r="AH16" i="6"/>
  <c r="G16" i="6"/>
  <c r="O16" i="6"/>
  <c r="P16" i="6"/>
  <c r="Y16" i="6"/>
  <c r="Z16" i="6"/>
  <c r="Q16" i="6"/>
  <c r="AC16" i="6"/>
  <c r="V16" i="6"/>
  <c r="T16" i="6"/>
  <c r="AG16" i="6"/>
  <c r="D16" i="6"/>
  <c r="AD16" i="6"/>
  <c r="L16" i="6"/>
  <c r="U16" i="6"/>
  <c r="C16" i="6"/>
  <c r="E16" i="6"/>
  <c r="AF16" i="6"/>
  <c r="K16" i="6"/>
  <c r="M16" i="6"/>
  <c r="AB16" i="6"/>
  <c r="V27" i="6"/>
  <c r="X27" i="6"/>
  <c r="U27" i="6"/>
  <c r="C27" i="6"/>
  <c r="AF27" i="6"/>
  <c r="D27" i="6"/>
  <c r="L27" i="6"/>
  <c r="AG27" i="6"/>
  <c r="K27" i="6"/>
  <c r="Z27" i="6"/>
  <c r="E27" i="6"/>
  <c r="H27" i="6"/>
  <c r="AB27" i="6"/>
  <c r="M27" i="6"/>
  <c r="P27" i="6"/>
  <c r="G27" i="6"/>
  <c r="I27" i="6"/>
  <c r="T27" i="6"/>
  <c r="O27" i="6"/>
  <c r="Q27" i="6"/>
  <c r="Y27" i="6"/>
  <c r="AC27" i="6"/>
  <c r="AD27" i="6"/>
  <c r="AH27" i="6"/>
  <c r="Y26" i="5"/>
  <c r="V26" i="5"/>
  <c r="AG26" i="5"/>
  <c r="AH26" i="5"/>
  <c r="T26" i="5"/>
  <c r="AB26" i="5"/>
  <c r="U26" i="5"/>
  <c r="AD26" i="5"/>
  <c r="AF26" i="5"/>
  <c r="Z26" i="5"/>
  <c r="AC26" i="5"/>
  <c r="X26" i="5"/>
  <c r="AH19" i="5"/>
  <c r="Z19" i="5"/>
  <c r="AD19" i="5"/>
  <c r="T19" i="5"/>
  <c r="U19" i="5"/>
  <c r="AB19" i="5"/>
  <c r="AC19" i="5"/>
  <c r="AF19" i="5"/>
  <c r="Y19" i="5"/>
  <c r="AG19" i="5"/>
  <c r="V19" i="5"/>
  <c r="X19" i="5"/>
  <c r="T15" i="7"/>
  <c r="Z15" i="7"/>
  <c r="H15" i="7"/>
  <c r="E15" i="7"/>
  <c r="L15" i="7"/>
  <c r="K15" i="7"/>
  <c r="O15" i="7"/>
  <c r="U15" i="7"/>
  <c r="I15" i="7"/>
  <c r="AD15" i="7"/>
  <c r="C15" i="7"/>
  <c r="G15" i="7"/>
  <c r="V15" i="7"/>
  <c r="Q15" i="7"/>
  <c r="M15" i="7"/>
  <c r="P15" i="7"/>
  <c r="AG15" i="7"/>
  <c r="D15" i="7"/>
  <c r="AB15" i="7"/>
  <c r="AF15" i="7"/>
  <c r="Y15" i="7"/>
  <c r="AH15" i="7"/>
  <c r="AC15" i="7"/>
  <c r="X15" i="7"/>
  <c r="Z38" i="7"/>
  <c r="Y38" i="7"/>
  <c r="G38" i="7"/>
  <c r="U38" i="7"/>
  <c r="H38" i="7"/>
  <c r="K38" i="7"/>
  <c r="E38" i="7"/>
  <c r="AB38" i="7"/>
  <c r="P38" i="7"/>
  <c r="Q38" i="7"/>
  <c r="C38" i="7"/>
  <c r="D38" i="7"/>
  <c r="V38" i="7"/>
  <c r="O38" i="7"/>
  <c r="I38" i="7"/>
  <c r="L38" i="7"/>
  <c r="M38" i="7"/>
  <c r="AC38" i="7"/>
  <c r="X38" i="7"/>
  <c r="AH38" i="7"/>
  <c r="T38" i="7"/>
  <c r="AG38" i="7"/>
  <c r="AD38" i="7"/>
  <c r="AF38" i="7"/>
  <c r="Z23" i="5"/>
  <c r="AH23" i="5"/>
  <c r="AD23" i="5"/>
  <c r="AF23" i="5"/>
  <c r="T23" i="5"/>
  <c r="X23" i="5"/>
  <c r="Y23" i="5"/>
  <c r="V23" i="5"/>
  <c r="U23" i="5"/>
  <c r="AC23" i="5"/>
  <c r="AB23" i="5"/>
  <c r="AG23" i="5"/>
  <c r="AD37" i="7"/>
  <c r="AG37" i="7"/>
  <c r="D37" i="7"/>
  <c r="V37" i="7"/>
  <c r="G37" i="7"/>
  <c r="K37" i="7"/>
  <c r="C37" i="7"/>
  <c r="O37" i="7"/>
  <c r="AF37" i="7"/>
  <c r="I37" i="7"/>
  <c r="Q37" i="7"/>
  <c r="E37" i="7"/>
  <c r="L37" i="7"/>
  <c r="M37" i="7"/>
  <c r="H37" i="7"/>
  <c r="Y37" i="7"/>
  <c r="P37" i="7"/>
  <c r="X37" i="7"/>
  <c r="U37" i="7"/>
  <c r="AH37" i="7"/>
  <c r="T37" i="7"/>
  <c r="AC37" i="7"/>
  <c r="Z37" i="7"/>
  <c r="AB37" i="7"/>
  <c r="K28" i="7"/>
  <c r="Q28" i="7"/>
  <c r="H28" i="7"/>
  <c r="L28" i="7"/>
  <c r="Y28" i="7"/>
  <c r="AB28" i="7"/>
  <c r="I28" i="7"/>
  <c r="C28" i="7"/>
  <c r="AF28" i="7"/>
  <c r="D28" i="7"/>
  <c r="M28" i="7"/>
  <c r="G28" i="7"/>
  <c r="O28" i="7"/>
  <c r="Z28" i="7"/>
  <c r="T28" i="7"/>
  <c r="E28" i="7"/>
  <c r="AD28" i="7"/>
  <c r="P28" i="7"/>
  <c r="AC28" i="7"/>
  <c r="V28" i="7"/>
  <c r="U28" i="7"/>
  <c r="AG28" i="7"/>
  <c r="X28" i="7"/>
  <c r="AH28" i="7"/>
  <c r="V18" i="5"/>
  <c r="Y18" i="5"/>
  <c r="AG18" i="5"/>
  <c r="AD18" i="5"/>
  <c r="AC18" i="5"/>
  <c r="T18" i="5"/>
  <c r="AB18" i="5"/>
  <c r="U18" i="5"/>
  <c r="Z18" i="5"/>
  <c r="AF18" i="5"/>
  <c r="AH18" i="5"/>
  <c r="X18" i="5"/>
  <c r="AD27" i="5"/>
  <c r="Z27" i="5"/>
  <c r="AH27" i="5"/>
  <c r="T27" i="5"/>
  <c r="U27" i="5"/>
  <c r="AB27" i="5"/>
  <c r="AC27" i="5"/>
  <c r="AF27" i="5"/>
  <c r="Y27" i="5"/>
  <c r="X27" i="5"/>
  <c r="V27" i="5"/>
  <c r="AG27" i="5"/>
  <c r="U5" i="5"/>
  <c r="AF5" i="5"/>
  <c r="V5" i="5"/>
  <c r="AC5" i="5"/>
  <c r="AG5" i="5"/>
  <c r="AH5" i="5"/>
  <c r="AB5" i="5"/>
  <c r="X5" i="5"/>
  <c r="T5" i="5"/>
  <c r="Y5" i="5"/>
  <c r="Z5" i="5"/>
  <c r="AD5" i="5"/>
  <c r="H17" i="6"/>
  <c r="O17" i="6"/>
  <c r="P17" i="6"/>
  <c r="AC17" i="6"/>
  <c r="I17" i="6"/>
  <c r="Q17" i="6"/>
  <c r="AD17" i="6"/>
  <c r="AF17" i="6"/>
  <c r="G17" i="6"/>
  <c r="AG17" i="6"/>
  <c r="X17" i="6"/>
  <c r="AH17" i="6"/>
  <c r="AB17" i="6"/>
  <c r="Y17" i="6"/>
  <c r="D17" i="6"/>
  <c r="L17" i="6"/>
  <c r="Z17" i="6"/>
  <c r="C17" i="6"/>
  <c r="E17" i="6"/>
  <c r="V17" i="6"/>
  <c r="U17" i="6"/>
  <c r="T17" i="6"/>
  <c r="K17" i="6"/>
  <c r="M17" i="6"/>
  <c r="X25" i="6"/>
  <c r="Z25" i="6"/>
  <c r="AH25" i="6"/>
  <c r="D25" i="6"/>
  <c r="Y25" i="6"/>
  <c r="AG25" i="6"/>
  <c r="L25" i="6"/>
  <c r="AD25" i="6"/>
  <c r="E25" i="6"/>
  <c r="G25" i="6"/>
  <c r="H25" i="6"/>
  <c r="M25" i="6"/>
  <c r="O25" i="6"/>
  <c r="P25" i="6"/>
  <c r="U25" i="6"/>
  <c r="C25" i="6"/>
  <c r="AB25" i="6"/>
  <c r="AF25" i="6"/>
  <c r="K25" i="6"/>
  <c r="AC25" i="6"/>
  <c r="V25" i="6"/>
  <c r="I25" i="6"/>
  <c r="T25" i="6"/>
  <c r="Q25" i="6"/>
  <c r="Y6" i="5"/>
  <c r="V6" i="5"/>
  <c r="Z6" i="5"/>
  <c r="AG6" i="5"/>
  <c r="AD6" i="5"/>
  <c r="AH6" i="5"/>
  <c r="AF6" i="5"/>
  <c r="AC6" i="5"/>
  <c r="X6" i="5"/>
  <c r="T6" i="5"/>
  <c r="U6" i="5"/>
  <c r="AB6" i="5"/>
  <c r="Q29" i="7"/>
  <c r="L29" i="7"/>
  <c r="X29" i="7"/>
  <c r="I29" i="7"/>
  <c r="C29" i="7"/>
  <c r="Z29" i="7"/>
  <c r="AG29" i="7"/>
  <c r="K29" i="7"/>
  <c r="M29" i="7"/>
  <c r="E29" i="7"/>
  <c r="D29" i="7"/>
  <c r="AC29" i="7"/>
  <c r="V29" i="7"/>
  <c r="H29" i="7"/>
  <c r="P29" i="7"/>
  <c r="O29" i="7"/>
  <c r="Y29" i="7"/>
  <c r="U29" i="7"/>
  <c r="G29" i="7"/>
  <c r="AH29" i="7"/>
  <c r="AB29" i="7"/>
  <c r="T29" i="7"/>
  <c r="AD29" i="7"/>
  <c r="AF29" i="7"/>
  <c r="C14" i="7"/>
  <c r="Q14" i="7"/>
  <c r="M14" i="7"/>
  <c r="AF14" i="7"/>
  <c r="I14" i="7"/>
  <c r="AG14" i="7"/>
  <c r="E14" i="7"/>
  <c r="AC14" i="7"/>
  <c r="D14" i="7"/>
  <c r="X14" i="7"/>
  <c r="Y14" i="7"/>
  <c r="K14" i="7"/>
  <c r="O14" i="7"/>
  <c r="AH14" i="7"/>
  <c r="G14" i="7"/>
  <c r="T14" i="7"/>
  <c r="L14" i="7"/>
  <c r="AD14" i="7"/>
  <c r="U14" i="7"/>
  <c r="AB14" i="7"/>
  <c r="H14" i="7"/>
  <c r="P14" i="7"/>
  <c r="Z14" i="7"/>
  <c r="V14" i="7"/>
  <c r="I36" i="6"/>
  <c r="Q36" i="6"/>
  <c r="Z36" i="6"/>
  <c r="Y36" i="6"/>
  <c r="H36" i="6"/>
  <c r="V36" i="6"/>
  <c r="P36" i="6"/>
  <c r="D36" i="6"/>
  <c r="AG36" i="6"/>
  <c r="L36" i="6"/>
  <c r="E36" i="6"/>
  <c r="AB36" i="6"/>
  <c r="X36" i="6"/>
  <c r="M36" i="6"/>
  <c r="T36" i="6"/>
  <c r="AH36" i="6"/>
  <c r="AC36" i="6"/>
  <c r="C36" i="6"/>
  <c r="AD36" i="6"/>
  <c r="K36" i="6"/>
  <c r="U36" i="6"/>
  <c r="G36" i="6"/>
  <c r="AF36" i="6"/>
  <c r="O36" i="6"/>
  <c r="AF7" i="7"/>
  <c r="O7" i="7"/>
  <c r="G7" i="7"/>
  <c r="H7" i="7"/>
  <c r="K7" i="7"/>
  <c r="V7" i="7"/>
  <c r="I7" i="7"/>
  <c r="L7" i="7"/>
  <c r="C7" i="7"/>
  <c r="Q7" i="7"/>
  <c r="U7" i="7"/>
  <c r="M7" i="7"/>
  <c r="P7" i="7"/>
  <c r="D7" i="7"/>
  <c r="AD7" i="7"/>
  <c r="X7" i="7"/>
  <c r="E7" i="7"/>
  <c r="AG7" i="7"/>
  <c r="Y7" i="7"/>
  <c r="AC7" i="7"/>
  <c r="Z7" i="7"/>
  <c r="AB7" i="7"/>
  <c r="AH7" i="7"/>
  <c r="T7" i="7"/>
  <c r="Y8" i="5"/>
  <c r="Z8" i="5"/>
  <c r="AF8" i="5"/>
  <c r="AH8" i="5"/>
  <c r="V8" i="5"/>
  <c r="X8" i="5"/>
  <c r="AG8" i="5"/>
  <c r="T8" i="5"/>
  <c r="AD8" i="5"/>
  <c r="AB8" i="5"/>
  <c r="U8" i="5"/>
  <c r="AC8" i="5"/>
  <c r="D39" i="7"/>
  <c r="E39" i="7"/>
  <c r="Q39" i="7"/>
  <c r="O39" i="7"/>
  <c r="I39" i="7"/>
  <c r="H39" i="7"/>
  <c r="AB39" i="7"/>
  <c r="K39" i="7"/>
  <c r="L39" i="7"/>
  <c r="X39" i="7"/>
  <c r="Z39" i="7"/>
  <c r="T39" i="7"/>
  <c r="AG39" i="7"/>
  <c r="C39" i="7"/>
  <c r="G39" i="7"/>
  <c r="Y39" i="7"/>
  <c r="AC39" i="7"/>
  <c r="M39" i="7"/>
  <c r="P39" i="7"/>
  <c r="AH39" i="7"/>
  <c r="V39" i="7"/>
  <c r="AF39" i="7"/>
  <c r="U39" i="7"/>
  <c r="AD39" i="7"/>
  <c r="H3" i="6"/>
  <c r="P3" i="6"/>
  <c r="Q3" i="6"/>
  <c r="AC3" i="6"/>
  <c r="AD3" i="6"/>
  <c r="AB3" i="6"/>
  <c r="X3" i="6"/>
  <c r="G3" i="6"/>
  <c r="V3" i="6"/>
  <c r="C3" i="6"/>
  <c r="L3" i="6"/>
  <c r="M3" i="6"/>
  <c r="AF3" i="6"/>
  <c r="T3" i="6"/>
  <c r="D3" i="6"/>
  <c r="AG3" i="6"/>
  <c r="Z3" i="6"/>
  <c r="E3" i="6"/>
  <c r="O3" i="6"/>
  <c r="U3" i="6"/>
  <c r="Y3" i="6"/>
  <c r="K3" i="6"/>
  <c r="AH3" i="6"/>
  <c r="I3" i="6"/>
  <c r="H18" i="5"/>
  <c r="P18" i="5"/>
  <c r="D18" i="5"/>
  <c r="K18" i="5"/>
  <c r="E18" i="5"/>
  <c r="M18" i="5"/>
  <c r="L18" i="5"/>
  <c r="G18" i="5"/>
  <c r="O18" i="5"/>
  <c r="Q18" i="5"/>
  <c r="C18" i="5"/>
  <c r="I18" i="5"/>
  <c r="K27" i="5"/>
  <c r="D27" i="5"/>
  <c r="L27" i="5"/>
  <c r="H27" i="5"/>
  <c r="P27" i="5"/>
  <c r="E27" i="5"/>
  <c r="I27" i="5"/>
  <c r="Q27" i="5"/>
  <c r="M27" i="5"/>
  <c r="C27" i="5"/>
  <c r="G27" i="5"/>
  <c r="O27" i="5"/>
  <c r="H5" i="5"/>
  <c r="P5" i="5"/>
  <c r="M5" i="5"/>
  <c r="G5" i="5"/>
  <c r="O5" i="5"/>
  <c r="C5" i="5"/>
  <c r="E5" i="5"/>
  <c r="D5" i="5"/>
  <c r="L5" i="5"/>
  <c r="I5" i="5"/>
  <c r="Q5" i="5"/>
  <c r="K5" i="5"/>
  <c r="I6" i="5"/>
  <c r="M6" i="5"/>
  <c r="Q6" i="5"/>
  <c r="E6" i="5"/>
  <c r="C6" i="5"/>
  <c r="G6" i="5"/>
  <c r="O6" i="5"/>
  <c r="D6" i="5"/>
  <c r="K6" i="5"/>
  <c r="H6" i="5"/>
  <c r="P6" i="5"/>
  <c r="L6" i="5"/>
  <c r="H23" i="5"/>
  <c r="P23" i="5"/>
  <c r="D23" i="5"/>
  <c r="K23" i="5"/>
  <c r="I23" i="5"/>
  <c r="Q23" i="5"/>
  <c r="E23" i="5"/>
  <c r="L23" i="5"/>
  <c r="G23" i="5"/>
  <c r="O23" i="5"/>
  <c r="M23" i="5"/>
  <c r="C23" i="5"/>
  <c r="E8" i="5"/>
  <c r="I8" i="5"/>
  <c r="Q8" i="5"/>
  <c r="G8" i="5"/>
  <c r="O8" i="5"/>
  <c r="L8" i="5"/>
  <c r="D8" i="5"/>
  <c r="M8" i="5"/>
  <c r="P8" i="5"/>
  <c r="C8" i="5"/>
  <c r="K8" i="5"/>
  <c r="H8" i="5"/>
  <c r="G7" i="5"/>
  <c r="O7" i="5"/>
  <c r="M7" i="5"/>
  <c r="H7" i="5"/>
  <c r="P7" i="5"/>
  <c r="C7" i="5"/>
  <c r="D7" i="5"/>
  <c r="K7" i="5"/>
  <c r="I7" i="5"/>
  <c r="Q7" i="5"/>
  <c r="E7" i="5"/>
  <c r="L7" i="5"/>
  <c r="G26" i="5"/>
  <c r="O26" i="5"/>
  <c r="C26" i="5"/>
  <c r="I26" i="5"/>
  <c r="Q26" i="5"/>
  <c r="H26" i="5"/>
  <c r="P26" i="5"/>
  <c r="D26" i="5"/>
  <c r="K26" i="5"/>
  <c r="E26" i="5"/>
  <c r="M26" i="5"/>
  <c r="L26" i="5"/>
  <c r="C19" i="5"/>
  <c r="L19" i="5"/>
  <c r="I19" i="5"/>
  <c r="Q19" i="5"/>
  <c r="O19" i="5"/>
  <c r="G19" i="5"/>
  <c r="E19" i="5"/>
  <c r="D19" i="5"/>
  <c r="H19" i="5"/>
  <c r="P19" i="5"/>
  <c r="M19" i="5"/>
  <c r="K19" i="5"/>
  <c r="Q35" i="5"/>
  <c r="C35" i="5"/>
  <c r="L35" i="5"/>
  <c r="I35" i="5"/>
  <c r="G35" i="5"/>
  <c r="M35" i="5"/>
  <c r="O35" i="5"/>
  <c r="D35" i="5"/>
  <c r="H35" i="5"/>
  <c r="P35" i="5"/>
  <c r="K35" i="5"/>
  <c r="E35" i="5"/>
  <c r="K14" i="5"/>
  <c r="H14" i="5"/>
  <c r="P14" i="5"/>
  <c r="Q14" i="5"/>
  <c r="E14" i="5"/>
  <c r="L14" i="5"/>
  <c r="I14" i="5"/>
  <c r="C14" i="5"/>
  <c r="G14" i="5"/>
  <c r="O14" i="5"/>
  <c r="M14" i="5"/>
  <c r="D14" i="5"/>
  <c r="E13" i="5"/>
  <c r="L13" i="5"/>
  <c r="D13" i="5"/>
  <c r="K13" i="5"/>
  <c r="I13" i="5"/>
  <c r="Q13" i="5"/>
  <c r="H13" i="5"/>
  <c r="P13" i="5"/>
  <c r="M13" i="5"/>
  <c r="G13" i="5"/>
  <c r="O13" i="5"/>
  <c r="C13" i="5"/>
  <c r="M30" i="5"/>
  <c r="I30" i="5"/>
  <c r="C30" i="5"/>
  <c r="G30" i="5"/>
  <c r="O30" i="5"/>
  <c r="L30" i="5"/>
  <c r="D30" i="5"/>
  <c r="E30" i="5"/>
  <c r="Q30" i="5"/>
  <c r="K30" i="5"/>
  <c r="H30" i="5"/>
  <c r="P30" i="5"/>
  <c r="I22" i="5"/>
  <c r="M22" i="5"/>
  <c r="Q22" i="5"/>
  <c r="D22" i="5"/>
  <c r="K22" i="5"/>
  <c r="H22" i="5"/>
  <c r="P22" i="5"/>
  <c r="L22" i="5"/>
  <c r="E22" i="5"/>
  <c r="O22" i="5"/>
  <c r="C22" i="5"/>
  <c r="G22" i="5"/>
  <c r="H28" i="5"/>
  <c r="P28" i="5"/>
  <c r="C28" i="5"/>
  <c r="I28" i="5"/>
  <c r="Q28" i="5"/>
  <c r="E28" i="5"/>
  <c r="O28" i="5"/>
  <c r="L28" i="5"/>
  <c r="G28" i="5"/>
  <c r="M28" i="5"/>
  <c r="D28" i="5"/>
  <c r="K28" i="5"/>
  <c r="M17" i="5"/>
  <c r="C17" i="5"/>
  <c r="I17" i="5"/>
  <c r="Q17" i="5"/>
  <c r="P17" i="5"/>
  <c r="D17" i="5"/>
  <c r="K17" i="5"/>
  <c r="G17" i="5"/>
  <c r="O17" i="5"/>
  <c r="H17" i="5"/>
  <c r="E17" i="5"/>
  <c r="L17" i="5"/>
  <c r="O20" i="5"/>
  <c r="E20" i="5"/>
  <c r="L20" i="5"/>
  <c r="M20" i="5"/>
  <c r="G20" i="5"/>
  <c r="D20" i="5"/>
  <c r="C20" i="5"/>
  <c r="H20" i="5"/>
  <c r="P20" i="5"/>
  <c r="K20" i="5"/>
  <c r="I20" i="5"/>
  <c r="Q20" i="5"/>
  <c r="H3" i="5"/>
  <c r="K3" i="5"/>
  <c r="D3" i="5"/>
  <c r="P3" i="5"/>
  <c r="L3" i="5"/>
  <c r="E3" i="5"/>
  <c r="G3" i="5"/>
  <c r="C3" i="5"/>
  <c r="Q3" i="5"/>
  <c r="O3" i="5"/>
  <c r="I3" i="5"/>
  <c r="M3" i="5"/>
  <c r="C16" i="5"/>
  <c r="K16" i="5"/>
  <c r="H16" i="5"/>
  <c r="P16" i="5"/>
  <c r="I16" i="5"/>
  <c r="M16" i="5"/>
  <c r="E16" i="5"/>
  <c r="Q16" i="5"/>
  <c r="G16" i="5"/>
  <c r="O16" i="5"/>
  <c r="L16" i="5"/>
  <c r="D16" i="5"/>
  <c r="C32" i="5"/>
  <c r="K32" i="5"/>
  <c r="H32" i="5"/>
  <c r="P32" i="5"/>
  <c r="I32" i="5"/>
  <c r="E32" i="5"/>
  <c r="Q32" i="5"/>
  <c r="G32" i="5"/>
  <c r="O32" i="5"/>
  <c r="L32" i="5"/>
  <c r="M32" i="5"/>
  <c r="D32" i="5"/>
  <c r="T317" i="1"/>
  <c r="T457" i="1"/>
  <c r="T4" i="1"/>
  <c r="T63" i="1"/>
  <c r="T289" i="1"/>
  <c r="T61" i="1"/>
  <c r="T307" i="1"/>
  <c r="T459" i="1"/>
  <c r="T51" i="1"/>
  <c r="T503" i="1"/>
  <c r="T46" i="1"/>
  <c r="T59" i="1"/>
  <c r="T478" i="1"/>
  <c r="T52" i="1"/>
  <c r="T56" i="1"/>
  <c r="T53" i="1"/>
  <c r="T500" i="1"/>
  <c r="T64" i="1"/>
  <c r="T60" i="1"/>
  <c r="T275" i="1"/>
  <c r="T70" i="1"/>
  <c r="T71" i="1"/>
  <c r="T34" i="1"/>
  <c r="T39" i="1"/>
  <c r="T38" i="1"/>
  <c r="T37" i="1"/>
  <c r="T21" i="1"/>
  <c r="T495" i="1"/>
  <c r="T73" i="1"/>
  <c r="T514" i="1"/>
  <c r="T57" i="1"/>
  <c r="T48" i="1"/>
  <c r="T504" i="1"/>
  <c r="T502" i="1"/>
  <c r="T47" i="1"/>
  <c r="T55" i="1"/>
  <c r="T288" i="1"/>
  <c r="T54" i="1"/>
  <c r="T469" i="1"/>
  <c r="T58" i="1"/>
  <c r="T50" i="1"/>
  <c r="T62" i="1"/>
  <c r="T49" i="1"/>
  <c r="T501" i="1"/>
  <c r="E9" i="10" a="1"/>
  <c r="E14" i="10" a="1"/>
  <c r="G20" i="8" a="1"/>
  <c r="G28" i="10" a="1"/>
  <c r="G20" i="9" a="1"/>
  <c r="G23" i="8" a="1"/>
  <c r="G7" i="8" a="1"/>
  <c r="E12" i="8" a="1"/>
  <c r="E33" i="10" a="1"/>
  <c r="G9" i="8" a="1"/>
  <c r="E34" i="8" a="1"/>
  <c r="G31" i="9" a="1"/>
  <c r="E20" i="9" a="1"/>
  <c r="E22" i="8" a="1"/>
  <c r="E17" i="8" a="1"/>
  <c r="E27" i="9" a="1"/>
  <c r="G21" i="9" a="1"/>
  <c r="G25" i="9" a="1"/>
  <c r="G41" i="10" a="1"/>
  <c r="E32" i="8" a="1"/>
  <c r="E40" i="9" a="1"/>
  <c r="E30" i="8" a="1"/>
  <c r="E18" i="10" a="1"/>
  <c r="E36" i="8" a="1"/>
  <c r="G42" i="10" a="1"/>
  <c r="E42" i="10" a="1"/>
  <c r="E23" i="10" a="1"/>
  <c r="G9" i="10" a="1"/>
  <c r="G30" i="8" a="1"/>
  <c r="G11" i="10" a="1"/>
  <c r="E24" i="8" a="1"/>
  <c r="E32" i="10" a="1"/>
  <c r="E43" i="10" a="1"/>
  <c r="G33" i="9" a="1"/>
  <c r="G14" i="10" a="1"/>
  <c r="E7" i="8" a="1"/>
  <c r="G36" i="8" a="1"/>
  <c r="E11" i="10" a="1"/>
  <c r="G30" i="10" a="1"/>
  <c r="E33" i="9" a="1"/>
  <c r="G11" i="8" a="1"/>
  <c r="E18" i="9" a="1"/>
  <c r="E19" i="9" a="1"/>
  <c r="E30" i="9" a="1"/>
  <c r="E21" i="8" a="1"/>
  <c r="E10" i="8" a="1"/>
  <c r="G40" i="9" a="1"/>
  <c r="E32" i="9" a="1"/>
  <c r="G12" i="8" a="1"/>
  <c r="E25" i="9" a="1"/>
  <c r="E20" i="8" a="1"/>
  <c r="E7" i="9" a="1"/>
  <c r="G21" i="8" a="1"/>
  <c r="E24" i="9" a="1"/>
  <c r="E31" i="9" a="1"/>
  <c r="G34" i="8" a="1"/>
  <c r="E39" i="8" a="1"/>
  <c r="E30" i="10" a="1"/>
  <c r="E26" i="8" a="1"/>
  <c r="G22" i="8" a="1"/>
  <c r="E27" i="8" a="1"/>
  <c r="G23" i="10" a="1"/>
  <c r="G31" i="8" a="1"/>
  <c r="G17" i="10" a="1"/>
  <c r="G34" i="9" a="1"/>
  <c r="G27" i="9" a="1"/>
  <c r="E17" i="10" a="1"/>
  <c r="G30" i="9" a="1"/>
  <c r="G18" i="10" a="1"/>
  <c r="G32" i="8" a="1"/>
  <c r="G24" i="9" a="1"/>
  <c r="E28" i="10" a="1"/>
  <c r="E19" i="10" a="1"/>
  <c r="G16" i="9" a="1"/>
  <c r="G19" i="9" a="1"/>
  <c r="E11" i="8" a="1"/>
  <c r="G39" i="8" a="1"/>
  <c r="G27" i="8" a="1"/>
  <c r="E34" i="9" a="1"/>
  <c r="G33" i="10" a="1"/>
  <c r="G7" i="9" a="1"/>
  <c r="E12" i="9" a="1"/>
  <c r="E46" i="10" a="1"/>
  <c r="E39" i="10" a="1"/>
  <c r="E41" i="10" a="1"/>
  <c r="G19" i="10" a="1"/>
  <c r="E9" i="8" a="1"/>
  <c r="G13" i="9" a="1"/>
  <c r="G18" i="8" a="1"/>
  <c r="G43" i="10" a="1"/>
  <c r="E18" i="8" a="1"/>
  <c r="G38" i="10" a="1"/>
  <c r="E24" i="10" a="1"/>
  <c r="G24" i="10" a="1"/>
  <c r="G29" i="9" a="1"/>
  <c r="G39" i="10" a="1"/>
  <c r="G46" i="10" a="1"/>
  <c r="E23" i="8" a="1"/>
  <c r="G12" i="9" a="1"/>
  <c r="E38" i="10" a="1"/>
  <c r="G17" i="8" a="1"/>
  <c r="G24" i="8" a="1"/>
  <c r="G32" i="9" a="1"/>
  <c r="G26" i="8" a="1"/>
  <c r="E31" i="8" a="1"/>
  <c r="E13" i="9" a="1"/>
  <c r="E21" i="9" a="1"/>
  <c r="E16" i="9" a="1"/>
  <c r="G32" i="10" a="1"/>
  <c r="E29" i="9" a="1"/>
  <c r="G10" i="8" a="1"/>
  <c r="G18" i="9" a="1"/>
  <c r="V67" i="6" l="1"/>
  <c r="U67" i="6"/>
  <c r="T67" i="6"/>
  <c r="E62" i="6"/>
  <c r="D62" i="6"/>
  <c r="C62" i="6"/>
  <c r="U62" i="6"/>
  <c r="T62" i="6"/>
  <c r="V62" i="6"/>
  <c r="V60" i="6"/>
  <c r="T60" i="6"/>
  <c r="U60" i="6"/>
  <c r="V51" i="6"/>
  <c r="U51" i="6"/>
  <c r="T51" i="6"/>
  <c r="E65" i="6"/>
  <c r="D65" i="6"/>
  <c r="C65" i="6"/>
  <c r="V40" i="6"/>
  <c r="U40" i="6"/>
  <c r="T40" i="6"/>
  <c r="E73" i="6"/>
  <c r="D73" i="6"/>
  <c r="C73" i="6"/>
  <c r="U54" i="6"/>
  <c r="V54" i="6"/>
  <c r="T54" i="6"/>
  <c r="V65" i="6"/>
  <c r="U65" i="6"/>
  <c r="T65" i="6"/>
  <c r="E66" i="6"/>
  <c r="D66" i="6"/>
  <c r="C66" i="6"/>
  <c r="U58" i="6"/>
  <c r="T58" i="6"/>
  <c r="V58" i="6"/>
  <c r="E45" i="6"/>
  <c r="C45" i="6"/>
  <c r="D45" i="6"/>
  <c r="V53" i="6"/>
  <c r="U53" i="6"/>
  <c r="T53" i="6"/>
  <c r="C63" i="6"/>
  <c r="E63" i="6"/>
  <c r="D63" i="6"/>
  <c r="V63" i="6"/>
  <c r="U63" i="6"/>
  <c r="T63" i="6"/>
  <c r="D60" i="6"/>
  <c r="C60" i="6"/>
  <c r="E60" i="6"/>
  <c r="E49" i="6"/>
  <c r="C49" i="6"/>
  <c r="D49" i="6"/>
  <c r="U46" i="6"/>
  <c r="T46" i="6"/>
  <c r="V46" i="6"/>
  <c r="D64" i="6"/>
  <c r="E64" i="6"/>
  <c r="C64" i="6"/>
  <c r="V73" i="6"/>
  <c r="U73" i="6"/>
  <c r="T73" i="6"/>
  <c r="E53" i="6"/>
  <c r="C53" i="6"/>
  <c r="D53" i="6"/>
  <c r="V57" i="6"/>
  <c r="U57" i="6"/>
  <c r="T57" i="6"/>
  <c r="C67" i="6"/>
  <c r="E67" i="6"/>
  <c r="D67" i="6"/>
  <c r="V49" i="6"/>
  <c r="U49" i="6"/>
  <c r="T49" i="6"/>
  <c r="U52" i="6"/>
  <c r="T52" i="6"/>
  <c r="V52" i="6"/>
  <c r="E46" i="6"/>
  <c r="D46" i="6"/>
  <c r="C46" i="6"/>
  <c r="C51" i="6"/>
  <c r="E51" i="6"/>
  <c r="D51" i="6"/>
  <c r="E40" i="6"/>
  <c r="D40" i="6"/>
  <c r="C40" i="6"/>
  <c r="E54" i="6"/>
  <c r="D54" i="6"/>
  <c r="C54" i="6"/>
  <c r="V64" i="6"/>
  <c r="U64" i="6"/>
  <c r="T64" i="6"/>
  <c r="E52" i="6"/>
  <c r="D52" i="6"/>
  <c r="C52" i="6"/>
  <c r="V45" i="6"/>
  <c r="U45" i="6"/>
  <c r="T45" i="6"/>
  <c r="E57" i="6"/>
  <c r="D57" i="6"/>
  <c r="C57" i="6"/>
  <c r="E58" i="6"/>
  <c r="D58" i="6"/>
  <c r="C58" i="6"/>
  <c r="U66" i="6"/>
  <c r="T66" i="6"/>
  <c r="V66" i="6"/>
  <c r="I7" i="10"/>
  <c r="I20" i="10"/>
  <c r="M37" i="6"/>
  <c r="AC37" i="6"/>
  <c r="U37" i="6"/>
  <c r="T37" i="6"/>
  <c r="O37" i="6"/>
  <c r="L37" i="6"/>
  <c r="Q37" i="6"/>
  <c r="E37" i="6"/>
  <c r="C37" i="6"/>
  <c r="P37" i="6"/>
  <c r="U45" i="7"/>
  <c r="Z37" i="6"/>
  <c r="V37" i="6"/>
  <c r="H37" i="6"/>
  <c r="I37" i="6"/>
  <c r="AG37" i="6"/>
  <c r="G37" i="6"/>
  <c r="AH37" i="6"/>
  <c r="D37" i="6"/>
  <c r="X37" i="6"/>
  <c r="K37" i="6"/>
  <c r="AB37" i="6"/>
  <c r="Y37" i="6"/>
  <c r="AF37" i="6"/>
  <c r="AD37" i="6"/>
  <c r="AG45" i="7"/>
  <c r="AD45" i="7"/>
  <c r="AB45" i="7"/>
  <c r="D45" i="7"/>
  <c r="AH45" i="7"/>
  <c r="Z45" i="7"/>
  <c r="L45" i="7"/>
  <c r="Q45" i="7"/>
  <c r="I45" i="7"/>
  <c r="E45" i="7"/>
  <c r="K45" i="7"/>
  <c r="H45" i="7"/>
  <c r="Y45" i="7"/>
  <c r="O45" i="7"/>
  <c r="G45" i="7"/>
  <c r="P45" i="7"/>
  <c r="C45" i="7"/>
  <c r="AC45" i="7"/>
  <c r="T45" i="7"/>
  <c r="M45" i="7"/>
  <c r="AF45" i="7"/>
  <c r="X45" i="7"/>
  <c r="V45" i="7"/>
  <c r="I44" i="10"/>
  <c r="I22" i="10"/>
  <c r="I29" i="10"/>
  <c r="I10" i="10"/>
  <c r="R9" i="6"/>
  <c r="R14" i="6"/>
  <c r="I10" i="9"/>
  <c r="R29" i="6"/>
  <c r="I45" i="10"/>
  <c r="R20" i="7"/>
  <c r="R26" i="7"/>
  <c r="I15" i="10"/>
  <c r="I21" i="10"/>
  <c r="N42" i="7"/>
  <c r="J29" i="6"/>
  <c r="R3" i="6"/>
  <c r="AE15" i="6"/>
  <c r="AI22" i="5"/>
  <c r="J42" i="7"/>
  <c r="AE26" i="7"/>
  <c r="E30" i="10"/>
  <c r="G30" i="10"/>
  <c r="AB36" i="5"/>
  <c r="J36" i="6"/>
  <c r="V36" i="5"/>
  <c r="AE20" i="5"/>
  <c r="AE22" i="5"/>
  <c r="N30" i="6"/>
  <c r="AA35" i="5"/>
  <c r="N26" i="7"/>
  <c r="AC36" i="5"/>
  <c r="AI35" i="5"/>
  <c r="J26" i="7"/>
  <c r="AG36" i="5"/>
  <c r="U36" i="5"/>
  <c r="W26" i="7"/>
  <c r="X71" i="7" s="1"/>
  <c r="J39" i="7"/>
  <c r="AD36" i="5"/>
  <c r="T36" i="5"/>
  <c r="AA14" i="6"/>
  <c r="AA26" i="7"/>
  <c r="C71" i="7"/>
  <c r="D71" i="7"/>
  <c r="E71" i="7"/>
  <c r="F26" i="7"/>
  <c r="AI26" i="6"/>
  <c r="X36" i="5"/>
  <c r="Y36" i="5"/>
  <c r="AI20" i="7"/>
  <c r="AA13" i="5"/>
  <c r="J14" i="6"/>
  <c r="W71" i="7"/>
  <c r="V71" i="7"/>
  <c r="U71" i="7"/>
  <c r="T71" i="7"/>
  <c r="Z36" i="5"/>
  <c r="AH36" i="5"/>
  <c r="AA7" i="5"/>
  <c r="AE6" i="5"/>
  <c r="AF36" i="5"/>
  <c r="AI28" i="5"/>
  <c r="J10" i="7"/>
  <c r="AI28" i="6"/>
  <c r="AI26" i="7"/>
  <c r="C36" i="5"/>
  <c r="I38" i="9"/>
  <c r="I25" i="10"/>
  <c r="I48" i="10"/>
  <c r="L36" i="5"/>
  <c r="J28" i="5"/>
  <c r="G36" i="5"/>
  <c r="M36" i="5"/>
  <c r="E36" i="5"/>
  <c r="P36" i="5"/>
  <c r="I36" i="5"/>
  <c r="D36" i="5"/>
  <c r="O36" i="5"/>
  <c r="K36" i="5"/>
  <c r="Q36" i="5"/>
  <c r="H36" i="5"/>
  <c r="AI8" i="6"/>
  <c r="I13" i="10"/>
  <c r="I12" i="10"/>
  <c r="E14" i="10"/>
  <c r="G28" i="10"/>
  <c r="E17" i="10"/>
  <c r="E18" i="10"/>
  <c r="E32" i="10"/>
  <c r="G18" i="10"/>
  <c r="G42" i="10"/>
  <c r="G38" i="10"/>
  <c r="G14" i="10"/>
  <c r="G39" i="10"/>
  <c r="E19" i="10"/>
  <c r="E23" i="10"/>
  <c r="G46" i="10"/>
  <c r="E28" i="10"/>
  <c r="G43" i="10"/>
  <c r="E11" i="10"/>
  <c r="E42" i="10"/>
  <c r="E38" i="10"/>
  <c r="G24" i="10"/>
  <c r="E9" i="10"/>
  <c r="G11" i="10"/>
  <c r="G32" i="10"/>
  <c r="G41" i="10"/>
  <c r="E46" i="10"/>
  <c r="G17" i="10"/>
  <c r="E43" i="10"/>
  <c r="G33" i="10"/>
  <c r="E33" i="10"/>
  <c r="E41" i="10"/>
  <c r="G19" i="10"/>
  <c r="G23" i="10"/>
  <c r="E24" i="10"/>
  <c r="G9" i="10"/>
  <c r="E39" i="10"/>
  <c r="N24" i="7"/>
  <c r="R13" i="7"/>
  <c r="I47" i="10"/>
  <c r="R19" i="7"/>
  <c r="I35" i="10"/>
  <c r="I34" i="10"/>
  <c r="I16" i="10"/>
  <c r="AE10" i="7"/>
  <c r="I37" i="10"/>
  <c r="AI29" i="7"/>
  <c r="I27" i="10"/>
  <c r="I31" i="10"/>
  <c r="I40" i="10"/>
  <c r="AI5" i="7"/>
  <c r="I36" i="10"/>
  <c r="I26" i="10"/>
  <c r="I8" i="10"/>
  <c r="I11" i="9"/>
  <c r="I28" i="8"/>
  <c r="J15" i="7"/>
  <c r="AA28" i="7"/>
  <c r="AA38" i="7"/>
  <c r="J3" i="6"/>
  <c r="R23" i="5"/>
  <c r="AI18" i="5"/>
  <c r="AI32" i="5"/>
  <c r="N22" i="5"/>
  <c r="J23" i="5"/>
  <c r="I16" i="8"/>
  <c r="AE14" i="5"/>
  <c r="R27" i="5"/>
  <c r="AA29" i="7"/>
  <c r="AE28" i="7"/>
  <c r="AI16" i="6"/>
  <c r="AA16" i="5"/>
  <c r="J26" i="6"/>
  <c r="N15" i="6"/>
  <c r="AA9" i="6"/>
  <c r="AA20" i="7"/>
  <c r="J30" i="6"/>
  <c r="AI30" i="6"/>
  <c r="AA35" i="7"/>
  <c r="AE14" i="6"/>
  <c r="R36" i="6"/>
  <c r="R29" i="7"/>
  <c r="N29" i="7"/>
  <c r="AA5" i="5"/>
  <c r="AI28" i="7"/>
  <c r="AE37" i="7"/>
  <c r="AA37" i="7"/>
  <c r="R37" i="7"/>
  <c r="AI19" i="5"/>
  <c r="AA26" i="5"/>
  <c r="AI23" i="6"/>
  <c r="AA30" i="5"/>
  <c r="AA24" i="7"/>
  <c r="R24" i="7"/>
  <c r="AI14" i="6"/>
  <c r="AE26" i="6"/>
  <c r="AE3" i="5"/>
  <c r="J9" i="6"/>
  <c r="AA28" i="5"/>
  <c r="AE8" i="6"/>
  <c r="AE34" i="7"/>
  <c r="J21" i="6"/>
  <c r="AA28" i="6"/>
  <c r="AA5" i="7"/>
  <c r="AA13" i="7"/>
  <c r="AA8" i="5"/>
  <c r="AI25" i="6"/>
  <c r="AE19" i="5"/>
  <c r="AE9" i="6"/>
  <c r="AI17" i="5"/>
  <c r="J8" i="6"/>
  <c r="N34" i="7"/>
  <c r="AI20" i="6"/>
  <c r="AI21" i="6"/>
  <c r="AA6" i="5"/>
  <c r="AA20" i="5"/>
  <c r="AA17" i="5"/>
  <c r="AI29" i="6"/>
  <c r="J3" i="5"/>
  <c r="N17" i="5"/>
  <c r="R35" i="5"/>
  <c r="AA18" i="5"/>
  <c r="AE16" i="6"/>
  <c r="AE42" i="7"/>
  <c r="AA23" i="6"/>
  <c r="AI35" i="7"/>
  <c r="AI14" i="5"/>
  <c r="J14" i="5"/>
  <c r="R8" i="5"/>
  <c r="N16" i="6"/>
  <c r="AE27" i="6"/>
  <c r="AI27" i="6"/>
  <c r="J16" i="6"/>
  <c r="AI7" i="7"/>
  <c r="AE5" i="5"/>
  <c r="AE15" i="7"/>
  <c r="R27" i="6"/>
  <c r="I36" i="9"/>
  <c r="AE7" i="7"/>
  <c r="R17" i="6"/>
  <c r="J17" i="5"/>
  <c r="AA7" i="7"/>
  <c r="AA36" i="6"/>
  <c r="R14" i="7"/>
  <c r="AA25" i="6"/>
  <c r="J17" i="6"/>
  <c r="R28" i="7"/>
  <c r="J37" i="7"/>
  <c r="AI26" i="5"/>
  <c r="I8" i="8"/>
  <c r="I33" i="8"/>
  <c r="I37" i="9"/>
  <c r="I15" i="9"/>
  <c r="I15" i="8"/>
  <c r="I19" i="8"/>
  <c r="I35" i="8"/>
  <c r="E18" i="8"/>
  <c r="E23" i="8"/>
  <c r="E11" i="8"/>
  <c r="E27" i="8"/>
  <c r="E9" i="8"/>
  <c r="E7" i="9"/>
  <c r="E29" i="9"/>
  <c r="E12" i="9"/>
  <c r="E24" i="9"/>
  <c r="E32" i="9"/>
  <c r="E18" i="9"/>
  <c r="E32" i="8"/>
  <c r="E39" i="8"/>
  <c r="G27" i="8"/>
  <c r="G20" i="8"/>
  <c r="G24" i="8"/>
  <c r="G21" i="8"/>
  <c r="G26" i="8"/>
  <c r="G12" i="9"/>
  <c r="G25" i="9"/>
  <c r="E34" i="8"/>
  <c r="E40" i="9"/>
  <c r="E34" i="9"/>
  <c r="G33" i="9"/>
  <c r="E7" i="8"/>
  <c r="G31" i="8"/>
  <c r="G32" i="8"/>
  <c r="G27" i="9"/>
  <c r="G34" i="9"/>
  <c r="E16" i="9"/>
  <c r="G17" i="8"/>
  <c r="E36" i="8"/>
  <c r="E30" i="8"/>
  <c r="G29" i="9"/>
  <c r="E21" i="9"/>
  <c r="G9" i="8"/>
  <c r="G22" i="8"/>
  <c r="G30" i="8"/>
  <c r="G19" i="9"/>
  <c r="G34" i="8"/>
  <c r="G18" i="8"/>
  <c r="G39" i="8"/>
  <c r="E20" i="8"/>
  <c r="E26" i="8"/>
  <c r="E10" i="8"/>
  <c r="E22" i="8"/>
  <c r="G40" i="9"/>
  <c r="G21" i="9"/>
  <c r="G23" i="8"/>
  <c r="G20" i="9"/>
  <c r="E30" i="9"/>
  <c r="G16" i="9"/>
  <c r="E21" i="8"/>
  <c r="E17" i="8"/>
  <c r="E31" i="8"/>
  <c r="G31" i="9"/>
  <c r="E20" i="9"/>
  <c r="G36" i="8"/>
  <c r="G30" i="9"/>
  <c r="G7" i="8"/>
  <c r="E19" i="9"/>
  <c r="E13" i="9"/>
  <c r="G11" i="8"/>
  <c r="E27" i="9"/>
  <c r="G32" i="9"/>
  <c r="E33" i="9"/>
  <c r="E24" i="8"/>
  <c r="E12" i="8"/>
  <c r="G7" i="9"/>
  <c r="G12" i="8"/>
  <c r="G10" i="8"/>
  <c r="E31" i="9"/>
  <c r="G13" i="9"/>
  <c r="G24" i="9"/>
  <c r="E25" i="9"/>
  <c r="G18" i="9"/>
  <c r="D64" i="5"/>
  <c r="E64" i="5"/>
  <c r="C64" i="5"/>
  <c r="F30" i="5"/>
  <c r="G66" i="5" s="1"/>
  <c r="C66" i="5"/>
  <c r="E66" i="5"/>
  <c r="D66" i="5"/>
  <c r="E54" i="5"/>
  <c r="D54" i="5"/>
  <c r="C54" i="5"/>
  <c r="T84" i="7"/>
  <c r="W39" i="7"/>
  <c r="Z84" i="7" s="1"/>
  <c r="V84" i="7"/>
  <c r="U84" i="7"/>
  <c r="R39" i="7"/>
  <c r="V44" i="5"/>
  <c r="T44" i="5"/>
  <c r="U44" i="5"/>
  <c r="W8" i="5"/>
  <c r="U52" i="7"/>
  <c r="T52" i="7"/>
  <c r="V52" i="7"/>
  <c r="W7" i="7"/>
  <c r="X52" i="7" s="1"/>
  <c r="V59" i="7"/>
  <c r="U59" i="7"/>
  <c r="W14" i="7"/>
  <c r="Z59" i="7" s="1"/>
  <c r="T59" i="7"/>
  <c r="V63" i="5"/>
  <c r="U63" i="5"/>
  <c r="T63" i="5"/>
  <c r="W27" i="5"/>
  <c r="F28" i="7"/>
  <c r="F73" i="7" s="1"/>
  <c r="C73" i="7"/>
  <c r="E73" i="7"/>
  <c r="D73" i="7"/>
  <c r="AI23" i="5"/>
  <c r="F15" i="7"/>
  <c r="H60" i="7" s="1"/>
  <c r="W16" i="6"/>
  <c r="W53" i="6" s="1"/>
  <c r="F26" i="6"/>
  <c r="W26" i="6"/>
  <c r="N9" i="6"/>
  <c r="U79" i="7"/>
  <c r="T79" i="7"/>
  <c r="V79" i="7"/>
  <c r="V64" i="7"/>
  <c r="U64" i="7"/>
  <c r="T64" i="7"/>
  <c r="W19" i="7"/>
  <c r="W64" i="7" s="1"/>
  <c r="R42" i="7"/>
  <c r="F23" i="6"/>
  <c r="F60" i="6" s="1"/>
  <c r="AA20" i="6"/>
  <c r="V66" i="5"/>
  <c r="T66" i="5"/>
  <c r="U66" i="5"/>
  <c r="W30" i="5"/>
  <c r="X66" i="5" s="1"/>
  <c r="N28" i="6"/>
  <c r="AA12" i="6"/>
  <c r="J12" i="6"/>
  <c r="F12" i="6"/>
  <c r="F49" i="6" s="1"/>
  <c r="E50" i="7"/>
  <c r="D50" i="7"/>
  <c r="F5" i="7"/>
  <c r="C50" i="7"/>
  <c r="AI13" i="7"/>
  <c r="AA29" i="6"/>
  <c r="V80" i="7"/>
  <c r="T80" i="7"/>
  <c r="U80" i="7"/>
  <c r="W35" i="7"/>
  <c r="X80" i="7" s="1"/>
  <c r="AI36" i="6"/>
  <c r="W36" i="6"/>
  <c r="J14" i="7"/>
  <c r="AE29" i="7"/>
  <c r="N25" i="6"/>
  <c r="AA17" i="6"/>
  <c r="AE18" i="5"/>
  <c r="W28" i="7"/>
  <c r="Z73" i="7" s="1"/>
  <c r="U73" i="7"/>
  <c r="V73" i="7"/>
  <c r="T73" i="7"/>
  <c r="C82" i="7"/>
  <c r="F37" i="7"/>
  <c r="F82" i="7" s="1"/>
  <c r="E82" i="7"/>
  <c r="D82" i="7"/>
  <c r="AE23" i="5"/>
  <c r="E83" i="7"/>
  <c r="D83" i="7"/>
  <c r="C83" i="7"/>
  <c r="F38" i="7"/>
  <c r="I83" i="7" s="1"/>
  <c r="J38" i="7"/>
  <c r="C60" i="7"/>
  <c r="E60" i="7"/>
  <c r="D60" i="7"/>
  <c r="F27" i="6"/>
  <c r="I64" i="6" s="1"/>
  <c r="AI3" i="5"/>
  <c r="U43" i="5"/>
  <c r="T43" i="5"/>
  <c r="V43" i="5"/>
  <c r="W7" i="5"/>
  <c r="W34" i="7"/>
  <c r="D79" i="7"/>
  <c r="F34" i="7"/>
  <c r="H79" i="7" s="1"/>
  <c r="C79" i="7"/>
  <c r="E79" i="7"/>
  <c r="R34" i="7"/>
  <c r="J19" i="7"/>
  <c r="AE20" i="7"/>
  <c r="V55" i="7"/>
  <c r="W10" i="7"/>
  <c r="Z55" i="7" s="1"/>
  <c r="U55" i="7"/>
  <c r="T55" i="7"/>
  <c r="D55" i="7"/>
  <c r="C55" i="7"/>
  <c r="E55" i="7"/>
  <c r="AE23" i="6"/>
  <c r="N20" i="6"/>
  <c r="V50" i="7"/>
  <c r="U50" i="7"/>
  <c r="W5" i="7"/>
  <c r="T50" i="7"/>
  <c r="AI13" i="5"/>
  <c r="W13" i="7"/>
  <c r="U58" i="7"/>
  <c r="V58" i="7"/>
  <c r="T58" i="7"/>
  <c r="F13" i="7"/>
  <c r="E58" i="7"/>
  <c r="D58" i="7"/>
  <c r="C58" i="7"/>
  <c r="N13" i="7"/>
  <c r="U50" i="5"/>
  <c r="V50" i="5"/>
  <c r="T50" i="5"/>
  <c r="W14" i="5"/>
  <c r="Z50" i="5" s="1"/>
  <c r="N14" i="6"/>
  <c r="D52" i="5"/>
  <c r="C52" i="5"/>
  <c r="E52" i="5"/>
  <c r="J35" i="5"/>
  <c r="F19" i="5"/>
  <c r="F55" i="5" s="1"/>
  <c r="C55" i="5"/>
  <c r="E55" i="5"/>
  <c r="D55" i="5"/>
  <c r="C42" i="5"/>
  <c r="E42" i="5"/>
  <c r="D42" i="5"/>
  <c r="F3" i="6"/>
  <c r="F40" i="6" s="1"/>
  <c r="F39" i="7"/>
  <c r="I84" i="7" s="1"/>
  <c r="AI14" i="7"/>
  <c r="U74" i="7"/>
  <c r="W29" i="7"/>
  <c r="V74" i="7"/>
  <c r="T74" i="7"/>
  <c r="V42" i="5"/>
  <c r="T42" i="5"/>
  <c r="U42" i="5"/>
  <c r="W6" i="5"/>
  <c r="W42" i="5" s="1"/>
  <c r="J25" i="6"/>
  <c r="F17" i="6"/>
  <c r="AA27" i="5"/>
  <c r="T54" i="5"/>
  <c r="U54" i="5"/>
  <c r="V54" i="5"/>
  <c r="W18" i="5"/>
  <c r="Y54" i="5" s="1"/>
  <c r="N37" i="7"/>
  <c r="F16" i="6"/>
  <c r="AE32" i="5"/>
  <c r="AI20" i="5"/>
  <c r="AE17" i="5"/>
  <c r="N19" i="7"/>
  <c r="F10" i="7"/>
  <c r="F55" i="7" s="1"/>
  <c r="W20" i="6"/>
  <c r="W57" i="6" s="1"/>
  <c r="J20" i="6"/>
  <c r="F30" i="6"/>
  <c r="W24" i="7"/>
  <c r="X69" i="7" s="1"/>
  <c r="U69" i="7"/>
  <c r="V69" i="7"/>
  <c r="T69" i="7"/>
  <c r="J28" i="6"/>
  <c r="W12" i="6"/>
  <c r="U49" i="5"/>
  <c r="T49" i="5"/>
  <c r="V49" i="5"/>
  <c r="W13" i="5"/>
  <c r="N29" i="6"/>
  <c r="R35" i="7"/>
  <c r="AA14" i="5"/>
  <c r="V71" i="5"/>
  <c r="U71" i="5"/>
  <c r="T71" i="5"/>
  <c r="W35" i="5"/>
  <c r="I25" i="8"/>
  <c r="I39" i="9"/>
  <c r="F13" i="5"/>
  <c r="F49" i="5" s="1"/>
  <c r="E49" i="5"/>
  <c r="D49" i="5"/>
  <c r="C49" i="5"/>
  <c r="C50" i="5"/>
  <c r="E50" i="5"/>
  <c r="D50" i="5"/>
  <c r="N7" i="7"/>
  <c r="F29" i="7"/>
  <c r="E74" i="7"/>
  <c r="D74" i="7"/>
  <c r="C74" i="7"/>
  <c r="AE25" i="6"/>
  <c r="W37" i="7"/>
  <c r="T82" i="7"/>
  <c r="U82" i="7"/>
  <c r="V82" i="7"/>
  <c r="U60" i="7"/>
  <c r="V60" i="7"/>
  <c r="T60" i="7"/>
  <c r="W27" i="6"/>
  <c r="Y64" i="6" s="1"/>
  <c r="AA27" i="6"/>
  <c r="V68" i="5"/>
  <c r="U68" i="5"/>
  <c r="T68" i="5"/>
  <c r="W32" i="5"/>
  <c r="Y68" i="5" s="1"/>
  <c r="V52" i="5"/>
  <c r="T52" i="5"/>
  <c r="U52" i="5"/>
  <c r="W16" i="5"/>
  <c r="W52" i="5" s="1"/>
  <c r="F15" i="6"/>
  <c r="G52" i="6" s="1"/>
  <c r="W8" i="6"/>
  <c r="J34" i="7"/>
  <c r="AA19" i="7"/>
  <c r="F20" i="7"/>
  <c r="F65" i="7" s="1"/>
  <c r="E65" i="7"/>
  <c r="D65" i="7"/>
  <c r="C65" i="7"/>
  <c r="F20" i="6"/>
  <c r="J24" i="7"/>
  <c r="AA21" i="6"/>
  <c r="F21" i="6"/>
  <c r="K58" i="6" s="1"/>
  <c r="W29" i="6"/>
  <c r="X66" i="6" s="1"/>
  <c r="J35" i="7"/>
  <c r="D80" i="7"/>
  <c r="C80" i="7"/>
  <c r="E80" i="7"/>
  <c r="F35" i="7"/>
  <c r="I29" i="8"/>
  <c r="D56" i="5"/>
  <c r="C56" i="5"/>
  <c r="E56" i="5"/>
  <c r="C58" i="5"/>
  <c r="E58" i="5"/>
  <c r="D58" i="5"/>
  <c r="C62" i="5"/>
  <c r="D62" i="5"/>
  <c r="E62" i="5"/>
  <c r="N8" i="5"/>
  <c r="J27" i="5"/>
  <c r="AA39" i="7"/>
  <c r="N39" i="7"/>
  <c r="N36" i="6"/>
  <c r="AE36" i="6"/>
  <c r="AE14" i="7"/>
  <c r="N14" i="7"/>
  <c r="J29" i="7"/>
  <c r="F25" i="6"/>
  <c r="AI17" i="6"/>
  <c r="AI27" i="5"/>
  <c r="J28" i="7"/>
  <c r="AI38" i="7"/>
  <c r="AE38" i="7"/>
  <c r="AA15" i="7"/>
  <c r="W15" i="7"/>
  <c r="AA19" i="5"/>
  <c r="V55" i="5"/>
  <c r="U55" i="5"/>
  <c r="T55" i="5"/>
  <c r="W19" i="5"/>
  <c r="AA16" i="6"/>
  <c r="AI16" i="5"/>
  <c r="R26" i="6"/>
  <c r="W15" i="6"/>
  <c r="W52" i="6" s="1"/>
  <c r="R15" i="6"/>
  <c r="V56" i="5"/>
  <c r="T56" i="5"/>
  <c r="U56" i="5"/>
  <c r="W9" i="6"/>
  <c r="F9" i="6"/>
  <c r="AI7" i="5"/>
  <c r="AA34" i="7"/>
  <c r="AE19" i="7"/>
  <c r="T87" i="7"/>
  <c r="U87" i="7"/>
  <c r="W42" i="7"/>
  <c r="Z87" i="7" s="1"/>
  <c r="V87" i="7"/>
  <c r="J20" i="7"/>
  <c r="R23" i="6"/>
  <c r="AE20" i="6"/>
  <c r="W30" i="6"/>
  <c r="AE30" i="6"/>
  <c r="W21" i="6"/>
  <c r="F28" i="6"/>
  <c r="F65" i="6" s="1"/>
  <c r="N12" i="6"/>
  <c r="AE5" i="7"/>
  <c r="F14" i="6"/>
  <c r="J51" i="6" s="1"/>
  <c r="I38" i="8"/>
  <c r="R3" i="5"/>
  <c r="D53" i="5"/>
  <c r="E53" i="5"/>
  <c r="C53" i="5"/>
  <c r="E71" i="5"/>
  <c r="D71" i="5"/>
  <c r="C71" i="5"/>
  <c r="E43" i="5"/>
  <c r="D43" i="5"/>
  <c r="C43" i="5"/>
  <c r="F8" i="5"/>
  <c r="C44" i="5"/>
  <c r="D44" i="5"/>
  <c r="E44" i="5"/>
  <c r="E41" i="5"/>
  <c r="C41" i="5"/>
  <c r="D41" i="5"/>
  <c r="F27" i="5"/>
  <c r="G63" i="5" s="1"/>
  <c r="C63" i="5"/>
  <c r="E63" i="5"/>
  <c r="D63" i="5"/>
  <c r="AE39" i="7"/>
  <c r="AI8" i="5"/>
  <c r="J7" i="7"/>
  <c r="AI6" i="5"/>
  <c r="W25" i="6"/>
  <c r="N17" i="6"/>
  <c r="R15" i="7"/>
  <c r="J27" i="6"/>
  <c r="AA32" i="5"/>
  <c r="AE16" i="5"/>
  <c r="N26" i="6"/>
  <c r="AI15" i="6"/>
  <c r="J15" i="6"/>
  <c r="W20" i="5"/>
  <c r="AE7" i="5"/>
  <c r="T53" i="5"/>
  <c r="U53" i="5"/>
  <c r="V53" i="5"/>
  <c r="W17" i="5"/>
  <c r="U58" i="5"/>
  <c r="T58" i="5"/>
  <c r="V58" i="5"/>
  <c r="W22" i="5"/>
  <c r="X58" i="5" s="1"/>
  <c r="F8" i="6"/>
  <c r="F45" i="6" s="1"/>
  <c r="AI34" i="7"/>
  <c r="AA42" i="7"/>
  <c r="W20" i="7"/>
  <c r="V65" i="7"/>
  <c r="U65" i="7"/>
  <c r="T65" i="7"/>
  <c r="AI10" i="7"/>
  <c r="N10" i="7"/>
  <c r="N23" i="6"/>
  <c r="AI30" i="5"/>
  <c r="C69" i="7"/>
  <c r="E69" i="7"/>
  <c r="D69" i="7"/>
  <c r="F24" i="7"/>
  <c r="I69" i="7" s="1"/>
  <c r="N21" i="6"/>
  <c r="AE28" i="6"/>
  <c r="AE13" i="5"/>
  <c r="I13" i="8"/>
  <c r="J16" i="5"/>
  <c r="E68" i="5"/>
  <c r="D68" i="5"/>
  <c r="C68" i="5"/>
  <c r="N3" i="6"/>
  <c r="W3" i="6"/>
  <c r="W40" i="6" s="1"/>
  <c r="AE3" i="6"/>
  <c r="AI39" i="7"/>
  <c r="E84" i="7"/>
  <c r="D84" i="7"/>
  <c r="C84" i="7"/>
  <c r="AE8" i="5"/>
  <c r="R7" i="7"/>
  <c r="F36" i="6"/>
  <c r="AA14" i="7"/>
  <c r="W17" i="6"/>
  <c r="AI5" i="5"/>
  <c r="AE27" i="5"/>
  <c r="AA23" i="5"/>
  <c r="R38" i="7"/>
  <c r="N38" i="7"/>
  <c r="AI15" i="7"/>
  <c r="N15" i="7"/>
  <c r="AE26" i="5"/>
  <c r="AA26" i="6"/>
  <c r="U39" i="5"/>
  <c r="V39" i="5"/>
  <c r="W3" i="5"/>
  <c r="AA15" i="6"/>
  <c r="AI9" i="6"/>
  <c r="AE28" i="5"/>
  <c r="AA22" i="5"/>
  <c r="AA8" i="6"/>
  <c r="AI19" i="7"/>
  <c r="AI42" i="7"/>
  <c r="D87" i="7"/>
  <c r="C87" i="7"/>
  <c r="F42" i="7"/>
  <c r="I87" i="7" s="1"/>
  <c r="E87" i="7"/>
  <c r="N20" i="7"/>
  <c r="W23" i="6"/>
  <c r="W60" i="6" s="1"/>
  <c r="J23" i="6"/>
  <c r="R20" i="6"/>
  <c r="AE30" i="5"/>
  <c r="AA30" i="6"/>
  <c r="AE24" i="7"/>
  <c r="R12" i="6"/>
  <c r="AE12" i="6"/>
  <c r="J5" i="7"/>
  <c r="N5" i="7"/>
  <c r="AE29" i="6"/>
  <c r="N35" i="7"/>
  <c r="AE35" i="5"/>
  <c r="W14" i="6"/>
  <c r="J32" i="5"/>
  <c r="E39" i="5"/>
  <c r="D39" i="5"/>
  <c r="C39" i="5"/>
  <c r="N28" i="5"/>
  <c r="J30" i="5"/>
  <c r="N19" i="5"/>
  <c r="E59" i="5"/>
  <c r="D59" i="5"/>
  <c r="C59" i="5"/>
  <c r="N5" i="5"/>
  <c r="N18" i="5"/>
  <c r="AA3" i="6"/>
  <c r="AI3" i="6"/>
  <c r="F7" i="7"/>
  <c r="E52" i="7"/>
  <c r="D52" i="7"/>
  <c r="C52" i="7"/>
  <c r="F14" i="7"/>
  <c r="E59" i="7"/>
  <c r="D59" i="7"/>
  <c r="C59" i="7"/>
  <c r="R25" i="6"/>
  <c r="AE17" i="6"/>
  <c r="U41" i="5"/>
  <c r="V41" i="5"/>
  <c r="T41" i="5"/>
  <c r="W5" i="5"/>
  <c r="N28" i="7"/>
  <c r="AI37" i="7"/>
  <c r="V59" i="5"/>
  <c r="T59" i="5"/>
  <c r="U59" i="5"/>
  <c r="W23" i="5"/>
  <c r="X59" i="5" s="1"/>
  <c r="V83" i="7"/>
  <c r="W38" i="7"/>
  <c r="U83" i="7"/>
  <c r="T83" i="7"/>
  <c r="U62" i="5"/>
  <c r="T62" i="5"/>
  <c r="V62" i="5"/>
  <c r="W26" i="5"/>
  <c r="X62" i="5" s="1"/>
  <c r="N27" i="6"/>
  <c r="R16" i="6"/>
  <c r="AA3" i="5"/>
  <c r="V64" i="5"/>
  <c r="T64" i="5"/>
  <c r="U64" i="5"/>
  <c r="W28" i="5"/>
  <c r="R8" i="6"/>
  <c r="N8" i="6"/>
  <c r="E64" i="7"/>
  <c r="F19" i="7"/>
  <c r="H64" i="7" s="1"/>
  <c r="D64" i="7"/>
  <c r="C64" i="7"/>
  <c r="AA10" i="7"/>
  <c r="R10" i="7"/>
  <c r="AI24" i="7"/>
  <c r="R21" i="6"/>
  <c r="AE21" i="6"/>
  <c r="R28" i="6"/>
  <c r="W28" i="6"/>
  <c r="AI12" i="6"/>
  <c r="R5" i="7"/>
  <c r="AE13" i="7"/>
  <c r="J13" i="7"/>
  <c r="F29" i="6"/>
  <c r="AE35" i="7"/>
  <c r="I37" i="8"/>
  <c r="I14" i="8"/>
  <c r="I9" i="9"/>
  <c r="I23" i="9"/>
  <c r="J22" i="5"/>
  <c r="N13" i="5"/>
  <c r="F14" i="5"/>
  <c r="N7" i="5"/>
  <c r="J8" i="5"/>
  <c r="J18" i="5"/>
  <c r="F16" i="5"/>
  <c r="I52" i="5" s="1"/>
  <c r="F20" i="5"/>
  <c r="R28" i="5"/>
  <c r="F22" i="5"/>
  <c r="H58" i="5" s="1"/>
  <c r="R13" i="5"/>
  <c r="N35" i="5"/>
  <c r="F26" i="5"/>
  <c r="H62" i="5" s="1"/>
  <c r="N32" i="5"/>
  <c r="N3" i="5"/>
  <c r="F17" i="5"/>
  <c r="F53" i="5" s="1"/>
  <c r="R22" i="5"/>
  <c r="J13" i="5"/>
  <c r="F35" i="5"/>
  <c r="J19" i="5"/>
  <c r="R26" i="5"/>
  <c r="F7" i="5"/>
  <c r="I43" i="5" s="1"/>
  <c r="F5" i="5"/>
  <c r="R32" i="5"/>
  <c r="F32" i="5"/>
  <c r="F68" i="5" s="1"/>
  <c r="J20" i="5"/>
  <c r="R17" i="5"/>
  <c r="R30" i="5"/>
  <c r="R19" i="5"/>
  <c r="N26" i="5"/>
  <c r="J26" i="5"/>
  <c r="N6" i="5"/>
  <c r="R5" i="5"/>
  <c r="N27" i="5"/>
  <c r="F3" i="5"/>
  <c r="F23" i="5"/>
  <c r="N23" i="5"/>
  <c r="J5" i="5"/>
  <c r="F28" i="5"/>
  <c r="R6" i="5"/>
  <c r="F18" i="5"/>
  <c r="R16" i="5"/>
  <c r="N16" i="5"/>
  <c r="N20" i="5"/>
  <c r="N30" i="5"/>
  <c r="R14" i="5"/>
  <c r="R7" i="5"/>
  <c r="J6" i="5"/>
  <c r="R20" i="5"/>
  <c r="N14" i="5"/>
  <c r="J7" i="5"/>
  <c r="F6" i="5"/>
  <c r="G42" i="5" s="1"/>
  <c r="R18" i="5"/>
  <c r="AC49" i="5" l="1"/>
  <c r="AA62" i="6"/>
  <c r="K54" i="6"/>
  <c r="K63" i="6"/>
  <c r="AA49" i="6"/>
  <c r="K46" i="6"/>
  <c r="K66" i="6"/>
  <c r="AB58" i="6"/>
  <c r="Q67" i="6"/>
  <c r="N53" i="6"/>
  <c r="AB54" i="6"/>
  <c r="L57" i="6"/>
  <c r="AE63" i="6"/>
  <c r="AA51" i="6"/>
  <c r="AG51" i="6"/>
  <c r="O73" i="6"/>
  <c r="M67" i="6"/>
  <c r="O60" i="6"/>
  <c r="H66" i="6"/>
  <c r="Z51" i="6"/>
  <c r="J52" i="6"/>
  <c r="G46" i="6"/>
  <c r="Q73" i="6"/>
  <c r="AI67" i="6"/>
  <c r="I40" i="6"/>
  <c r="F57" i="6"/>
  <c r="Z64" i="6"/>
  <c r="AF60" i="6"/>
  <c r="O64" i="6"/>
  <c r="AD53" i="6"/>
  <c r="L64" i="6"/>
  <c r="Y63" i="6"/>
  <c r="X51" i="6"/>
  <c r="AC52" i="6"/>
  <c r="R62" i="6"/>
  <c r="K51" i="6"/>
  <c r="G53" i="6"/>
  <c r="H64" i="6"/>
  <c r="I49" i="6"/>
  <c r="N60" i="6"/>
  <c r="I73" i="6"/>
  <c r="AE60" i="6"/>
  <c r="G58" i="6"/>
  <c r="AE57" i="6"/>
  <c r="AD40" i="6"/>
  <c r="AI46" i="6"/>
  <c r="X52" i="6"/>
  <c r="P67" i="6"/>
  <c r="W46" i="6"/>
  <c r="AF53" i="6"/>
  <c r="I66" i="6"/>
  <c r="AE54" i="6"/>
  <c r="H46" i="6"/>
  <c r="AB67" i="6"/>
  <c r="AI52" i="6"/>
  <c r="O40" i="6"/>
  <c r="AA45" i="6"/>
  <c r="AG66" i="6"/>
  <c r="AC49" i="6"/>
  <c r="R53" i="6"/>
  <c r="X46" i="6"/>
  <c r="AB60" i="6"/>
  <c r="AF58" i="6"/>
  <c r="Q52" i="6"/>
  <c r="AI63" i="6"/>
  <c r="L58" i="6"/>
  <c r="L46" i="6"/>
  <c r="X49" i="6"/>
  <c r="L60" i="6"/>
  <c r="Z53" i="6"/>
  <c r="AD54" i="6"/>
  <c r="Y40" i="6"/>
  <c r="AI60" i="6"/>
  <c r="Q62" i="6"/>
  <c r="X67" i="6"/>
  <c r="R57" i="6"/>
  <c r="AH64" i="6"/>
  <c r="N51" i="6"/>
  <c r="AH73" i="6"/>
  <c r="O45" i="6"/>
  <c r="AH65" i="6"/>
  <c r="L66" i="6"/>
  <c r="AF57" i="6"/>
  <c r="K53" i="6"/>
  <c r="X63" i="6"/>
  <c r="AA53" i="6"/>
  <c r="X58" i="6"/>
  <c r="AH54" i="6"/>
  <c r="H62" i="6"/>
  <c r="Y67" i="6"/>
  <c r="AF66" i="6"/>
  <c r="AB66" i="6"/>
  <c r="P58" i="6"/>
  <c r="AB45" i="6"/>
  <c r="AI45" i="6"/>
  <c r="AC64" i="6"/>
  <c r="AG64" i="6"/>
  <c r="N54" i="6"/>
  <c r="N40" i="6"/>
  <c r="R51" i="6"/>
  <c r="AD52" i="6"/>
  <c r="AI49" i="6"/>
  <c r="AA73" i="6"/>
  <c r="AD73" i="6"/>
  <c r="H63" i="6"/>
  <c r="J45" i="6"/>
  <c r="N45" i="6"/>
  <c r="AG65" i="6"/>
  <c r="N65" i="6"/>
  <c r="W62" i="6"/>
  <c r="AI62" i="6"/>
  <c r="Y66" i="6"/>
  <c r="F58" i="6"/>
  <c r="Q57" i="6"/>
  <c r="M57" i="6"/>
  <c r="AF45" i="6"/>
  <c r="F52" i="6"/>
  <c r="M52" i="6"/>
  <c r="AA64" i="6"/>
  <c r="Q54" i="6"/>
  <c r="M54" i="6"/>
  <c r="P40" i="6"/>
  <c r="G40" i="6"/>
  <c r="F51" i="6"/>
  <c r="F46" i="6"/>
  <c r="AH52" i="6"/>
  <c r="AE52" i="6"/>
  <c r="Y49" i="6"/>
  <c r="L67" i="6"/>
  <c r="I67" i="6"/>
  <c r="AA57" i="6"/>
  <c r="AB57" i="6"/>
  <c r="H53" i="6"/>
  <c r="O53" i="6"/>
  <c r="AI73" i="6"/>
  <c r="W73" i="6"/>
  <c r="P64" i="6"/>
  <c r="Z46" i="6"/>
  <c r="AB46" i="6"/>
  <c r="H49" i="6"/>
  <c r="M49" i="6"/>
  <c r="K60" i="6"/>
  <c r="G60" i="6"/>
  <c r="W63" i="6"/>
  <c r="AF63" i="6"/>
  <c r="G63" i="6"/>
  <c r="P63" i="6"/>
  <c r="AB53" i="6"/>
  <c r="AH53" i="6"/>
  <c r="AE53" i="6"/>
  <c r="R45" i="6"/>
  <c r="G45" i="6"/>
  <c r="W58" i="6"/>
  <c r="P66" i="6"/>
  <c r="Z65" i="6"/>
  <c r="AC65" i="6"/>
  <c r="AF54" i="6"/>
  <c r="Z54" i="6"/>
  <c r="P73" i="6"/>
  <c r="L73" i="6"/>
  <c r="AG40" i="6"/>
  <c r="AB40" i="6"/>
  <c r="AE40" i="6"/>
  <c r="K65" i="6"/>
  <c r="G65" i="6"/>
  <c r="AB51" i="6"/>
  <c r="AH51" i="6"/>
  <c r="AH60" i="6"/>
  <c r="X60" i="6"/>
  <c r="X62" i="6"/>
  <c r="G62" i="6"/>
  <c r="K62" i="6"/>
  <c r="AF67" i="6"/>
  <c r="AD64" i="6"/>
  <c r="AG49" i="6"/>
  <c r="O63" i="6"/>
  <c r="AF40" i="6"/>
  <c r="H65" i="6"/>
  <c r="AD62" i="6"/>
  <c r="W66" i="6"/>
  <c r="Z66" i="6"/>
  <c r="AC66" i="6"/>
  <c r="H58" i="6"/>
  <c r="H57" i="6"/>
  <c r="N57" i="6"/>
  <c r="R52" i="6"/>
  <c r="O52" i="6"/>
  <c r="AI64" i="6"/>
  <c r="W64" i="6"/>
  <c r="G54" i="6"/>
  <c r="Q40" i="6"/>
  <c r="L40" i="6"/>
  <c r="L51" i="6"/>
  <c r="G51" i="6"/>
  <c r="P46" i="6"/>
  <c r="AF52" i="6"/>
  <c r="AB49" i="6"/>
  <c r="F67" i="6"/>
  <c r="J67" i="6"/>
  <c r="AG57" i="6"/>
  <c r="I53" i="6"/>
  <c r="Y73" i="6"/>
  <c r="AB73" i="6"/>
  <c r="J64" i="6"/>
  <c r="M64" i="6"/>
  <c r="Q64" i="6"/>
  <c r="AF46" i="6"/>
  <c r="J49" i="6"/>
  <c r="N49" i="6"/>
  <c r="R60" i="6"/>
  <c r="H60" i="6"/>
  <c r="AG63" i="6"/>
  <c r="Q63" i="6"/>
  <c r="AG53" i="6"/>
  <c r="AI53" i="6"/>
  <c r="H45" i="6"/>
  <c r="K45" i="6"/>
  <c r="AG58" i="6"/>
  <c r="Z58" i="6"/>
  <c r="AC58" i="6"/>
  <c r="Q66" i="6"/>
  <c r="AA65" i="6"/>
  <c r="AD65" i="6"/>
  <c r="AG54" i="6"/>
  <c r="AA54" i="6"/>
  <c r="J73" i="6"/>
  <c r="M73" i="6"/>
  <c r="AJ3" i="6"/>
  <c r="AJ40" i="6" s="1"/>
  <c r="I65" i="6"/>
  <c r="AF51" i="6"/>
  <c r="AD51" i="6"/>
  <c r="AI51" i="6"/>
  <c r="Y60" i="6"/>
  <c r="AE62" i="6"/>
  <c r="N62" i="6"/>
  <c r="AC67" i="6"/>
  <c r="AG67" i="6"/>
  <c r="AH66" i="6"/>
  <c r="I58" i="6"/>
  <c r="J58" i="6"/>
  <c r="M58" i="6"/>
  <c r="I57" i="6"/>
  <c r="G57" i="6"/>
  <c r="AD45" i="6"/>
  <c r="K52" i="6"/>
  <c r="H52" i="6"/>
  <c r="AE64" i="6"/>
  <c r="L54" i="6"/>
  <c r="P54" i="6"/>
  <c r="J40" i="6"/>
  <c r="H40" i="6"/>
  <c r="M51" i="6"/>
  <c r="O51" i="6"/>
  <c r="J46" i="6"/>
  <c r="I46" i="6"/>
  <c r="M46" i="6"/>
  <c r="AB52" i="6"/>
  <c r="Y52" i="6"/>
  <c r="AF49" i="6"/>
  <c r="AD49" i="6"/>
  <c r="N67" i="6"/>
  <c r="R67" i="6"/>
  <c r="AH57" i="6"/>
  <c r="AC57" i="6"/>
  <c r="L53" i="6"/>
  <c r="AF73" i="6"/>
  <c r="F64" i="6"/>
  <c r="AE46" i="6"/>
  <c r="Y46" i="6"/>
  <c r="AC46" i="6"/>
  <c r="R49" i="6"/>
  <c r="G49" i="6"/>
  <c r="P60" i="6"/>
  <c r="Z63" i="6"/>
  <c r="F63" i="6"/>
  <c r="J63" i="6"/>
  <c r="I45" i="6"/>
  <c r="Y58" i="6"/>
  <c r="AH58" i="6"/>
  <c r="F66" i="6"/>
  <c r="J66" i="6"/>
  <c r="M66" i="6"/>
  <c r="AI65" i="6"/>
  <c r="W65" i="6"/>
  <c r="W54" i="6"/>
  <c r="AI54" i="6"/>
  <c r="R73" i="6"/>
  <c r="F73" i="6"/>
  <c r="Z40" i="6"/>
  <c r="AC40" i="6"/>
  <c r="P65" i="6"/>
  <c r="L65" i="6"/>
  <c r="AC51" i="6"/>
  <c r="W51" i="6"/>
  <c r="AG60" i="6"/>
  <c r="AF62" i="6"/>
  <c r="O62" i="6"/>
  <c r="L62" i="6"/>
  <c r="Z67" i="6"/>
  <c r="AC45" i="6"/>
  <c r="O54" i="6"/>
  <c r="AI57" i="6"/>
  <c r="X73" i="6"/>
  <c r="I63" i="6"/>
  <c r="O65" i="6"/>
  <c r="AB62" i="6"/>
  <c r="AD66" i="6"/>
  <c r="AA66" i="6"/>
  <c r="N58" i="6"/>
  <c r="R58" i="6"/>
  <c r="J57" i="6"/>
  <c r="O57" i="6"/>
  <c r="Z45" i="6"/>
  <c r="W45" i="6"/>
  <c r="N52" i="6"/>
  <c r="P52" i="6"/>
  <c r="AB64" i="6"/>
  <c r="X64" i="6"/>
  <c r="H54" i="6"/>
  <c r="J54" i="6"/>
  <c r="R40" i="6"/>
  <c r="P51" i="6"/>
  <c r="I51" i="6"/>
  <c r="N46" i="6"/>
  <c r="Q46" i="6"/>
  <c r="AG52" i="6"/>
  <c r="Z49" i="6"/>
  <c r="W49" i="6"/>
  <c r="G67" i="6"/>
  <c r="X57" i="6"/>
  <c r="P53" i="6"/>
  <c r="M53" i="6"/>
  <c r="AG73" i="6"/>
  <c r="N64" i="6"/>
  <c r="AD46" i="6"/>
  <c r="AG46" i="6"/>
  <c r="P49" i="6"/>
  <c r="O49" i="6"/>
  <c r="I60" i="6"/>
  <c r="AB63" i="6"/>
  <c r="AH63" i="6"/>
  <c r="L63" i="6"/>
  <c r="R63" i="6"/>
  <c r="Y53" i="6"/>
  <c r="AC53" i="6"/>
  <c r="L45" i="6"/>
  <c r="AD58" i="6"/>
  <c r="AA58" i="6"/>
  <c r="G66" i="6"/>
  <c r="R66" i="6"/>
  <c r="X65" i="6"/>
  <c r="AE65" i="6"/>
  <c r="N73" i="6"/>
  <c r="AH40" i="6"/>
  <c r="X40" i="6"/>
  <c r="Q65" i="6"/>
  <c r="AE51" i="6"/>
  <c r="Z60" i="6"/>
  <c r="AG62" i="6"/>
  <c r="Z62" i="6"/>
  <c r="AC62" i="6"/>
  <c r="P62" i="6"/>
  <c r="AD67" i="6"/>
  <c r="AH67" i="6"/>
  <c r="AE66" i="6"/>
  <c r="AI66" i="6"/>
  <c r="Q58" i="6"/>
  <c r="K57" i="6"/>
  <c r="X45" i="6"/>
  <c r="AH45" i="6"/>
  <c r="AE45" i="6"/>
  <c r="I52" i="6"/>
  <c r="AF64" i="6"/>
  <c r="I54" i="6"/>
  <c r="R54" i="6"/>
  <c r="M40" i="6"/>
  <c r="H51" i="6"/>
  <c r="Q51" i="6"/>
  <c r="O46" i="6"/>
  <c r="Z52" i="6"/>
  <c r="AH49" i="6"/>
  <c r="AE49" i="6"/>
  <c r="O67" i="6"/>
  <c r="K67" i="6"/>
  <c r="Y57" i="6"/>
  <c r="AD57" i="6"/>
  <c r="Q53" i="6"/>
  <c r="F53" i="6"/>
  <c r="Z73" i="6"/>
  <c r="AC73" i="6"/>
  <c r="K64" i="6"/>
  <c r="G64" i="6"/>
  <c r="AH46" i="6"/>
  <c r="AA46" i="6"/>
  <c r="L49" i="6"/>
  <c r="K49" i="6"/>
  <c r="M60" i="6"/>
  <c r="Q60" i="6"/>
  <c r="AC63" i="6"/>
  <c r="AA63" i="6"/>
  <c r="M63" i="6"/>
  <c r="P45" i="6"/>
  <c r="M45" i="6"/>
  <c r="AE58" i="6"/>
  <c r="AI58" i="6"/>
  <c r="N66" i="6"/>
  <c r="Y65" i="6"/>
  <c r="AB65" i="6"/>
  <c r="Y54" i="6"/>
  <c r="AC54" i="6"/>
  <c r="K73" i="6"/>
  <c r="G73" i="6"/>
  <c r="AA40" i="6"/>
  <c r="J65" i="6"/>
  <c r="M65" i="6"/>
  <c r="Y51" i="6"/>
  <c r="AC60" i="6"/>
  <c r="AD60" i="6"/>
  <c r="Y62" i="6"/>
  <c r="AH62" i="6"/>
  <c r="F62" i="6"/>
  <c r="J62" i="6"/>
  <c r="M62" i="6"/>
  <c r="W67" i="6"/>
  <c r="AA67" i="6"/>
  <c r="AG45" i="6"/>
  <c r="F54" i="6"/>
  <c r="AE73" i="6"/>
  <c r="O58" i="6"/>
  <c r="P57" i="6"/>
  <c r="Y45" i="6"/>
  <c r="L52" i="6"/>
  <c r="K40" i="6"/>
  <c r="R46" i="6"/>
  <c r="AA52" i="6"/>
  <c r="H67" i="6"/>
  <c r="Z57" i="6"/>
  <c r="J53" i="6"/>
  <c r="R64" i="6"/>
  <c r="Q49" i="6"/>
  <c r="J60" i="6"/>
  <c r="AD63" i="6"/>
  <c r="N63" i="6"/>
  <c r="X53" i="6"/>
  <c r="Q45" i="6"/>
  <c r="O66" i="6"/>
  <c r="AF65" i="6"/>
  <c r="X54" i="6"/>
  <c r="H73" i="6"/>
  <c r="AI40" i="6"/>
  <c r="R65" i="6"/>
  <c r="AA60" i="6"/>
  <c r="I62" i="6"/>
  <c r="AE67" i="6"/>
  <c r="AI37" i="6"/>
  <c r="W37" i="6"/>
  <c r="N37" i="6"/>
  <c r="F37" i="6"/>
  <c r="Z71" i="7"/>
  <c r="R37" i="6"/>
  <c r="AA37" i="6"/>
  <c r="AE37" i="6"/>
  <c r="J37" i="6"/>
  <c r="AA45" i="7"/>
  <c r="F50" i="7"/>
  <c r="F45" i="7"/>
  <c r="R45" i="7"/>
  <c r="W45" i="7"/>
  <c r="AI45" i="7"/>
  <c r="N45" i="7"/>
  <c r="J45" i="7"/>
  <c r="AE45" i="7"/>
  <c r="L59" i="7"/>
  <c r="AA53" i="5"/>
  <c r="Q71" i="7"/>
  <c r="AC43" i="5"/>
  <c r="M71" i="7"/>
  <c r="L71" i="7"/>
  <c r="AH82" i="7"/>
  <c r="G71" i="7"/>
  <c r="O71" i="7"/>
  <c r="Y71" i="7"/>
  <c r="I71" i="7"/>
  <c r="H71" i="7"/>
  <c r="F71" i="7"/>
  <c r="AD71" i="7"/>
  <c r="S26" i="7"/>
  <c r="S71" i="7" s="1"/>
  <c r="K71" i="7"/>
  <c r="J71" i="7"/>
  <c r="P71" i="7"/>
  <c r="N71" i="7"/>
  <c r="R71" i="7"/>
  <c r="AJ26" i="7"/>
  <c r="AJ71" i="7" s="1"/>
  <c r="AH71" i="7"/>
  <c r="AB71" i="7"/>
  <c r="AJ37" i="7"/>
  <c r="AJ82" i="7" s="1"/>
  <c r="P59" i="7"/>
  <c r="AC71" i="7"/>
  <c r="AI71" i="7"/>
  <c r="AE71" i="7"/>
  <c r="AG71" i="7"/>
  <c r="AF71" i="7"/>
  <c r="K87" i="7"/>
  <c r="AC58" i="5"/>
  <c r="AA71" i="7"/>
  <c r="G59" i="7"/>
  <c r="F69" i="7"/>
  <c r="W82" i="7"/>
  <c r="Y82" i="7"/>
  <c r="AE80" i="7"/>
  <c r="AD82" i="7"/>
  <c r="AJ29" i="7"/>
  <c r="AJ74" i="7" s="1"/>
  <c r="Y64" i="7"/>
  <c r="M52" i="7"/>
  <c r="AC50" i="5"/>
  <c r="AB82" i="7"/>
  <c r="AA36" i="5"/>
  <c r="AI83" i="7"/>
  <c r="AJ5" i="5"/>
  <c r="AJ41" i="5" s="1"/>
  <c r="K59" i="7"/>
  <c r="AF82" i="7"/>
  <c r="AB55" i="5"/>
  <c r="W36" i="5"/>
  <c r="H65" i="7"/>
  <c r="AI50" i="5"/>
  <c r="AG65" i="7"/>
  <c r="H49" i="5"/>
  <c r="AJ14" i="5"/>
  <c r="AJ50" i="5" s="1"/>
  <c r="H59" i="7"/>
  <c r="AJ28" i="6"/>
  <c r="AJ65" i="6" s="1"/>
  <c r="I59" i="7"/>
  <c r="N36" i="5"/>
  <c r="M84" i="7"/>
  <c r="AE87" i="7"/>
  <c r="AB63" i="5"/>
  <c r="AE36" i="5"/>
  <c r="R36" i="5"/>
  <c r="AI36" i="5"/>
  <c r="P59" i="5"/>
  <c r="J36" i="5"/>
  <c r="H58" i="7"/>
  <c r="X58" i="7"/>
  <c r="L39" i="5"/>
  <c r="F36" i="5"/>
  <c r="J59" i="7"/>
  <c r="O87" i="7"/>
  <c r="X65" i="7"/>
  <c r="X82" i="7"/>
  <c r="AC82" i="7"/>
  <c r="X59" i="7"/>
  <c r="G87" i="7"/>
  <c r="I73" i="7"/>
  <c r="L87" i="7"/>
  <c r="P87" i="7"/>
  <c r="AE82" i="7"/>
  <c r="E49" i="10"/>
  <c r="L60" i="7"/>
  <c r="R59" i="7"/>
  <c r="G73" i="7"/>
  <c r="Y59" i="7"/>
  <c r="G49" i="10"/>
  <c r="AJ25" i="6"/>
  <c r="AJ62" i="6" s="1"/>
  <c r="Y53" i="5"/>
  <c r="AG54" i="5"/>
  <c r="AG39" i="5"/>
  <c r="N55" i="5"/>
  <c r="X39" i="5"/>
  <c r="W58" i="5"/>
  <c r="AG43" i="5"/>
  <c r="Z39" i="5"/>
  <c r="J56" i="5"/>
  <c r="AG53" i="5"/>
  <c r="W68" i="5"/>
  <c r="AA50" i="7"/>
  <c r="X55" i="7"/>
  <c r="Z43" i="5"/>
  <c r="W59" i="7"/>
  <c r="S19" i="7"/>
  <c r="S64" i="7" s="1"/>
  <c r="AD39" i="5"/>
  <c r="W65" i="7"/>
  <c r="S14" i="6"/>
  <c r="S51" i="6" s="1"/>
  <c r="X68" i="5"/>
  <c r="Y55" i="7"/>
  <c r="G79" i="7"/>
  <c r="S39" i="7"/>
  <c r="S84" i="7" s="1"/>
  <c r="F84" i="7"/>
  <c r="M69" i="7"/>
  <c r="AC53" i="5"/>
  <c r="AJ32" i="5"/>
  <c r="AJ68" i="5" s="1"/>
  <c r="I49" i="5"/>
  <c r="AF71" i="5"/>
  <c r="J60" i="7"/>
  <c r="P44" i="5"/>
  <c r="R87" i="7"/>
  <c r="N87" i="7"/>
  <c r="P84" i="7"/>
  <c r="M82" i="7"/>
  <c r="AI64" i="5"/>
  <c r="K84" i="7"/>
  <c r="AH52" i="7"/>
  <c r="Y59" i="5"/>
  <c r="R84" i="7"/>
  <c r="R69" i="7"/>
  <c r="H82" i="7"/>
  <c r="AD64" i="5"/>
  <c r="AF54" i="5"/>
  <c r="AA62" i="5"/>
  <c r="AJ26" i="5"/>
  <c r="AJ62" i="5" s="1"/>
  <c r="AD65" i="7"/>
  <c r="G65" i="7"/>
  <c r="Y71" i="5"/>
  <c r="AB69" i="7"/>
  <c r="W54" i="5"/>
  <c r="F58" i="7"/>
  <c r="H83" i="7"/>
  <c r="S29" i="6"/>
  <c r="S66" i="6" s="1"/>
  <c r="AC65" i="7"/>
  <c r="AE52" i="5"/>
  <c r="AJ15" i="6"/>
  <c r="AJ52" i="6" s="1"/>
  <c r="I58" i="7"/>
  <c r="W58" i="7"/>
  <c r="W66" i="5"/>
  <c r="S35" i="5"/>
  <c r="S71" i="5" s="1"/>
  <c r="AJ13" i="5"/>
  <c r="AJ49" i="5" s="1"/>
  <c r="J64" i="7"/>
  <c r="AG64" i="5"/>
  <c r="AG59" i="5"/>
  <c r="N59" i="7"/>
  <c r="N69" i="7"/>
  <c r="Y65" i="7"/>
  <c r="AJ19" i="5"/>
  <c r="AJ55" i="5" s="1"/>
  <c r="I65" i="7"/>
  <c r="AC69" i="7"/>
  <c r="G58" i="7"/>
  <c r="AD58" i="7"/>
  <c r="Y58" i="7"/>
  <c r="AC64" i="5"/>
  <c r="Q59" i="7"/>
  <c r="F59" i="7"/>
  <c r="Z58" i="5"/>
  <c r="AA52" i="5"/>
  <c r="AA82" i="7"/>
  <c r="W69" i="7"/>
  <c r="AI54" i="5"/>
  <c r="Z58" i="7"/>
  <c r="S28" i="6"/>
  <c r="S65" i="6" s="1"/>
  <c r="AE52" i="7"/>
  <c r="O63" i="5"/>
  <c r="AH64" i="5"/>
  <c r="AA59" i="5"/>
  <c r="O59" i="7"/>
  <c r="M59" i="7"/>
  <c r="AB59" i="5"/>
  <c r="AF56" i="5"/>
  <c r="AA87" i="7"/>
  <c r="Z52" i="5"/>
  <c r="Z69" i="7"/>
  <c r="AJ18" i="5"/>
  <c r="AJ54" i="5" s="1"/>
  <c r="X54" i="5"/>
  <c r="AA74" i="7"/>
  <c r="W55" i="7"/>
  <c r="AC44" i="5"/>
  <c r="AA58" i="7"/>
  <c r="P41" i="5"/>
  <c r="K69" i="7"/>
  <c r="AJ20" i="7"/>
  <c r="AJ65" i="7" s="1"/>
  <c r="AF65" i="7"/>
  <c r="AG55" i="5"/>
  <c r="AG82" i="7"/>
  <c r="X49" i="5"/>
  <c r="AH54" i="5"/>
  <c r="X50" i="5"/>
  <c r="L83" i="7"/>
  <c r="L82" i="7"/>
  <c r="Y52" i="7"/>
  <c r="G64" i="7"/>
  <c r="AJ38" i="7"/>
  <c r="AJ83" i="7" s="1"/>
  <c r="N59" i="5"/>
  <c r="F64" i="7"/>
  <c r="R64" i="7"/>
  <c r="AF64" i="5"/>
  <c r="Z83" i="7"/>
  <c r="AH83" i="7"/>
  <c r="AJ23" i="5"/>
  <c r="AJ59" i="5" s="1"/>
  <c r="O52" i="7"/>
  <c r="J87" i="7"/>
  <c r="Q87" i="7"/>
  <c r="H87" i="7"/>
  <c r="AB39" i="5"/>
  <c r="S36" i="6"/>
  <c r="S73" i="6" s="1"/>
  <c r="Q84" i="7"/>
  <c r="S24" i="7"/>
  <c r="S69" i="7" s="1"/>
  <c r="AE65" i="7"/>
  <c r="P63" i="5"/>
  <c r="R65" i="7"/>
  <c r="Y55" i="5"/>
  <c r="AC52" i="5"/>
  <c r="Z68" i="5"/>
  <c r="P74" i="7"/>
  <c r="AB74" i="7"/>
  <c r="H55" i="5"/>
  <c r="AF50" i="5"/>
  <c r="I55" i="7"/>
  <c r="G82" i="7"/>
  <c r="X64" i="7"/>
  <c r="H73" i="7"/>
  <c r="AC52" i="7"/>
  <c r="AG52" i="7"/>
  <c r="AD83" i="7"/>
  <c r="S35" i="7"/>
  <c r="S80" i="7" s="1"/>
  <c r="R68" i="5"/>
  <c r="L58" i="5"/>
  <c r="M64" i="7"/>
  <c r="AC83" i="7"/>
  <c r="Z41" i="5"/>
  <c r="G59" i="5"/>
  <c r="AJ17" i="6"/>
  <c r="AJ54" i="6" s="1"/>
  <c r="O84" i="7"/>
  <c r="H84" i="7"/>
  <c r="J69" i="7"/>
  <c r="H69" i="7"/>
  <c r="AB65" i="7"/>
  <c r="AA65" i="7"/>
  <c r="AJ17" i="5"/>
  <c r="AJ53" i="5" s="1"/>
  <c r="AH53" i="5"/>
  <c r="AB68" i="5"/>
  <c r="L84" i="7"/>
  <c r="L41" i="5"/>
  <c r="R44" i="5"/>
  <c r="AH87" i="7"/>
  <c r="AE55" i="5"/>
  <c r="AD55" i="5"/>
  <c r="J65" i="7"/>
  <c r="S15" i="6"/>
  <c r="S52" i="6" s="1"/>
  <c r="AB52" i="5"/>
  <c r="AB71" i="5"/>
  <c r="AE79" i="7"/>
  <c r="AI52" i="7"/>
  <c r="AD44" i="5"/>
  <c r="P66" i="5"/>
  <c r="AB58" i="5"/>
  <c r="X53" i="5"/>
  <c r="F71" i="5"/>
  <c r="Z55" i="5"/>
  <c r="Q62" i="5"/>
  <c r="S21" i="6"/>
  <c r="S58" i="6" s="1"/>
  <c r="L65" i="7"/>
  <c r="AB54" i="5"/>
  <c r="G55" i="5"/>
  <c r="Y50" i="5"/>
  <c r="Z50" i="7"/>
  <c r="AJ7" i="7"/>
  <c r="AJ52" i="7" s="1"/>
  <c r="Z44" i="5"/>
  <c r="W83" i="7"/>
  <c r="R59" i="5"/>
  <c r="I64" i="7"/>
  <c r="X83" i="7"/>
  <c r="AE59" i="5"/>
  <c r="AF41" i="5"/>
  <c r="AI69" i="7"/>
  <c r="S42" i="7"/>
  <c r="S87" i="7" s="1"/>
  <c r="F87" i="7"/>
  <c r="N84" i="7"/>
  <c r="G84" i="7"/>
  <c r="N68" i="5"/>
  <c r="L69" i="7"/>
  <c r="G69" i="7"/>
  <c r="AI65" i="7"/>
  <c r="F43" i="5"/>
  <c r="AC55" i="5"/>
  <c r="X52" i="5"/>
  <c r="AD52" i="5"/>
  <c r="AC71" i="5"/>
  <c r="S30" i="6"/>
  <c r="S67" i="6" s="1"/>
  <c r="Y74" i="7"/>
  <c r="Z74" i="7"/>
  <c r="I55" i="5"/>
  <c r="W50" i="7"/>
  <c r="Y83" i="7"/>
  <c r="S30" i="5"/>
  <c r="S66" i="5" s="1"/>
  <c r="S8" i="5"/>
  <c r="S44" i="5" s="1"/>
  <c r="K64" i="7"/>
  <c r="AF62" i="5"/>
  <c r="AG83" i="7"/>
  <c r="I41" i="5"/>
  <c r="Q43" i="5"/>
  <c r="AC87" i="7"/>
  <c r="AD68" i="5"/>
  <c r="AD74" i="7"/>
  <c r="AH74" i="7"/>
  <c r="AD50" i="7"/>
  <c r="AC73" i="7"/>
  <c r="Z80" i="7"/>
  <c r="AD52" i="7"/>
  <c r="W52" i="7"/>
  <c r="Y84" i="7"/>
  <c r="AB83" i="7"/>
  <c r="N44" i="5"/>
  <c r="H53" i="5"/>
  <c r="P62" i="5"/>
  <c r="K56" i="5"/>
  <c r="AD71" i="5"/>
  <c r="AB50" i="7"/>
  <c r="AF83" i="7"/>
  <c r="AB87" i="7"/>
  <c r="L64" i="7"/>
  <c r="AJ28" i="5"/>
  <c r="AJ64" i="5" s="1"/>
  <c r="AB64" i="5"/>
  <c r="AE83" i="7"/>
  <c r="AA83" i="7"/>
  <c r="AC59" i="5"/>
  <c r="Z59" i="5"/>
  <c r="M87" i="7"/>
  <c r="J84" i="7"/>
  <c r="G68" i="5"/>
  <c r="O69" i="7"/>
  <c r="AH65" i="7"/>
  <c r="Z65" i="7"/>
  <c r="P53" i="5"/>
  <c r="W87" i="7"/>
  <c r="AH55" i="5"/>
  <c r="Z71" i="5"/>
  <c r="AC54" i="5"/>
  <c r="AE74" i="7"/>
  <c r="AC58" i="7"/>
  <c r="Y50" i="7"/>
  <c r="Z64" i="7"/>
  <c r="Z52" i="7"/>
  <c r="AF52" i="7"/>
  <c r="Z56" i="5"/>
  <c r="AE58" i="7"/>
  <c r="AI58" i="7"/>
  <c r="AG58" i="7"/>
  <c r="AF58" i="7"/>
  <c r="W62" i="5"/>
  <c r="Z62" i="5"/>
  <c r="AA41" i="5"/>
  <c r="Y41" i="5"/>
  <c r="S7" i="7"/>
  <c r="S52" i="7" s="1"/>
  <c r="G52" i="7"/>
  <c r="J59" i="5"/>
  <c r="Q59" i="5"/>
  <c r="K39" i="5"/>
  <c r="P39" i="5"/>
  <c r="M39" i="5"/>
  <c r="P68" i="5"/>
  <c r="K68" i="5"/>
  <c r="AA58" i="5"/>
  <c r="R63" i="5"/>
  <c r="R41" i="5"/>
  <c r="N41" i="5"/>
  <c r="Q41" i="5"/>
  <c r="K44" i="5"/>
  <c r="R43" i="5"/>
  <c r="N71" i="5"/>
  <c r="M53" i="5"/>
  <c r="G53" i="5"/>
  <c r="AJ30" i="6"/>
  <c r="AJ67" i="6" s="1"/>
  <c r="AG87" i="7"/>
  <c r="AF87" i="7"/>
  <c r="AJ34" i="7"/>
  <c r="AJ79" i="7" s="1"/>
  <c r="AH79" i="7"/>
  <c r="AC56" i="5"/>
  <c r="AG56" i="5"/>
  <c r="J62" i="5"/>
  <c r="O58" i="5"/>
  <c r="P58" i="5"/>
  <c r="J80" i="7"/>
  <c r="S20" i="6"/>
  <c r="S57" i="6" s="1"/>
  <c r="P42" i="5"/>
  <c r="AF63" i="5"/>
  <c r="O50" i="7"/>
  <c r="N50" i="7"/>
  <c r="AG58" i="5"/>
  <c r="Y60" i="7"/>
  <c r="AE60" i="7"/>
  <c r="W60" i="7"/>
  <c r="AH60" i="7"/>
  <c r="AD60" i="7"/>
  <c r="AG60" i="7"/>
  <c r="AA60" i="7"/>
  <c r="AC60" i="7"/>
  <c r="AI60" i="7"/>
  <c r="Z60" i="7"/>
  <c r="AJ15" i="7"/>
  <c r="AJ60" i="7" s="1"/>
  <c r="S18" i="5"/>
  <c r="S54" i="5" s="1"/>
  <c r="J54" i="5"/>
  <c r="G54" i="5"/>
  <c r="P54" i="5"/>
  <c r="Q54" i="5"/>
  <c r="H54" i="5"/>
  <c r="K54" i="5"/>
  <c r="O54" i="5"/>
  <c r="M54" i="5"/>
  <c r="I54" i="5"/>
  <c r="N54" i="5"/>
  <c r="F54" i="5"/>
  <c r="L54" i="5"/>
  <c r="R54" i="5"/>
  <c r="S27" i="5"/>
  <c r="S63" i="5" s="1"/>
  <c r="S32" i="5"/>
  <c r="S68" i="5" s="1"/>
  <c r="S13" i="5"/>
  <c r="S49" i="5" s="1"/>
  <c r="K49" i="5"/>
  <c r="M49" i="5"/>
  <c r="Y62" i="5"/>
  <c r="AI62" i="5"/>
  <c r="AH62" i="5"/>
  <c r="AE41" i="5"/>
  <c r="W41" i="5"/>
  <c r="AG41" i="5"/>
  <c r="Q52" i="7"/>
  <c r="K52" i="7"/>
  <c r="K59" i="5"/>
  <c r="F59" i="5"/>
  <c r="N39" i="5"/>
  <c r="G39" i="5"/>
  <c r="R83" i="7"/>
  <c r="Q83" i="7"/>
  <c r="P83" i="7"/>
  <c r="AJ8" i="5"/>
  <c r="AJ44" i="5" s="1"/>
  <c r="I68" i="5"/>
  <c r="AI58" i="5"/>
  <c r="AF58" i="5"/>
  <c r="W53" i="5"/>
  <c r="Z53" i="5"/>
  <c r="I63" i="5"/>
  <c r="F44" i="5"/>
  <c r="L43" i="5"/>
  <c r="R71" i="5"/>
  <c r="G71" i="5"/>
  <c r="N53" i="5"/>
  <c r="Q53" i="5"/>
  <c r="AJ21" i="6"/>
  <c r="AJ58" i="6" s="1"/>
  <c r="AJ42" i="7"/>
  <c r="AJ87" i="7" s="1"/>
  <c r="S9" i="6"/>
  <c r="S46" i="6" s="1"/>
  <c r="AA56" i="5"/>
  <c r="AI55" i="5"/>
  <c r="S14" i="7"/>
  <c r="S59" i="7" s="1"/>
  <c r="R62" i="5"/>
  <c r="J58" i="5"/>
  <c r="I56" i="5"/>
  <c r="L56" i="5"/>
  <c r="H80" i="7"/>
  <c r="F80" i="7"/>
  <c r="M65" i="7"/>
  <c r="AA68" i="5"/>
  <c r="G74" i="7"/>
  <c r="M74" i="7"/>
  <c r="S29" i="7"/>
  <c r="S74" i="7" s="1"/>
  <c r="J74" i="7"/>
  <c r="O74" i="7"/>
  <c r="I74" i="7"/>
  <c r="Q74" i="7"/>
  <c r="H74" i="7"/>
  <c r="N74" i="7"/>
  <c r="F74" i="7"/>
  <c r="K74" i="7"/>
  <c r="O39" i="5"/>
  <c r="AH69" i="7"/>
  <c r="AG69" i="7"/>
  <c r="AJ24" i="7"/>
  <c r="AJ69" i="7" s="1"/>
  <c r="J68" i="5"/>
  <c r="S10" i="7"/>
  <c r="S55" i="7" s="1"/>
  <c r="AJ22" i="5"/>
  <c r="AJ58" i="5" s="1"/>
  <c r="S26" i="6"/>
  <c r="S63" i="6" s="1"/>
  <c r="J63" i="5"/>
  <c r="G41" i="5"/>
  <c r="O41" i="5"/>
  <c r="Q44" i="5"/>
  <c r="J43" i="5"/>
  <c r="I71" i="5"/>
  <c r="O71" i="5"/>
  <c r="K53" i="5"/>
  <c r="J53" i="5"/>
  <c r="AH50" i="7"/>
  <c r="AF50" i="7"/>
  <c r="AI50" i="7"/>
  <c r="AJ20" i="6"/>
  <c r="AJ57" i="6" s="1"/>
  <c r="AH56" i="5"/>
  <c r="AB56" i="5"/>
  <c r="N62" i="5"/>
  <c r="K58" i="5"/>
  <c r="R58" i="5"/>
  <c r="Q56" i="5"/>
  <c r="F56" i="5"/>
  <c r="R80" i="7"/>
  <c r="S8" i="6"/>
  <c r="S45" i="6" s="1"/>
  <c r="AH52" i="5"/>
  <c r="R74" i="7"/>
  <c r="N82" i="7"/>
  <c r="Q82" i="7"/>
  <c r="R82" i="7"/>
  <c r="O82" i="7"/>
  <c r="S17" i="6"/>
  <c r="S54" i="6" s="1"/>
  <c r="S19" i="5"/>
  <c r="S55" i="5" s="1"/>
  <c r="L55" i="5"/>
  <c r="Q55" i="5"/>
  <c r="O55" i="5"/>
  <c r="K55" i="5"/>
  <c r="J55" i="5"/>
  <c r="M55" i="5"/>
  <c r="W56" i="5"/>
  <c r="S28" i="5"/>
  <c r="S64" i="5" s="1"/>
  <c r="Q64" i="5"/>
  <c r="G64" i="5"/>
  <c r="O64" i="5"/>
  <c r="P64" i="5"/>
  <c r="M64" i="5"/>
  <c r="J64" i="5"/>
  <c r="N64" i="5"/>
  <c r="H64" i="5"/>
  <c r="F64" i="5"/>
  <c r="I64" i="5"/>
  <c r="L64" i="5"/>
  <c r="R64" i="5"/>
  <c r="K64" i="5"/>
  <c r="AJ23" i="6"/>
  <c r="AJ60" i="6" s="1"/>
  <c r="S17" i="5"/>
  <c r="S53" i="5" s="1"/>
  <c r="AI55" i="7"/>
  <c r="AA55" i="7"/>
  <c r="AF55" i="7"/>
  <c r="AH55" i="7"/>
  <c r="AG55" i="7"/>
  <c r="AD55" i="7"/>
  <c r="AB55" i="7"/>
  <c r="AC55" i="7"/>
  <c r="AJ10" i="7"/>
  <c r="AJ55" i="7" s="1"/>
  <c r="AE55" i="7"/>
  <c r="W64" i="5"/>
  <c r="AE64" i="5"/>
  <c r="AC62" i="5"/>
  <c r="AD62" i="5"/>
  <c r="AH59" i="5"/>
  <c r="AD59" i="5"/>
  <c r="AD41" i="5"/>
  <c r="AB41" i="5"/>
  <c r="P52" i="7"/>
  <c r="I59" i="5"/>
  <c r="H59" i="5"/>
  <c r="I39" i="5"/>
  <c r="AH71" i="5"/>
  <c r="AI71" i="5"/>
  <c r="AG71" i="5"/>
  <c r="AE71" i="5"/>
  <c r="AJ3" i="5"/>
  <c r="AE39" i="5"/>
  <c r="H68" i="5"/>
  <c r="L68" i="5"/>
  <c r="AH58" i="5"/>
  <c r="L63" i="5"/>
  <c r="F63" i="5"/>
  <c r="J41" i="5"/>
  <c r="H44" i="5"/>
  <c r="G44" i="5"/>
  <c r="N43" i="5"/>
  <c r="G43" i="5"/>
  <c r="M43" i="5"/>
  <c r="K71" i="5"/>
  <c r="H71" i="5"/>
  <c r="O53" i="5"/>
  <c r="R53" i="5"/>
  <c r="S12" i="6"/>
  <c r="S49" i="6" s="1"/>
  <c r="AJ9" i="6"/>
  <c r="AJ46" i="6" s="1"/>
  <c r="Y56" i="5"/>
  <c r="AJ16" i="6"/>
  <c r="AJ53" i="6" s="1"/>
  <c r="R73" i="7"/>
  <c r="J73" i="7"/>
  <c r="S28" i="7"/>
  <c r="S73" i="7" s="1"/>
  <c r="K73" i="7"/>
  <c r="L73" i="7"/>
  <c r="P73" i="7"/>
  <c r="N73" i="7"/>
  <c r="M73" i="7"/>
  <c r="Q73" i="7"/>
  <c r="O73" i="7"/>
  <c r="AJ36" i="6"/>
  <c r="AJ73" i="6" s="1"/>
  <c r="F62" i="5"/>
  <c r="M62" i="5"/>
  <c r="F58" i="5"/>
  <c r="H56" i="5"/>
  <c r="R56" i="5"/>
  <c r="N56" i="5"/>
  <c r="P80" i="7"/>
  <c r="N80" i="7"/>
  <c r="AJ16" i="5"/>
  <c r="AJ52" i="5" s="1"/>
  <c r="AH68" i="5"/>
  <c r="AF60" i="7"/>
  <c r="N49" i="5"/>
  <c r="J58" i="7"/>
  <c r="J39" i="5"/>
  <c r="M80" i="7"/>
  <c r="R52" i="7"/>
  <c r="X64" i="5"/>
  <c r="Z64" i="5"/>
  <c r="AH41" i="5"/>
  <c r="F52" i="7"/>
  <c r="L59" i="5"/>
  <c r="F39" i="5"/>
  <c r="Q39" i="5"/>
  <c r="AF66" i="5"/>
  <c r="AG66" i="5"/>
  <c r="AE66" i="5"/>
  <c r="AH39" i="5"/>
  <c r="AA39" i="5"/>
  <c r="AC39" i="5"/>
  <c r="O68" i="5"/>
  <c r="AI53" i="5"/>
  <c r="AB53" i="5"/>
  <c r="AE68" i="5"/>
  <c r="AI68" i="5"/>
  <c r="AC68" i="5"/>
  <c r="AG68" i="5"/>
  <c r="Q63" i="5"/>
  <c r="N63" i="5"/>
  <c r="M41" i="5"/>
  <c r="I44" i="5"/>
  <c r="O44" i="5"/>
  <c r="O43" i="5"/>
  <c r="H43" i="5"/>
  <c r="Q71" i="5"/>
  <c r="L71" i="5"/>
  <c r="P71" i="5"/>
  <c r="S20" i="7"/>
  <c r="S65" i="7" s="1"/>
  <c r="AD87" i="7"/>
  <c r="AJ20" i="5"/>
  <c r="AJ56" i="5" s="1"/>
  <c r="AI56" i="5"/>
  <c r="X55" i="5"/>
  <c r="S25" i="6"/>
  <c r="S62" i="6" s="1"/>
  <c r="G62" i="5"/>
  <c r="I62" i="5"/>
  <c r="M58" i="5"/>
  <c r="Q58" i="5"/>
  <c r="G56" i="5"/>
  <c r="L80" i="7"/>
  <c r="I80" i="7"/>
  <c r="O65" i="7"/>
  <c r="AI52" i="5"/>
  <c r="AB60" i="7"/>
  <c r="P55" i="5"/>
  <c r="R58" i="7"/>
  <c r="K58" i="7"/>
  <c r="P58" i="7"/>
  <c r="L58" i="7"/>
  <c r="O58" i="7"/>
  <c r="S13" i="7"/>
  <c r="H52" i="7"/>
  <c r="S6" i="5"/>
  <c r="S42" i="5" s="1"/>
  <c r="K42" i="5"/>
  <c r="J42" i="5"/>
  <c r="I42" i="5"/>
  <c r="H42" i="5"/>
  <c r="M42" i="5"/>
  <c r="O42" i="5"/>
  <c r="Q42" i="5"/>
  <c r="L42" i="5"/>
  <c r="N42" i="5"/>
  <c r="R42" i="5"/>
  <c r="F42" i="5"/>
  <c r="S20" i="5"/>
  <c r="S56" i="5" s="1"/>
  <c r="S23" i="5"/>
  <c r="S59" i="5" s="1"/>
  <c r="O64" i="7"/>
  <c r="N64" i="7"/>
  <c r="Y64" i="5"/>
  <c r="AA64" i="5"/>
  <c r="AG62" i="5"/>
  <c r="AE62" i="5"/>
  <c r="AI59" i="5"/>
  <c r="AF59" i="5"/>
  <c r="AC41" i="5"/>
  <c r="I52" i="7"/>
  <c r="L52" i="7"/>
  <c r="M59" i="5"/>
  <c r="R39" i="5"/>
  <c r="W39" i="5"/>
  <c r="AF39" i="5"/>
  <c r="AJ26" i="6"/>
  <c r="AJ63" i="6" s="1"/>
  <c r="Q68" i="5"/>
  <c r="M68" i="5"/>
  <c r="Q69" i="7"/>
  <c r="Y58" i="5"/>
  <c r="AE58" i="5"/>
  <c r="AD53" i="5"/>
  <c r="H63" i="5"/>
  <c r="F41" i="5"/>
  <c r="H41" i="5"/>
  <c r="L44" i="5"/>
  <c r="J44" i="5"/>
  <c r="K43" i="5"/>
  <c r="J71" i="5"/>
  <c r="I53" i="5"/>
  <c r="L53" i="5"/>
  <c r="Y87" i="7"/>
  <c r="X87" i="7"/>
  <c r="AE56" i="5"/>
  <c r="AD56" i="5"/>
  <c r="AA55" i="5"/>
  <c r="AF55" i="5"/>
  <c r="O62" i="5"/>
  <c r="K62" i="5"/>
  <c r="I58" i="5"/>
  <c r="G58" i="5"/>
  <c r="M56" i="5"/>
  <c r="O56" i="5"/>
  <c r="K80" i="7"/>
  <c r="G80" i="7"/>
  <c r="N65" i="7"/>
  <c r="Q65" i="7"/>
  <c r="AJ8" i="6"/>
  <c r="AJ45" i="6" s="1"/>
  <c r="AF52" i="5"/>
  <c r="AF68" i="5"/>
  <c r="AJ27" i="6"/>
  <c r="AJ64" i="6" s="1"/>
  <c r="X60" i="7"/>
  <c r="L74" i="7"/>
  <c r="AJ6" i="5"/>
  <c r="AJ42" i="5" s="1"/>
  <c r="AI42" i="5"/>
  <c r="AB42" i="5"/>
  <c r="AA42" i="5"/>
  <c r="Z42" i="5"/>
  <c r="AG42" i="5"/>
  <c r="Y42" i="5"/>
  <c r="AE42" i="5"/>
  <c r="X42" i="5"/>
  <c r="AH42" i="5"/>
  <c r="AD42" i="5"/>
  <c r="AF42" i="5"/>
  <c r="AC42" i="5"/>
  <c r="S3" i="6"/>
  <c r="S40" i="6" s="1"/>
  <c r="O83" i="7"/>
  <c r="AB64" i="7"/>
  <c r="AH64" i="7"/>
  <c r="AC64" i="7"/>
  <c r="AJ19" i="7"/>
  <c r="AJ64" i="7" s="1"/>
  <c r="AD64" i="7"/>
  <c r="AI64" i="7"/>
  <c r="AA64" i="7"/>
  <c r="AG64" i="7"/>
  <c r="M50" i="5"/>
  <c r="G50" i="5"/>
  <c r="O50" i="5"/>
  <c r="Q50" i="5"/>
  <c r="N50" i="5"/>
  <c r="F50" i="5"/>
  <c r="I50" i="5"/>
  <c r="K50" i="5"/>
  <c r="P50" i="5"/>
  <c r="R50" i="5"/>
  <c r="L50" i="5"/>
  <c r="J50" i="5"/>
  <c r="H50" i="5"/>
  <c r="S7" i="5"/>
  <c r="S43" i="5" s="1"/>
  <c r="S16" i="5"/>
  <c r="S52" i="5" s="1"/>
  <c r="S3" i="5"/>
  <c r="N52" i="5"/>
  <c r="K52" i="5"/>
  <c r="G52" i="5"/>
  <c r="F52" i="5"/>
  <c r="Q52" i="5"/>
  <c r="L52" i="5"/>
  <c r="P52" i="5"/>
  <c r="J52" i="5"/>
  <c r="R52" i="5"/>
  <c r="O52" i="5"/>
  <c r="H52" i="5"/>
  <c r="M52" i="5"/>
  <c r="Q64" i="7"/>
  <c r="P64" i="7"/>
  <c r="AB62" i="5"/>
  <c r="W59" i="5"/>
  <c r="AI82" i="7"/>
  <c r="AI41" i="5"/>
  <c r="X41" i="5"/>
  <c r="J52" i="7"/>
  <c r="O59" i="5"/>
  <c r="O66" i="5"/>
  <c r="H39" i="5"/>
  <c r="AJ14" i="6"/>
  <c r="AJ51" i="6" s="1"/>
  <c r="S23" i="6"/>
  <c r="S60" i="6" s="1"/>
  <c r="AI39" i="5"/>
  <c r="Y39" i="5"/>
  <c r="AF59" i="7"/>
  <c r="AH59" i="7"/>
  <c r="AC59" i="7"/>
  <c r="AD59" i="7"/>
  <c r="AG59" i="7"/>
  <c r="AA59" i="7"/>
  <c r="AI59" i="7"/>
  <c r="AE59" i="7"/>
  <c r="AB59" i="7"/>
  <c r="P69" i="7"/>
  <c r="AD58" i="5"/>
  <c r="AF53" i="5"/>
  <c r="AE53" i="5"/>
  <c r="S15" i="7"/>
  <c r="S60" i="7" s="1"/>
  <c r="M63" i="5"/>
  <c r="K63" i="5"/>
  <c r="K41" i="5"/>
  <c r="M44" i="5"/>
  <c r="P43" i="5"/>
  <c r="M71" i="5"/>
  <c r="AI87" i="7"/>
  <c r="X56" i="5"/>
  <c r="W55" i="5"/>
  <c r="AF84" i="7"/>
  <c r="AH84" i="7"/>
  <c r="AG84" i="7"/>
  <c r="AJ39" i="7"/>
  <c r="AJ84" i="7" s="1"/>
  <c r="AB84" i="7"/>
  <c r="AA84" i="7"/>
  <c r="AC84" i="7"/>
  <c r="AI84" i="7"/>
  <c r="L62" i="5"/>
  <c r="N58" i="5"/>
  <c r="P56" i="5"/>
  <c r="O80" i="7"/>
  <c r="Q80" i="7"/>
  <c r="P65" i="7"/>
  <c r="K65" i="7"/>
  <c r="R49" i="5"/>
  <c r="AE49" i="5"/>
  <c r="AF69" i="7"/>
  <c r="R55" i="5"/>
  <c r="AH58" i="7"/>
  <c r="AD84" i="7"/>
  <c r="P49" i="5"/>
  <c r="G49" i="5"/>
  <c r="AD49" i="5"/>
  <c r="Z49" i="5"/>
  <c r="AE69" i="7"/>
  <c r="AE54" i="5"/>
  <c r="AC74" i="7"/>
  <c r="AH50" i="5"/>
  <c r="M58" i="7"/>
  <c r="AG50" i="7"/>
  <c r="P55" i="7"/>
  <c r="G55" i="7"/>
  <c r="R79" i="7"/>
  <c r="AA43" i="5"/>
  <c r="X43" i="5"/>
  <c r="S27" i="6"/>
  <c r="S64" i="6" s="1"/>
  <c r="M60" i="7"/>
  <c r="R60" i="7"/>
  <c r="F83" i="7"/>
  <c r="N83" i="7"/>
  <c r="P82" i="7"/>
  <c r="J82" i="7"/>
  <c r="AJ28" i="7"/>
  <c r="AJ73" i="7" s="1"/>
  <c r="Y73" i="7"/>
  <c r="AD80" i="7"/>
  <c r="AI80" i="7"/>
  <c r="P50" i="7"/>
  <c r="J50" i="7"/>
  <c r="I50" i="7"/>
  <c r="Y66" i="5"/>
  <c r="AD66" i="5"/>
  <c r="AH66" i="5"/>
  <c r="AB79" i="7"/>
  <c r="Y63" i="5"/>
  <c r="AA52" i="7"/>
  <c r="AG44" i="5"/>
  <c r="W44" i="5"/>
  <c r="J66" i="5"/>
  <c r="Y52" i="5"/>
  <c r="AG52" i="5"/>
  <c r="Z82" i="7"/>
  <c r="Q49" i="5"/>
  <c r="O49" i="5"/>
  <c r="AJ35" i="5"/>
  <c r="AJ71" i="5" s="1"/>
  <c r="AA71" i="5"/>
  <c r="X71" i="5"/>
  <c r="AF49" i="5"/>
  <c r="W49" i="5"/>
  <c r="AJ12" i="6"/>
  <c r="AJ49" i="6" s="1"/>
  <c r="Y69" i="7"/>
  <c r="AD69" i="7"/>
  <c r="AA54" i="5"/>
  <c r="AI74" i="7"/>
  <c r="AB50" i="5"/>
  <c r="AA50" i="5"/>
  <c r="X50" i="7"/>
  <c r="AE50" i="7"/>
  <c r="O55" i="7"/>
  <c r="H55" i="7"/>
  <c r="AE43" i="5"/>
  <c r="Y43" i="5"/>
  <c r="I60" i="7"/>
  <c r="G60" i="7"/>
  <c r="G83" i="7"/>
  <c r="S37" i="7"/>
  <c r="S82" i="7" s="1"/>
  <c r="AG73" i="7"/>
  <c r="AD73" i="7"/>
  <c r="AF80" i="7"/>
  <c r="G50" i="7"/>
  <c r="M50" i="7"/>
  <c r="AB66" i="5"/>
  <c r="AF64" i="7"/>
  <c r="AA79" i="7"/>
  <c r="X79" i="7"/>
  <c r="Z63" i="5"/>
  <c r="AG63" i="5"/>
  <c r="AE44" i="5"/>
  <c r="F66" i="5"/>
  <c r="R66" i="5"/>
  <c r="S34" i="7"/>
  <c r="S79" i="7" s="1"/>
  <c r="AE63" i="5"/>
  <c r="E41" i="9"/>
  <c r="N52" i="7"/>
  <c r="L49" i="5"/>
  <c r="AH49" i="5"/>
  <c r="AG50" i="5"/>
  <c r="AD50" i="5"/>
  <c r="Q58" i="7"/>
  <c r="M55" i="7"/>
  <c r="M79" i="7"/>
  <c r="F79" i="7"/>
  <c r="P79" i="7"/>
  <c r="K60" i="7"/>
  <c r="O60" i="7"/>
  <c r="S38" i="7"/>
  <c r="S83" i="7" s="1"/>
  <c r="AE73" i="7"/>
  <c r="AB73" i="7"/>
  <c r="AH80" i="7"/>
  <c r="AC80" i="7"/>
  <c r="H50" i="7"/>
  <c r="Z79" i="7"/>
  <c r="Y79" i="7"/>
  <c r="AH63" i="5"/>
  <c r="AC63" i="5"/>
  <c r="AH44" i="5"/>
  <c r="I66" i="5"/>
  <c r="L66" i="5"/>
  <c r="G41" i="9"/>
  <c r="AI49" i="5"/>
  <c r="AB49" i="5"/>
  <c r="Z54" i="5"/>
  <c r="AE50" i="5"/>
  <c r="N58" i="7"/>
  <c r="AJ13" i="7"/>
  <c r="AC50" i="7"/>
  <c r="N55" i="7"/>
  <c r="K55" i="7"/>
  <c r="I79" i="7"/>
  <c r="J79" i="7"/>
  <c r="W43" i="5"/>
  <c r="AB43" i="5"/>
  <c r="F60" i="7"/>
  <c r="Q60" i="7"/>
  <c r="M83" i="7"/>
  <c r="I82" i="7"/>
  <c r="AI73" i="7"/>
  <c r="W80" i="7"/>
  <c r="AG80" i="7"/>
  <c r="Q50" i="7"/>
  <c r="AI66" i="5"/>
  <c r="AE64" i="7"/>
  <c r="AC79" i="7"/>
  <c r="AA63" i="5"/>
  <c r="AB44" i="5"/>
  <c r="AA44" i="5"/>
  <c r="AE84" i="7"/>
  <c r="N66" i="5"/>
  <c r="G40" i="8"/>
  <c r="S16" i="6"/>
  <c r="S53" i="6" s="1"/>
  <c r="W74" i="7"/>
  <c r="AF74" i="7"/>
  <c r="AB58" i="7"/>
  <c r="R55" i="7"/>
  <c r="K79" i="7"/>
  <c r="N79" i="7"/>
  <c r="AJ7" i="5"/>
  <c r="AJ43" i="5" s="1"/>
  <c r="AI43" i="5"/>
  <c r="P60" i="7"/>
  <c r="J83" i="7"/>
  <c r="K83" i="7"/>
  <c r="K82" i="7"/>
  <c r="AA73" i="7"/>
  <c r="X73" i="7"/>
  <c r="Y80" i="7"/>
  <c r="S5" i="7"/>
  <c r="L50" i="7"/>
  <c r="AC66" i="5"/>
  <c r="AD79" i="7"/>
  <c r="W79" i="7"/>
  <c r="AI79" i="7"/>
  <c r="AJ27" i="5"/>
  <c r="AJ63" i="5" s="1"/>
  <c r="AI63" i="5"/>
  <c r="AD63" i="5"/>
  <c r="AF44" i="5"/>
  <c r="X44" i="5"/>
  <c r="AI44" i="5"/>
  <c r="W84" i="7"/>
  <c r="Q66" i="5"/>
  <c r="M66" i="5"/>
  <c r="AG49" i="5"/>
  <c r="Q55" i="7"/>
  <c r="J55" i="7"/>
  <c r="L79" i="7"/>
  <c r="AF43" i="5"/>
  <c r="N60" i="7"/>
  <c r="AH73" i="7"/>
  <c r="W73" i="7"/>
  <c r="AJ35" i="7"/>
  <c r="AJ80" i="7" s="1"/>
  <c r="AJ29" i="6"/>
  <c r="AJ66" i="6" s="1"/>
  <c r="R50" i="7"/>
  <c r="AF79" i="7"/>
  <c r="X63" i="5"/>
  <c r="Y44" i="5"/>
  <c r="K66" i="5"/>
  <c r="H66" i="5"/>
  <c r="J49" i="5"/>
  <c r="W71" i="5"/>
  <c r="AA49" i="5"/>
  <c r="Y49" i="5"/>
  <c r="AA69" i="7"/>
  <c r="AD54" i="5"/>
  <c r="AG74" i="7"/>
  <c r="X74" i="7"/>
  <c r="W50" i="5"/>
  <c r="AJ5" i="7"/>
  <c r="L55" i="7"/>
  <c r="Q79" i="7"/>
  <c r="O79" i="7"/>
  <c r="AD43" i="5"/>
  <c r="AH43" i="5"/>
  <c r="AF73" i="7"/>
  <c r="AB80" i="7"/>
  <c r="AA80" i="7"/>
  <c r="K50" i="7"/>
  <c r="AJ30" i="5"/>
  <c r="AJ66" i="5" s="1"/>
  <c r="AA66" i="5"/>
  <c r="Z66" i="5"/>
  <c r="AG79" i="7"/>
  <c r="W63" i="5"/>
  <c r="AJ14" i="7"/>
  <c r="AJ59" i="7" s="1"/>
  <c r="AB52" i="7"/>
  <c r="X84" i="7"/>
  <c r="E40" i="8"/>
  <c r="S26" i="5"/>
  <c r="S62" i="5" s="1"/>
  <c r="S5" i="5"/>
  <c r="S41" i="5" s="1"/>
  <c r="S14" i="5"/>
  <c r="S50" i="5" s="1"/>
  <c r="S22" i="5"/>
  <c r="S58" i="5" s="1"/>
  <c r="H24" i="8" a="1"/>
  <c r="F12" i="9" a="1"/>
  <c r="H12" i="8" a="1"/>
  <c r="H21" i="9" a="1"/>
  <c r="H39" i="8" a="1"/>
  <c r="F18" i="10" a="1"/>
  <c r="H30" i="10" a="1"/>
  <c r="F23" i="10" a="1"/>
  <c r="F29" i="9" a="1"/>
  <c r="H34" i="9" a="1"/>
  <c r="H30" i="9" a="1"/>
  <c r="H9" i="8" a="1"/>
  <c r="F34" i="8" a="1"/>
  <c r="H24" i="10" a="1"/>
  <c r="H16" i="9" a="1"/>
  <c r="F36" i="8" a="1"/>
  <c r="H33" i="9" a="1"/>
  <c r="H29" i="9" a="1"/>
  <c r="F14" i="10" a="1"/>
  <c r="F33" i="10" a="1"/>
  <c r="F24" i="9" a="1"/>
  <c r="H21" i="8" a="1"/>
  <c r="F32" i="9" a="1"/>
  <c r="H27" i="8" a="1"/>
  <c r="F24" i="8" a="1"/>
  <c r="H23" i="10" a="1"/>
  <c r="F13" i="9" a="1"/>
  <c r="H32" i="8" a="1"/>
  <c r="F34" i="9" a="1"/>
  <c r="F33" i="9" a="1"/>
  <c r="H31" i="9" a="1"/>
  <c r="F27" i="9" a="1"/>
  <c r="H32" i="10" a="1"/>
  <c r="F39" i="8" a="1"/>
  <c r="H30" i="8" a="1"/>
  <c r="H14" i="10" a="1"/>
  <c r="H17" i="8" a="1"/>
  <c r="F21" i="9" a="1"/>
  <c r="F23" i="8" a="1"/>
  <c r="H12" i="9" a="1"/>
  <c r="H20" i="8" a="1"/>
  <c r="F9" i="8" a="1"/>
  <c r="F27" i="8" a="1"/>
  <c r="H18" i="10" a="1"/>
  <c r="H18" i="9" a="1"/>
  <c r="F7" i="8" a="1"/>
  <c r="H28" i="10" a="1"/>
  <c r="F30" i="10" a="1"/>
  <c r="F11" i="8" a="1"/>
  <c r="H26" i="8" a="1"/>
  <c r="F46" i="10" a="1"/>
  <c r="F22" i="8" a="1"/>
  <c r="F42" i="10" a="1"/>
  <c r="F24" i="10" a="1"/>
  <c r="F41" i="10" a="1"/>
  <c r="H20" i="9" a="1"/>
  <c r="H33" i="10" a="1"/>
  <c r="H32" i="9" a="1"/>
  <c r="H18" i="8" a="1"/>
  <c r="F16" i="9" a="1"/>
  <c r="H19" i="9" a="1"/>
  <c r="F7" i="9" a="1"/>
  <c r="H7" i="9" a="1"/>
  <c r="H23" i="8" a="1"/>
  <c r="H11" i="8" a="1"/>
  <c r="F30" i="9" a="1"/>
  <c r="F20" i="9" a="1"/>
  <c r="H13" i="9" a="1"/>
  <c r="F17" i="10" a="1"/>
  <c r="H17" i="10" a="1"/>
  <c r="F12" i="8" a="1"/>
  <c r="H40" i="9" a="1"/>
  <c r="H7" i="8" a="1"/>
  <c r="F25" i="9" a="1"/>
  <c r="F9" i="10" a="1"/>
  <c r="H25" i="9" a="1"/>
  <c r="F10" i="8" a="1"/>
  <c r="H43" i="10" a="1"/>
  <c r="H19" i="10" a="1"/>
  <c r="H11" i="10" a="1"/>
  <c r="H10" i="8" a="1"/>
  <c r="F39" i="10" a="1"/>
  <c r="H41" i="10" a="1"/>
  <c r="F26" i="8" a="1"/>
  <c r="F30" i="8" a="1"/>
  <c r="F21" i="8" a="1"/>
  <c r="H38" i="10" a="1"/>
  <c r="F19" i="10" a="1"/>
  <c r="F31" i="9" a="1"/>
  <c r="H46" i="10" a="1"/>
  <c r="F20" i="8" a="1"/>
  <c r="F40" i="9" a="1"/>
  <c r="F32" i="10" a="1"/>
  <c r="F17" i="8" a="1"/>
  <c r="F19" i="9" a="1"/>
  <c r="F28" i="10" a="1"/>
  <c r="F18" i="8" a="1"/>
  <c r="H34" i="8" a="1"/>
  <c r="F11" i="10" a="1"/>
  <c r="F43" i="10" a="1"/>
  <c r="F18" i="9" a="1"/>
  <c r="F38" i="10" a="1"/>
  <c r="H36" i="8" a="1"/>
  <c r="F32" i="8" a="1"/>
  <c r="H9" i="10" a="1"/>
  <c r="H31" i="8" a="1"/>
  <c r="H39" i="10" a="1"/>
  <c r="H24" i="9" a="1"/>
  <c r="H42" i="10" a="1"/>
  <c r="H27" i="9" a="1"/>
  <c r="F31" i="8" a="1"/>
  <c r="H22" i="8" a="1"/>
  <c r="H18" i="9" l="1"/>
  <c r="H33" i="9"/>
  <c r="F34" i="9"/>
  <c r="H29" i="9"/>
  <c r="F13" i="9"/>
  <c r="F25" i="9"/>
  <c r="F16" i="9"/>
  <c r="F18" i="9"/>
  <c r="F32" i="9"/>
  <c r="H21" i="9"/>
  <c r="F19" i="9"/>
  <c r="H13" i="9"/>
  <c r="H24" i="9"/>
  <c r="H31" i="9"/>
  <c r="F21" i="9"/>
  <c r="F20" i="9"/>
  <c r="H12" i="9"/>
  <c r="F12" i="9"/>
  <c r="H34" i="9"/>
  <c r="H20" i="9"/>
  <c r="F33" i="9"/>
  <c r="F30" i="9"/>
  <c r="H32" i="9"/>
  <c r="F24" i="9"/>
  <c r="H25" i="9"/>
  <c r="H19" i="9"/>
  <c r="H27" i="9"/>
  <c r="H7" i="9"/>
  <c r="F7" i="9"/>
  <c r="F40" i="9"/>
  <c r="F29" i="9"/>
  <c r="H40" i="9"/>
  <c r="F27" i="9"/>
  <c r="H30" i="9"/>
  <c r="H16" i="9"/>
  <c r="F31" i="9"/>
  <c r="AJ37" i="6"/>
  <c r="S37" i="6"/>
  <c r="AJ50" i="7"/>
  <c r="AJ45" i="7"/>
  <c r="S50" i="7"/>
  <c r="S45" i="7"/>
  <c r="F30" i="10"/>
  <c r="H30" i="10"/>
  <c r="F17" i="8"/>
  <c r="F39" i="10"/>
  <c r="F42" i="10"/>
  <c r="H18" i="10"/>
  <c r="F11" i="8"/>
  <c r="H46" i="10"/>
  <c r="H17" i="10"/>
  <c r="F28" i="10"/>
  <c r="H42" i="10"/>
  <c r="F18" i="10"/>
  <c r="F46" i="10"/>
  <c r="F10" i="8"/>
  <c r="H18" i="8"/>
  <c r="H21" i="8"/>
  <c r="F12" i="8"/>
  <c r="F38" i="10"/>
  <c r="H38" i="10"/>
  <c r="H11" i="8"/>
  <c r="F19" i="10"/>
  <c r="H43" i="10"/>
  <c r="H34" i="8"/>
  <c r="F41" i="10"/>
  <c r="F33" i="10"/>
  <c r="H24" i="10"/>
  <c r="H32" i="10"/>
  <c r="H14" i="10"/>
  <c r="H17" i="8"/>
  <c r="F18" i="8"/>
  <c r="H23" i="8"/>
  <c r="F17" i="10"/>
  <c r="F32" i="10"/>
  <c r="F32" i="8"/>
  <c r="F7" i="8"/>
  <c r="F11" i="10"/>
  <c r="H39" i="8"/>
  <c r="F14" i="10"/>
  <c r="F30" i="8"/>
  <c r="H39" i="10"/>
  <c r="H28" i="10"/>
  <c r="F34" i="8"/>
  <c r="F20" i="8"/>
  <c r="H36" i="8"/>
  <c r="F24" i="8"/>
  <c r="H26" i="8"/>
  <c r="F9" i="10"/>
  <c r="H9" i="8"/>
  <c r="F43" i="10"/>
  <c r="H24" i="8"/>
  <c r="H22" i="8"/>
  <c r="H23" i="10"/>
  <c r="H10" i="8"/>
  <c r="H7" i="8"/>
  <c r="F36" i="8"/>
  <c r="F23" i="8"/>
  <c r="H9" i="10"/>
  <c r="F9" i="8"/>
  <c r="H31" i="8"/>
  <c r="H30" i="8"/>
  <c r="H41" i="10"/>
  <c r="F27" i="8"/>
  <c r="H20" i="8"/>
  <c r="H12" i="8"/>
  <c r="F23" i="10"/>
  <c r="F21" i="8"/>
  <c r="H11" i="10"/>
  <c r="H33" i="10"/>
  <c r="H27" i="8"/>
  <c r="F24" i="10"/>
  <c r="H19" i="10"/>
  <c r="F22" i="8"/>
  <c r="F26" i="8"/>
  <c r="H32" i="8"/>
  <c r="F31" i="8"/>
  <c r="AJ58" i="7"/>
  <c r="S58" i="7"/>
  <c r="S39" i="5"/>
  <c r="S36" i="5"/>
  <c r="AJ39" i="5"/>
  <c r="AJ36" i="5"/>
  <c r="F39" i="8"/>
  <c r="I12" i="9" l="1"/>
  <c r="I29" i="9"/>
  <c r="I39" i="10"/>
  <c r="I30" i="10"/>
  <c r="I25" i="9"/>
  <c r="I38" i="10"/>
  <c r="I43" i="10"/>
  <c r="I41" i="10"/>
  <c r="I22" i="9"/>
  <c r="I11" i="10"/>
  <c r="I18" i="10"/>
  <c r="I14" i="9"/>
  <c r="I26" i="9"/>
  <c r="I17" i="9"/>
  <c r="I28" i="9"/>
  <c r="I8" i="9"/>
  <c r="I35" i="9"/>
  <c r="I19" i="10"/>
  <c r="F49" i="10"/>
  <c r="I24" i="10"/>
  <c r="I32" i="10"/>
  <c r="I17" i="10"/>
  <c r="I46" i="10"/>
  <c r="I14" i="10"/>
  <c r="I9" i="10"/>
  <c r="H49" i="10"/>
  <c r="I33" i="10"/>
  <c r="I28" i="10"/>
  <c r="I23" i="10"/>
  <c r="I42" i="10"/>
  <c r="I13" i="9"/>
  <c r="I27" i="9"/>
  <c r="I23" i="8"/>
  <c r="I24" i="9"/>
  <c r="I7" i="8"/>
  <c r="I21" i="9"/>
  <c r="I16" i="9"/>
  <c r="I32" i="8"/>
  <c r="I36" i="8"/>
  <c r="I30" i="9"/>
  <c r="I40" i="9"/>
  <c r="I34" i="9"/>
  <c r="I20" i="8"/>
  <c r="I12" i="8"/>
  <c r="I39" i="8"/>
  <c r="I18" i="9"/>
  <c r="I33" i="9"/>
  <c r="I32" i="9"/>
  <c r="I10" i="8"/>
  <c r="I26" i="8"/>
  <c r="I34" i="8"/>
  <c r="I11" i="8"/>
  <c r="I27" i="8"/>
  <c r="I31" i="8"/>
  <c r="I30" i="8"/>
  <c r="I31" i="9"/>
  <c r="I22" i="8"/>
  <c r="F40" i="8"/>
  <c r="I24" i="8"/>
  <c r="I7" i="9"/>
  <c r="H41" i="9"/>
  <c r="I21" i="8"/>
  <c r="I18" i="8"/>
  <c r="F41" i="9"/>
  <c r="I9" i="8"/>
  <c r="I19" i="9"/>
  <c r="H40" i="8"/>
  <c r="I17" i="8"/>
  <c r="I20" i="9"/>
  <c r="I49" i="10" l="1"/>
  <c r="I40" i="8"/>
  <c r="I4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<sst xmlns="http://schemas.openxmlformats.org/spreadsheetml/2006/main" count="9104" uniqueCount="1160">
  <si>
    <t>Total Booking - Working in Store</t>
  </si>
  <si>
    <t>ANA FEED</t>
  </si>
  <si>
    <t>FY24</t>
  </si>
  <si>
    <t>FY25</t>
  </si>
  <si>
    <t>Store Name</t>
  </si>
  <si>
    <t>Store Description</t>
  </si>
  <si>
    <t>MAY</t>
  </si>
  <si>
    <t>YTD</t>
  </si>
  <si>
    <t>VAR</t>
  </si>
  <si>
    <t>A050</t>
  </si>
  <si>
    <t>Anaconda Albury</t>
  </si>
  <si>
    <t>A002</t>
  </si>
  <si>
    <t>Anaconda Ashmore</t>
  </si>
  <si>
    <t>A035</t>
  </si>
  <si>
    <t>Anaconda Ballarat</t>
  </si>
  <si>
    <t>A001</t>
  </si>
  <si>
    <t>Anaconda Bayswater</t>
  </si>
  <si>
    <t>A021</t>
  </si>
  <si>
    <t>Anaconda Bendigo</t>
  </si>
  <si>
    <t>A041</t>
  </si>
  <si>
    <t>Anaconda Box Hill</t>
  </si>
  <si>
    <t>A071</t>
  </si>
  <si>
    <t>Anaconda Bunbury</t>
  </si>
  <si>
    <t>A037</t>
  </si>
  <si>
    <t>Anaconda Cairns</t>
  </si>
  <si>
    <t>A062</t>
  </si>
  <si>
    <t>Anaconda Campbelltown</t>
  </si>
  <si>
    <t>A006</t>
  </si>
  <si>
    <t>Anaconda Chullora</t>
  </si>
  <si>
    <t>A052</t>
  </si>
  <si>
    <t>Anaconda Epping</t>
  </si>
  <si>
    <t>A004</t>
  </si>
  <si>
    <t>Anaconda Everton Park</t>
  </si>
  <si>
    <t>A013</t>
  </si>
  <si>
    <t>Anaconda Frankston</t>
  </si>
  <si>
    <t>A009</t>
  </si>
  <si>
    <t>Anaconda Geelong</t>
  </si>
  <si>
    <t>A069</t>
  </si>
  <si>
    <t>Anaconda Gepps Cross</t>
  </si>
  <si>
    <t>A058</t>
  </si>
  <si>
    <t>Anaconda Hawthorn East</t>
  </si>
  <si>
    <t>A039</t>
  </si>
  <si>
    <t>Anaconda Highett</t>
  </si>
  <si>
    <t>A030</t>
  </si>
  <si>
    <t>Anaconda Hoppers Crossing</t>
  </si>
  <si>
    <t>A018</t>
  </si>
  <si>
    <t>Anaconda Kawana</t>
  </si>
  <si>
    <t>A028</t>
  </si>
  <si>
    <t>Anaconda Launceston</t>
  </si>
  <si>
    <t>A042</t>
  </si>
  <si>
    <t>Anaconda Maribyrnong</t>
  </si>
  <si>
    <t>A061</t>
  </si>
  <si>
    <t>Anaconda Marsden Park</t>
  </si>
  <si>
    <t>A008</t>
  </si>
  <si>
    <t>Anaconda Mile End</t>
  </si>
  <si>
    <t>A032</t>
  </si>
  <si>
    <t>Anaconda Modbury</t>
  </si>
  <si>
    <t>A017</t>
  </si>
  <si>
    <t>Anaconda Narre Warren</t>
  </si>
  <si>
    <t>A047</t>
  </si>
  <si>
    <t>Anaconda North Lakes</t>
  </si>
  <si>
    <t>A012</t>
  </si>
  <si>
    <t>Anaconda Penrith</t>
  </si>
  <si>
    <t>A020</t>
  </si>
  <si>
    <t>Anaconda Preston</t>
  </si>
  <si>
    <t>A055</t>
  </si>
  <si>
    <t>Anaconda Shepparton</t>
  </si>
  <si>
    <t>A026</t>
  </si>
  <si>
    <t>Anaconda Springvale</t>
  </si>
  <si>
    <t>A038</t>
  </si>
  <si>
    <t>Anaconda Toowoomba</t>
  </si>
  <si>
    <t>A033</t>
  </si>
  <si>
    <t>Anaconda Wagga Wagga</t>
  </si>
  <si>
    <t>A040</t>
  </si>
  <si>
    <t>Anaconda Watergardens</t>
  </si>
  <si>
    <t>Grand Total</t>
  </si>
  <si>
    <r>
      <rPr>
        <sz val="11"/>
        <color rgb="FFFF0000"/>
        <rFont val="Aptos Narrow"/>
        <family val="2"/>
        <scheme val="minor"/>
      </rPr>
      <t>*</t>
    </r>
    <r>
      <rPr>
        <sz val="11"/>
        <color indexed="8"/>
        <rFont val="Aptos Narrow"/>
        <family val="2"/>
        <scheme val="minor"/>
      </rPr>
      <t>Var denotes the Variance in YTD Columns</t>
    </r>
  </si>
  <si>
    <t>HS FEED</t>
  </si>
  <si>
    <t>HS2027</t>
  </si>
  <si>
    <t>Harris Scarfe Airport West</t>
  </si>
  <si>
    <t>HS1004</t>
  </si>
  <si>
    <t>Harris Scarfe Arndale</t>
  </si>
  <si>
    <t>HS2059</t>
  </si>
  <si>
    <t>Harris Scarfe Bairnsdale</t>
  </si>
  <si>
    <t>HS2019</t>
  </si>
  <si>
    <t>Harris Scarfe Ballarat</t>
  </si>
  <si>
    <t>HS5054</t>
  </si>
  <si>
    <t>Harris Scarfe Blacktown</t>
  </si>
  <si>
    <t>HS2042</t>
  </si>
  <si>
    <t>Harris Scarfe Carnegie</t>
  </si>
  <si>
    <t>HS2054</t>
  </si>
  <si>
    <t>Harris Scarfe Chirnside Park</t>
  </si>
  <si>
    <t>HS2055</t>
  </si>
  <si>
    <t>Harris Scarfe Craigieburn</t>
  </si>
  <si>
    <t>HS2028</t>
  </si>
  <si>
    <t>Harris Scarfe Cranbourne Park</t>
  </si>
  <si>
    <t>HS2057</t>
  </si>
  <si>
    <t>Harris Scarfe DC</t>
  </si>
  <si>
    <t>HS2033</t>
  </si>
  <si>
    <t>Harris Scarfe Eastland</t>
  </si>
  <si>
    <t>HS2023</t>
  </si>
  <si>
    <t>Harris Scarfe Epping</t>
  </si>
  <si>
    <t>HS2020</t>
  </si>
  <si>
    <t>Harris Scarfe Forest Hill</t>
  </si>
  <si>
    <t>HS2039</t>
  </si>
  <si>
    <t>Harris Scarfe Fountain Gate</t>
  </si>
  <si>
    <t>HS2045</t>
  </si>
  <si>
    <t>Harris Scarfe Frankston</t>
  </si>
  <si>
    <t>HS2021</t>
  </si>
  <si>
    <t>Harris Scarfe Geelong</t>
  </si>
  <si>
    <t>HS1013</t>
  </si>
  <si>
    <t>Harris Scarfe Gepps Cross</t>
  </si>
  <si>
    <t>HS2024</t>
  </si>
  <si>
    <t>Harris Scarfe Highpoint</t>
  </si>
  <si>
    <t>HS2022</t>
  </si>
  <si>
    <t>Harris Scarfe Knox</t>
  </si>
  <si>
    <t>HS9087</t>
  </si>
  <si>
    <t>Harris Scarfe Loganholme</t>
  </si>
  <si>
    <t>HS1011</t>
  </si>
  <si>
    <t>Harris Scarfe Marion</t>
  </si>
  <si>
    <t>HS2014</t>
  </si>
  <si>
    <t>Harris Scarfe Mornington</t>
  </si>
  <si>
    <t>HS2040</t>
  </si>
  <si>
    <t>Harris Scarfe Preston</t>
  </si>
  <si>
    <t>HS2026</t>
  </si>
  <si>
    <t>Harris Scarfe Shepparton</t>
  </si>
  <si>
    <t>HS2025</t>
  </si>
  <si>
    <t>Harris Scarfe Southland</t>
  </si>
  <si>
    <t>HS2016</t>
  </si>
  <si>
    <t>Harris Scarfe Spencer Outlet</t>
  </si>
  <si>
    <t>HS2031</t>
  </si>
  <si>
    <t>Harris Scarfe Sunbury</t>
  </si>
  <si>
    <t>HS2048</t>
  </si>
  <si>
    <t>Harris Scarfe Tarneit</t>
  </si>
  <si>
    <t>HS1008</t>
  </si>
  <si>
    <t>Harris Scarfe Tea Tree Plaza</t>
  </si>
  <si>
    <t>HS2032</t>
  </si>
  <si>
    <t>Harris Scarfe Traralgon</t>
  </si>
  <si>
    <t>HS6068</t>
  </si>
  <si>
    <t>Harris Scarfe Wagga Wagga</t>
  </si>
  <si>
    <t>HS2029</t>
  </si>
  <si>
    <t>Harris Scarfe Waurn Ponds</t>
  </si>
  <si>
    <t>HS1006</t>
  </si>
  <si>
    <t>Harris Scarfe West Lakes</t>
  </si>
  <si>
    <t>HS2017</t>
  </si>
  <si>
    <t>Harris Scarfe Woodgrove</t>
  </si>
  <si>
    <t>SPL FEED</t>
  </si>
  <si>
    <t>S021</t>
  </si>
  <si>
    <t>Spotlight Albury</t>
  </si>
  <si>
    <t>S013</t>
  </si>
  <si>
    <t>Spotlight Ballarat</t>
  </si>
  <si>
    <t>S014</t>
  </si>
  <si>
    <t>Spotlight Bayswater</t>
  </si>
  <si>
    <t>S026</t>
  </si>
  <si>
    <t>Spotlight Bendigo</t>
  </si>
  <si>
    <t>S002</t>
  </si>
  <si>
    <t>Spotlight Box Hill</t>
  </si>
  <si>
    <t>S084</t>
  </si>
  <si>
    <t>Spotlight Bunbury</t>
  </si>
  <si>
    <t>S069</t>
  </si>
  <si>
    <t>Spotlight Bundaberg</t>
  </si>
  <si>
    <t>S098</t>
  </si>
  <si>
    <t>Spotlight Burnside</t>
  </si>
  <si>
    <t>S037</t>
  </si>
  <si>
    <t>Spotlight Campbelltown</t>
  </si>
  <si>
    <t>S088</t>
  </si>
  <si>
    <t>Spotlight Castle Hill</t>
  </si>
  <si>
    <t>S074</t>
  </si>
  <si>
    <t>Spotlight Clovercrest</t>
  </si>
  <si>
    <t>S135</t>
  </si>
  <si>
    <t>Spotlight Cranbourne</t>
  </si>
  <si>
    <t>S114</t>
  </si>
  <si>
    <t>Spotlight Cranegie</t>
  </si>
  <si>
    <t>S161</t>
  </si>
  <si>
    <t>Spotlight Creative Carindale</t>
  </si>
  <si>
    <t>S057</t>
  </si>
  <si>
    <t>Spotlight Darwin</t>
  </si>
  <si>
    <t>S041</t>
  </si>
  <si>
    <t>Spotlight Dubbo</t>
  </si>
  <si>
    <t>S008</t>
  </si>
  <si>
    <t>Spotlight Essendon</t>
  </si>
  <si>
    <t>S070</t>
  </si>
  <si>
    <t>Spotlight Fountain Gate</t>
  </si>
  <si>
    <t>S110</t>
  </si>
  <si>
    <t>Spotlight Frankston</t>
  </si>
  <si>
    <t>S006</t>
  </si>
  <si>
    <t>Spotlight Geelong</t>
  </si>
  <si>
    <t>S119</t>
  </si>
  <si>
    <t>Spotlight Gepps Cross</t>
  </si>
  <si>
    <t>S034</t>
  </si>
  <si>
    <t>Spotlight Hoppers Crossing</t>
  </si>
  <si>
    <t>S052</t>
  </si>
  <si>
    <t>Spotlight Innaloo</t>
  </si>
  <si>
    <t>S011</t>
  </si>
  <si>
    <t>Spotlight Launceston</t>
  </si>
  <si>
    <t>S046</t>
  </si>
  <si>
    <t>Spotlight Mackay</t>
  </si>
  <si>
    <t>S010</t>
  </si>
  <si>
    <t>Spotlight Maribyrnong</t>
  </si>
  <si>
    <t>S004</t>
  </si>
  <si>
    <t>Spotlight Mentone</t>
  </si>
  <si>
    <t>S017</t>
  </si>
  <si>
    <t>Spotlight Mildura</t>
  </si>
  <si>
    <t>S120</t>
  </si>
  <si>
    <t>Spotlight Preston</t>
  </si>
  <si>
    <t>S053</t>
  </si>
  <si>
    <t>Spotlight Rockdale</t>
  </si>
  <si>
    <t>S065</t>
  </si>
  <si>
    <t>Spotlight Rockingham</t>
  </si>
  <si>
    <t>S145</t>
  </si>
  <si>
    <t>Spotlight Roxburgh Park</t>
  </si>
  <si>
    <t>S005</t>
  </si>
  <si>
    <t>Spotlight Sandown</t>
  </si>
  <si>
    <t>S029</t>
  </si>
  <si>
    <t>Spotlight Shepparton</t>
  </si>
  <si>
    <t>S027</t>
  </si>
  <si>
    <t>Spotlight South Melbourne</t>
  </si>
  <si>
    <t>S113</t>
  </si>
  <si>
    <t>Spotlight South Morang</t>
  </si>
  <si>
    <t>S159</t>
  </si>
  <si>
    <t>Spotlight The Glen Creative</t>
  </si>
  <si>
    <t>S009</t>
  </si>
  <si>
    <t>Spotlight Traralgon</t>
  </si>
  <si>
    <t>S025</t>
  </si>
  <si>
    <t>Spotlight Trinity Gardens</t>
  </si>
  <si>
    <t>S132</t>
  </si>
  <si>
    <t>Spotlight Wangaratta</t>
  </si>
  <si>
    <t>S168</t>
  </si>
  <si>
    <t>Spotlight Windsor</t>
  </si>
  <si>
    <t>S079</t>
  </si>
  <si>
    <t>Spotlight West Burleigh</t>
  </si>
  <si>
    <t>Fiscal Month</t>
  </si>
  <si>
    <t>(Multiple Items)</t>
  </si>
  <si>
    <t>Count of Brand</t>
  </si>
  <si>
    <t>Column Labels</t>
  </si>
  <si>
    <t>Row Labels</t>
  </si>
  <si>
    <t>Booked</t>
  </si>
  <si>
    <t>Complete</t>
  </si>
  <si>
    <t>In progress</t>
  </si>
  <si>
    <t>Ananconda</t>
  </si>
  <si>
    <t>Harris Scarfe</t>
  </si>
  <si>
    <t>Spotlight</t>
  </si>
  <si>
    <t>MAY, FY25</t>
  </si>
  <si>
    <t xml:space="preserve">YTD </t>
  </si>
  <si>
    <t>Employee number</t>
  </si>
  <si>
    <t>First name</t>
  </si>
  <si>
    <t>Last name</t>
  </si>
  <si>
    <t>Position Brand</t>
  </si>
  <si>
    <t>Activity type</t>
  </si>
  <si>
    <t>Learning Activity Title</t>
  </si>
  <si>
    <t>Booking status</t>
  </si>
  <si>
    <t>Booking date Date</t>
  </si>
  <si>
    <t>Event date Date</t>
  </si>
  <si>
    <t>Event title</t>
  </si>
  <si>
    <t>Event type</t>
  </si>
  <si>
    <t>Attendees</t>
  </si>
  <si>
    <t>Suburb</t>
  </si>
  <si>
    <t>Activity status</t>
  </si>
  <si>
    <t>Available positions</t>
  </si>
  <si>
    <t>Brand</t>
  </si>
  <si>
    <t>Fiscal Quarter</t>
  </si>
  <si>
    <t>Haneen</t>
  </si>
  <si>
    <t>Al Khamas</t>
  </si>
  <si>
    <t>eCommerce Management</t>
  </si>
  <si>
    <t>Work in Store</t>
  </si>
  <si>
    <t>Anaconda Working in Stores - Bayswater</t>
  </si>
  <si>
    <t>Accepted</t>
  </si>
  <si>
    <t>Working in Store - Anaconda Bayswater</t>
  </si>
  <si>
    <t>Learning</t>
  </si>
  <si>
    <t>Bayswater</t>
  </si>
  <si>
    <t>Harveen</t>
  </si>
  <si>
    <t>Puri</t>
  </si>
  <si>
    <t>Marketing</t>
  </si>
  <si>
    <t>Anaconda Working in Stores - Springvale</t>
  </si>
  <si>
    <t>Working in Store - Anaconda Springvale</t>
  </si>
  <si>
    <t>Springvale</t>
  </si>
  <si>
    <t>Jade</t>
  </si>
  <si>
    <t>Tan</t>
  </si>
  <si>
    <t>IT</t>
  </si>
  <si>
    <t>Anaconda Working in Stores - Box Hill</t>
  </si>
  <si>
    <t>Working in Store - Anaconda Box Hill</t>
  </si>
  <si>
    <t>Box Hill</t>
  </si>
  <si>
    <t>Lisa Giang</t>
  </si>
  <si>
    <t>Giang</t>
  </si>
  <si>
    <t>Property</t>
  </si>
  <si>
    <t>Anaconda Working in Stores - Watergardens</t>
  </si>
  <si>
    <t>Working in Store - Anaconda Watergardens</t>
  </si>
  <si>
    <t>Taylors Lake</t>
  </si>
  <si>
    <t>Jono</t>
  </si>
  <si>
    <t>Wright</t>
  </si>
  <si>
    <t>Anaconda Working in Stores - Ballarat</t>
  </si>
  <si>
    <t>Working in Store - Anaconda Ballarat</t>
  </si>
  <si>
    <t>Wendouree</t>
  </si>
  <si>
    <t>Leah</t>
  </si>
  <si>
    <t>Abicair</t>
  </si>
  <si>
    <t>Fabio</t>
  </si>
  <si>
    <t>Cigana</t>
  </si>
  <si>
    <t>Anaconda Working in Stores - Highett</t>
  </si>
  <si>
    <t>Working in Store - Anaconda Highett</t>
  </si>
  <si>
    <t>Highett</t>
  </si>
  <si>
    <t>Belinda</t>
  </si>
  <si>
    <t>Martin</t>
  </si>
  <si>
    <t>Anaconda Working in Stores - Preston</t>
  </si>
  <si>
    <t>Working in Store - Anaconda Preston</t>
  </si>
  <si>
    <t>Preston</t>
  </si>
  <si>
    <t>Pooja</t>
  </si>
  <si>
    <t>Satyanarayan</t>
  </si>
  <si>
    <t>HR MANAGEMENT</t>
  </si>
  <si>
    <t>Anaconda Working in Stores - Hawthorn East</t>
  </si>
  <si>
    <t>Working in Store - Anaconda Hawthorn East</t>
  </si>
  <si>
    <t>Hawthorn East</t>
  </si>
  <si>
    <t>Jannine</t>
  </si>
  <si>
    <t>Pattison</t>
  </si>
  <si>
    <t>Skip</t>
  </si>
  <si>
    <t>Foster</t>
  </si>
  <si>
    <t>Bicknell</t>
  </si>
  <si>
    <t>Anaconda Working in Stores - Epping</t>
  </si>
  <si>
    <t>Working in Store - Anaconda Epping</t>
  </si>
  <si>
    <t>Epping</t>
  </si>
  <si>
    <t>Ganda</t>
  </si>
  <si>
    <t>Sandjaja</t>
  </si>
  <si>
    <t>Yuan</t>
  </si>
  <si>
    <t>Jiang</t>
  </si>
  <si>
    <t>Lucy</t>
  </si>
  <si>
    <t>Lu</t>
  </si>
  <si>
    <t>Kc</t>
  </si>
  <si>
    <t>Howie</t>
  </si>
  <si>
    <t>GM Anaconda</t>
  </si>
  <si>
    <t>Anaconda Working in Stores - Bendigo</t>
  </si>
  <si>
    <t>Working in Store - Anaconda Bendigo</t>
  </si>
  <si>
    <t>Bendigo</t>
  </si>
  <si>
    <t>Sumitha</t>
  </si>
  <si>
    <t>Johnsilas</t>
  </si>
  <si>
    <t>SS Finance</t>
  </si>
  <si>
    <t>Chantelle</t>
  </si>
  <si>
    <t>Platt</t>
  </si>
  <si>
    <t>Anaconda Working in Stores - Maribyrnong</t>
  </si>
  <si>
    <t>Working in Store - Anaconda Maribyrnong</t>
  </si>
  <si>
    <t>Maribyrnong</t>
  </si>
  <si>
    <t>Leigh</t>
  </si>
  <si>
    <t>Boyle</t>
  </si>
  <si>
    <t>Andre</t>
  </si>
  <si>
    <t>Wilbraham</t>
  </si>
  <si>
    <t>Mikaylah</t>
  </si>
  <si>
    <t>Witanga</t>
  </si>
  <si>
    <t>Janeece</t>
  </si>
  <si>
    <t>Race</t>
  </si>
  <si>
    <t>Imesha</t>
  </si>
  <si>
    <t>Karunarathna</t>
  </si>
  <si>
    <t>Alex</t>
  </si>
  <si>
    <t>Fitzpatrick</t>
  </si>
  <si>
    <t>Kerry</t>
  </si>
  <si>
    <t>Kempster</t>
  </si>
  <si>
    <t>Anaconda Working in Stores - Narre Warren</t>
  </si>
  <si>
    <t>Working in Store - Anaconda Narre Warren</t>
  </si>
  <si>
    <t>Fountain Gate</t>
  </si>
  <si>
    <t>Yusra</t>
  </si>
  <si>
    <t>Tariq</t>
  </si>
  <si>
    <t>Anaconda Working in Stores - Hoppers Crossing</t>
  </si>
  <si>
    <t>Working in Store - Anaconda Hoppers Crossing</t>
  </si>
  <si>
    <t>Hoppers Crossing</t>
  </si>
  <si>
    <t>Lily</t>
  </si>
  <si>
    <t>Muffet</t>
  </si>
  <si>
    <t>Anaconda Working in Stores - Everton Park</t>
  </si>
  <si>
    <t>Working in Store - Anaconda Everton Park</t>
  </si>
  <si>
    <t>Everton Park</t>
  </si>
  <si>
    <t>Hadgie</t>
  </si>
  <si>
    <t>Tina</t>
  </si>
  <si>
    <t>Anaconda Working in Stores - Modbury</t>
  </si>
  <si>
    <t>Working in Store - Anaconda Modbury</t>
  </si>
  <si>
    <t>Modbury</t>
  </si>
  <si>
    <t>Anaconda Working in Stores - Gepps Cross</t>
  </si>
  <si>
    <t>Gepps Cross</t>
  </si>
  <si>
    <t>Sebastian</t>
  </si>
  <si>
    <t>Licciardi</t>
  </si>
  <si>
    <t>Kirsty</t>
  </si>
  <si>
    <t>Booth</t>
  </si>
  <si>
    <t>George</t>
  </si>
  <si>
    <t>Boussioutas</t>
  </si>
  <si>
    <t>Peter</t>
  </si>
  <si>
    <t>Ristevski</t>
  </si>
  <si>
    <t>Luke</t>
  </si>
  <si>
    <t>Mccredden</t>
  </si>
  <si>
    <t>Anaconda Working in Stores - Geelong</t>
  </si>
  <si>
    <t>Working in Store - Anaconda Geelong</t>
  </si>
  <si>
    <t>Geelong</t>
  </si>
  <si>
    <t>HS335112</t>
  </si>
  <si>
    <t>Djuma</t>
  </si>
  <si>
    <t>Kibundila</t>
  </si>
  <si>
    <t>Brad</t>
  </si>
  <si>
    <t>Sullivan</t>
  </si>
  <si>
    <t>May</t>
  </si>
  <si>
    <t>Lam</t>
  </si>
  <si>
    <t>Ashlee</t>
  </si>
  <si>
    <t>Russell</t>
  </si>
  <si>
    <t>Scott</t>
  </si>
  <si>
    <t>Woods</t>
  </si>
  <si>
    <t>Fotios</t>
  </si>
  <si>
    <t>Viskas</t>
  </si>
  <si>
    <t>Myra</t>
  </si>
  <si>
    <t>Watson</t>
  </si>
  <si>
    <t>Damian</t>
  </si>
  <si>
    <t>Kennedy</t>
  </si>
  <si>
    <t>Anaconda Working in Stores - North Lakes</t>
  </si>
  <si>
    <t>Working in Store - Anaconda North Lakes</t>
  </si>
  <si>
    <t>North Lakes</t>
  </si>
  <si>
    <t>Nick</t>
  </si>
  <si>
    <t>Hughes</t>
  </si>
  <si>
    <t>Dylan</t>
  </si>
  <si>
    <t>Fichera</t>
  </si>
  <si>
    <t>Mahum</t>
  </si>
  <si>
    <t>Sana</t>
  </si>
  <si>
    <t>Caleb</t>
  </si>
  <si>
    <t>Slater</t>
  </si>
  <si>
    <t>Declan</t>
  </si>
  <si>
    <t>Welsh</t>
  </si>
  <si>
    <t>Andrew</t>
  </si>
  <si>
    <t>Williams</t>
  </si>
  <si>
    <t>Missy</t>
  </si>
  <si>
    <t>Seymour</t>
  </si>
  <si>
    <t>Anaconda Working in Stores - Albury</t>
  </si>
  <si>
    <t>Working in Store - Anaconda Albury</t>
  </si>
  <si>
    <t>Albury</t>
  </si>
  <si>
    <t>Corey</t>
  </si>
  <si>
    <t>Childs</t>
  </si>
  <si>
    <t>Lauren Moolman</t>
  </si>
  <si>
    <t>Moolman</t>
  </si>
  <si>
    <t>Sean</t>
  </si>
  <si>
    <t>Le Hunt</t>
  </si>
  <si>
    <t>Courtney</t>
  </si>
  <si>
    <t>Mccoach</t>
  </si>
  <si>
    <t>Ben</t>
  </si>
  <si>
    <t>Fisher</t>
  </si>
  <si>
    <t>Butler</t>
  </si>
  <si>
    <t>Mads</t>
  </si>
  <si>
    <t>Knight</t>
  </si>
  <si>
    <t>Jet</t>
  </si>
  <si>
    <t>Darby</t>
  </si>
  <si>
    <t>Lawrence</t>
  </si>
  <si>
    <t>Belajeff</t>
  </si>
  <si>
    <t>Hisham</t>
  </si>
  <si>
    <t>Hassan</t>
  </si>
  <si>
    <t>Pradip</t>
  </si>
  <si>
    <t>Marek</t>
  </si>
  <si>
    <t>Tatiana</t>
  </si>
  <si>
    <t>Ko</t>
  </si>
  <si>
    <t>Satish</t>
  </si>
  <si>
    <t>Muthuarumugam</t>
  </si>
  <si>
    <t>Nadav</t>
  </si>
  <si>
    <t>Greenberger</t>
  </si>
  <si>
    <t>Kristian</t>
  </si>
  <si>
    <t>Thomas</t>
  </si>
  <si>
    <t>Dee</t>
  </si>
  <si>
    <t>Iddamalgoda</t>
  </si>
  <si>
    <t>Sal</t>
  </si>
  <si>
    <t>Vitiello</t>
  </si>
  <si>
    <t>Kevin</t>
  </si>
  <si>
    <t>Huynh</t>
  </si>
  <si>
    <t>Ansley</t>
  </si>
  <si>
    <t>Penny</t>
  </si>
  <si>
    <t>Robin</t>
  </si>
  <si>
    <t>Bec</t>
  </si>
  <si>
    <t>Luong</t>
  </si>
  <si>
    <t>Matt</t>
  </si>
  <si>
    <t>Demarco</t>
  </si>
  <si>
    <t>Gabrielle</t>
  </si>
  <si>
    <t>Xu</t>
  </si>
  <si>
    <t>Benjamin</t>
  </si>
  <si>
    <t>Hayes</t>
  </si>
  <si>
    <t>Kathryn</t>
  </si>
  <si>
    <t>Buchanan</t>
  </si>
  <si>
    <t>Working in Stores - Anaconda Launceston</t>
  </si>
  <si>
    <t>Ethan</t>
  </si>
  <si>
    <t>Perry</t>
  </si>
  <si>
    <t>Angela</t>
  </si>
  <si>
    <t>Georgieska</t>
  </si>
  <si>
    <t>Naveen</t>
  </si>
  <si>
    <t>Prakash</t>
  </si>
  <si>
    <t>Ankit</t>
  </si>
  <si>
    <t>Bansal</t>
  </si>
  <si>
    <t>Rio</t>
  </si>
  <si>
    <t>Nancy</t>
  </si>
  <si>
    <t>Goegan</t>
  </si>
  <si>
    <t>Tarryn</t>
  </si>
  <si>
    <t>Eddy</t>
  </si>
  <si>
    <t>Tiffany</t>
  </si>
  <si>
    <t>Kwee</t>
  </si>
  <si>
    <t>Helen</t>
  </si>
  <si>
    <t>Athanasakopoulos</t>
  </si>
  <si>
    <t>Manel</t>
  </si>
  <si>
    <t>David</t>
  </si>
  <si>
    <t>Fountain</t>
  </si>
  <si>
    <t>Pieter</t>
  </si>
  <si>
    <t>Van Der Berg</t>
  </si>
  <si>
    <t>Juanita</t>
  </si>
  <si>
    <t>Aguero</t>
  </si>
  <si>
    <t>Renee</t>
  </si>
  <si>
    <t>Freeland</t>
  </si>
  <si>
    <t>Mark</t>
  </si>
  <si>
    <t>Shears</t>
  </si>
  <si>
    <t>GM MERCH SPOTLIGHT</t>
  </si>
  <si>
    <t>Gaurav</t>
  </si>
  <si>
    <t>Bhat</t>
  </si>
  <si>
    <t>Harsimar</t>
  </si>
  <si>
    <t>Kaur</t>
  </si>
  <si>
    <t>Garvey</t>
  </si>
  <si>
    <t>Kelley</t>
  </si>
  <si>
    <t>Brydon</t>
  </si>
  <si>
    <t>ANALYTICS &amp; INSIGHTS</t>
  </si>
  <si>
    <t>Kerri</t>
  </si>
  <si>
    <t>Rickards</t>
  </si>
  <si>
    <t>Jeremy</t>
  </si>
  <si>
    <t>Gaffney</t>
  </si>
  <si>
    <t>Saif</t>
  </si>
  <si>
    <t>Kallayi Valappil Ibrahim</t>
  </si>
  <si>
    <t>Aaron</t>
  </si>
  <si>
    <t>Muscara</t>
  </si>
  <si>
    <t>Jose</t>
  </si>
  <si>
    <t>Rivera Cordoba</t>
  </si>
  <si>
    <t>Gerard</t>
  </si>
  <si>
    <t>Wilkie</t>
  </si>
  <si>
    <t>Afnan</t>
  </si>
  <si>
    <t>Idrees</t>
  </si>
  <si>
    <t>Sonal</t>
  </si>
  <si>
    <t>Bhatia</t>
  </si>
  <si>
    <t>Avi</t>
  </si>
  <si>
    <t>Gilboa</t>
  </si>
  <si>
    <t>Sue</t>
  </si>
  <si>
    <t>Kropik</t>
  </si>
  <si>
    <t>De Luca</t>
  </si>
  <si>
    <t>Thida</t>
  </si>
  <si>
    <t>Zaw</t>
  </si>
  <si>
    <t>Amanda</t>
  </si>
  <si>
    <t>Rees</t>
  </si>
  <si>
    <t>Tony</t>
  </si>
  <si>
    <t>Stanghi</t>
  </si>
  <si>
    <t>Christina</t>
  </si>
  <si>
    <t>Koutsaplis</t>
  </si>
  <si>
    <t>Aleecia</t>
  </si>
  <si>
    <t>Rae</t>
  </si>
  <si>
    <t>Jane</t>
  </si>
  <si>
    <t>Dong</t>
  </si>
  <si>
    <t>Supply Chain</t>
  </si>
  <si>
    <t>Nelson Shen</t>
  </si>
  <si>
    <t>Shen</t>
  </si>
  <si>
    <t>Christopher</t>
  </si>
  <si>
    <t>Bond</t>
  </si>
  <si>
    <t>Carol</t>
  </si>
  <si>
    <t>Donald</t>
  </si>
  <si>
    <t>Arvanitakis</t>
  </si>
  <si>
    <t>Trina</t>
  </si>
  <si>
    <t>Littlepage</t>
  </si>
  <si>
    <t>Chris</t>
  </si>
  <si>
    <t>Howard</t>
  </si>
  <si>
    <t>Puli</t>
  </si>
  <si>
    <t>Chuin</t>
  </si>
  <si>
    <t>Lee</t>
  </si>
  <si>
    <t>Gabbie</t>
  </si>
  <si>
    <t>Ciavarella</t>
  </si>
  <si>
    <t>Jesvinder</t>
  </si>
  <si>
    <t>Chaal</t>
  </si>
  <si>
    <t>Galea</t>
  </si>
  <si>
    <t>Anirudh Singh</t>
  </si>
  <si>
    <t>Singh</t>
  </si>
  <si>
    <t>Nestor</t>
  </si>
  <si>
    <t>Valverde Castro</t>
  </si>
  <si>
    <t>Michael</t>
  </si>
  <si>
    <t>Johnson</t>
  </si>
  <si>
    <t>Working in Stores - Anaconda Mile End</t>
  </si>
  <si>
    <t>Manadheera</t>
  </si>
  <si>
    <t>Furey</t>
  </si>
  <si>
    <t>Jacqueline</t>
  </si>
  <si>
    <t>Doria</t>
  </si>
  <si>
    <t>Wayne</t>
  </si>
  <si>
    <t>Micallef</t>
  </si>
  <si>
    <t>Working in Stores - Anaconda Penrith</t>
  </si>
  <si>
    <t>Working in Store - Anaconda Penrith</t>
  </si>
  <si>
    <t>Adam Roberts</t>
  </si>
  <si>
    <t>Roberts</t>
  </si>
  <si>
    <t>Kim</t>
  </si>
  <si>
    <t>Allen</t>
  </si>
  <si>
    <t>Susanty</t>
  </si>
  <si>
    <t>Irawan</t>
  </si>
  <si>
    <t>Shakira</t>
  </si>
  <si>
    <t>Solis</t>
  </si>
  <si>
    <t>Kunal</t>
  </si>
  <si>
    <t>Mazumdar</t>
  </si>
  <si>
    <t>Gavin</t>
  </si>
  <si>
    <t>Hannaford</t>
  </si>
  <si>
    <t>Dimitra</t>
  </si>
  <si>
    <t>Soulemezis</t>
  </si>
  <si>
    <t>Marius</t>
  </si>
  <si>
    <t>Muller</t>
  </si>
  <si>
    <t>Anaconda Working in Stores - Ashmore</t>
  </si>
  <si>
    <t>Working in Store - Anaconda  Ashmore</t>
  </si>
  <si>
    <t>Jonathon</t>
  </si>
  <si>
    <t>Rann</t>
  </si>
  <si>
    <t>Jaspreet Kaur</t>
  </si>
  <si>
    <t>Satwan Singh</t>
  </si>
  <si>
    <t>Ibrahim</t>
  </si>
  <si>
    <t>Polutak</t>
  </si>
  <si>
    <t>Ayman Elmoustafa</t>
  </si>
  <si>
    <t>El Moustafa</t>
  </si>
  <si>
    <t>Palmer</t>
  </si>
  <si>
    <t>Girardi</t>
  </si>
  <si>
    <t>Arlyn</t>
  </si>
  <si>
    <t>Abaldonado</t>
  </si>
  <si>
    <t>Sneha</t>
  </si>
  <si>
    <t>Bhegade</t>
  </si>
  <si>
    <t>Hazlett</t>
  </si>
  <si>
    <t>Anthony</t>
  </si>
  <si>
    <t>Geary</t>
  </si>
  <si>
    <t>Brett</t>
  </si>
  <si>
    <t>Wallace</t>
  </si>
  <si>
    <t>Kristy</t>
  </si>
  <si>
    <t>Rosengren-Loughry</t>
  </si>
  <si>
    <t>Nez</t>
  </si>
  <si>
    <t>Toprak</t>
  </si>
  <si>
    <t>Anaconda Working in Stores - Frankston</t>
  </si>
  <si>
    <t>Working in Store - Anaconda Frankston</t>
  </si>
  <si>
    <t>Frankston</t>
  </si>
  <si>
    <t>Rachael</t>
  </si>
  <si>
    <t>Mendez</t>
  </si>
  <si>
    <t>Gessica</t>
  </si>
  <si>
    <t>Vittone Taylor</t>
  </si>
  <si>
    <t>Charmaine</t>
  </si>
  <si>
    <t>Chin</t>
  </si>
  <si>
    <t>Christian</t>
  </si>
  <si>
    <t>Ferrero</t>
  </si>
  <si>
    <t>Wi</t>
  </si>
  <si>
    <t>Tanto</t>
  </si>
  <si>
    <t>Gabbi</t>
  </si>
  <si>
    <t>Fetalvero</t>
  </si>
  <si>
    <t>Catherine</t>
  </si>
  <si>
    <t>Louey</t>
  </si>
  <si>
    <t>Maritsa</t>
  </si>
  <si>
    <t>Georgiou</t>
  </si>
  <si>
    <t>Erin</t>
  </si>
  <si>
    <t>Sidwell</t>
  </si>
  <si>
    <t>Richard</t>
  </si>
  <si>
    <t>Jones</t>
  </si>
  <si>
    <t>Nathan</t>
  </si>
  <si>
    <t>Cook</t>
  </si>
  <si>
    <t>Su</t>
  </si>
  <si>
    <t>Xie</t>
  </si>
  <si>
    <t>Nadia</t>
  </si>
  <si>
    <t>Duffy</t>
  </si>
  <si>
    <t>Melissa</t>
  </si>
  <si>
    <t>Adeson</t>
  </si>
  <si>
    <t>Adam</t>
  </si>
  <si>
    <t>Brozinski</t>
  </si>
  <si>
    <t>Andrea</t>
  </si>
  <si>
    <t>Day</t>
  </si>
  <si>
    <t>Tyler</t>
  </si>
  <si>
    <t>Britton</t>
  </si>
  <si>
    <t>Clare</t>
  </si>
  <si>
    <t>Taylor</t>
  </si>
  <si>
    <t>Ash</t>
  </si>
  <si>
    <t>Bhandari</t>
  </si>
  <si>
    <t>Anaconda Working in Stores - Cairns</t>
  </si>
  <si>
    <t>Working in store -  Anaconda Cairns</t>
  </si>
  <si>
    <t>Cairns</t>
  </si>
  <si>
    <t>Vicki</t>
  </si>
  <si>
    <t>Liassos</t>
  </si>
  <si>
    <t>Edwards</t>
  </si>
  <si>
    <t>Dean</t>
  </si>
  <si>
    <t>Yendall</t>
  </si>
  <si>
    <t>Jing Ying</t>
  </si>
  <si>
    <t>Low</t>
  </si>
  <si>
    <t>Exemption - Working in Store</t>
  </si>
  <si>
    <t>Working In Store Exemption 2025</t>
  </si>
  <si>
    <t>Brown</t>
  </si>
  <si>
    <t>Josie</t>
  </si>
  <si>
    <t>Gonzalez</t>
  </si>
  <si>
    <t>Exemption - Working in Store 2023</t>
  </si>
  <si>
    <t>Work in store -Exemption 2023</t>
  </si>
  <si>
    <t>South Melbourne</t>
  </si>
  <si>
    <t>Steve</t>
  </si>
  <si>
    <t>Harrison</t>
  </si>
  <si>
    <t>Tom</t>
  </si>
  <si>
    <t>Nicou</t>
  </si>
  <si>
    <t>B</t>
  </si>
  <si>
    <t>Dessmann</t>
  </si>
  <si>
    <t>Antonio</t>
  </si>
  <si>
    <t>Lai Patricio Coelho</t>
  </si>
  <si>
    <t>Jill</t>
  </si>
  <si>
    <t>Jardine</t>
  </si>
  <si>
    <t>Rebecca</t>
  </si>
  <si>
    <t>Kidd</t>
  </si>
  <si>
    <t>Luba</t>
  </si>
  <si>
    <t>Mitreska</t>
  </si>
  <si>
    <t>Boyd</t>
  </si>
  <si>
    <t>Brea</t>
  </si>
  <si>
    <t>Rollinson</t>
  </si>
  <si>
    <t>Bobby</t>
  </si>
  <si>
    <t>Sajja</t>
  </si>
  <si>
    <t>Marie</t>
  </si>
  <si>
    <t>Uisa</t>
  </si>
  <si>
    <t>Joseph Hew</t>
  </si>
  <si>
    <t>Hew</t>
  </si>
  <si>
    <t>Victor</t>
  </si>
  <si>
    <t>Zeng</t>
  </si>
  <si>
    <t>Hayley</t>
  </si>
  <si>
    <t>Maxwell</t>
  </si>
  <si>
    <t>Dave</t>
  </si>
  <si>
    <t>Bassett</t>
  </si>
  <si>
    <t>Bernie</t>
  </si>
  <si>
    <t>Neilsen</t>
  </si>
  <si>
    <t>Claire</t>
  </si>
  <si>
    <t>Harrington</t>
  </si>
  <si>
    <t>Simone</t>
  </si>
  <si>
    <t>Mcabee</t>
  </si>
  <si>
    <t>Working in Store - Exempt</t>
  </si>
  <si>
    <t>Vittoria</t>
  </si>
  <si>
    <t>Bendinelli</t>
  </si>
  <si>
    <t>Puopolo</t>
  </si>
  <si>
    <t>Sai Kavya</t>
  </si>
  <si>
    <t>Koppolu</t>
  </si>
  <si>
    <t>Niki</t>
  </si>
  <si>
    <t>Campbell</t>
  </si>
  <si>
    <t>Viki</t>
  </si>
  <si>
    <t>Dinef</t>
  </si>
  <si>
    <t>Harris Scarfe Working in Store - Highpoint</t>
  </si>
  <si>
    <t>Working in Store - Harris Scarfe Highpoint</t>
  </si>
  <si>
    <t>Harris Scarfe Working in Stores - Knox</t>
  </si>
  <si>
    <t>Working in Store - Harris Scarfe Knox</t>
  </si>
  <si>
    <t>Wantirna South</t>
  </si>
  <si>
    <t>Harris Scarfe Working in Stores - Spencer Outlet</t>
  </si>
  <si>
    <t>Working in Store - Harris Scarfe Spencer Outlet</t>
  </si>
  <si>
    <t>Docklands</t>
  </si>
  <si>
    <t>Drew</t>
  </si>
  <si>
    <t>Wells</t>
  </si>
  <si>
    <t>Phil</t>
  </si>
  <si>
    <t>Curtis</t>
  </si>
  <si>
    <t>Lea</t>
  </si>
  <si>
    <t>Harris Scarfe Working in Stores - Sunbury</t>
  </si>
  <si>
    <t>Working in Store - Harris Scarfe Sunbury</t>
  </si>
  <si>
    <t>Sunbury</t>
  </si>
  <si>
    <t>Celeste</t>
  </si>
  <si>
    <t>Burgess</t>
  </si>
  <si>
    <t>Gill</t>
  </si>
  <si>
    <t>Couper</t>
  </si>
  <si>
    <t>Berlin</t>
  </si>
  <si>
    <t>Nikkie</t>
  </si>
  <si>
    <t>Nardo</t>
  </si>
  <si>
    <t>Shaistha</t>
  </si>
  <si>
    <t>Begum</t>
  </si>
  <si>
    <t>Harris Scarfe Working in Stores - Preston</t>
  </si>
  <si>
    <t>Working in Store - Harris Scarfe Preston</t>
  </si>
  <si>
    <t>Harris Scarfe Working in Stores - Airport West</t>
  </si>
  <si>
    <t>Working in Store - Harris Scarfe Airport West</t>
  </si>
  <si>
    <t>Airport West</t>
  </si>
  <si>
    <t>Harris Scarfe Working in Store - Chirnside Park</t>
  </si>
  <si>
    <t>Working in Store - Harris Scarfe Chirnside Park</t>
  </si>
  <si>
    <t>Melbourne</t>
  </si>
  <si>
    <t>Aman</t>
  </si>
  <si>
    <t>Vasan</t>
  </si>
  <si>
    <t>Harris Scarfe Working in Stores - Epping</t>
  </si>
  <si>
    <t>Working in Store - Harris Scarfe Epping</t>
  </si>
  <si>
    <t>Karen</t>
  </si>
  <si>
    <t>Lai</t>
  </si>
  <si>
    <t>Harris Scarfe Working in Stores - Carnegie</t>
  </si>
  <si>
    <t>Working in Store - Harris Scarfe Carnegie</t>
  </si>
  <si>
    <t>Carnegie</t>
  </si>
  <si>
    <t>Anita</t>
  </si>
  <si>
    <t>Ali</t>
  </si>
  <si>
    <t>Luan</t>
  </si>
  <si>
    <t>Nguyen</t>
  </si>
  <si>
    <t>Harris Scarfe Working in Stores - Woodgrove</t>
  </si>
  <si>
    <t>Working in Store - Harris Scarfe Woodgrove</t>
  </si>
  <si>
    <t>Melton</t>
  </si>
  <si>
    <t>Harris Scarfe Working in Stores - Tarneit</t>
  </si>
  <si>
    <t>Working in Store - Harris Scarfe Tarneit</t>
  </si>
  <si>
    <t>Tarneit</t>
  </si>
  <si>
    <t>Joanne</t>
  </si>
  <si>
    <t>Fatai</t>
  </si>
  <si>
    <t>Yulia</t>
  </si>
  <si>
    <t>Bolton</t>
  </si>
  <si>
    <t>Steers</t>
  </si>
  <si>
    <t>Harris Scarfe Working in Store - Shepparton</t>
  </si>
  <si>
    <t xml:space="preserve">Harris Scarfe Working in Store - Shepparton </t>
  </si>
  <si>
    <t>Michelle</t>
  </si>
  <si>
    <t>Bowden</t>
  </si>
  <si>
    <t>Harris Scarfe Working in Store - DC</t>
  </si>
  <si>
    <t>HS Working in Stores - DC</t>
  </si>
  <si>
    <t>laverton North</t>
  </si>
  <si>
    <t>Harris Scarfe Working in Stores - Forest Hill</t>
  </si>
  <si>
    <t>Working in Store - Harris Scarfe Forest Hill</t>
  </si>
  <si>
    <t>Forest Hill</t>
  </si>
  <si>
    <t>Harris Scarfe Working in Store - Marion</t>
  </si>
  <si>
    <t>Summers</t>
  </si>
  <si>
    <t>Harris Scarfe Working in Stores - Frankston</t>
  </si>
  <si>
    <t>Working in Store - Harris Scarfe Frankston</t>
  </si>
  <si>
    <t>Tara</t>
  </si>
  <si>
    <t>Saltzman</t>
  </si>
  <si>
    <t>Justin</t>
  </si>
  <si>
    <t>Scollo</t>
  </si>
  <si>
    <t>Escarlett</t>
  </si>
  <si>
    <t>Patriarca</t>
  </si>
  <si>
    <t>Anh</t>
  </si>
  <si>
    <t>Truong</t>
  </si>
  <si>
    <t>Harris Scarfe Working in Stores - Fountain Gate</t>
  </si>
  <si>
    <t>Working in Store - Harris Scarfe Fountain Gate</t>
  </si>
  <si>
    <t>Carbone</t>
  </si>
  <si>
    <t>Jack</t>
  </si>
  <si>
    <t>Gibbs</t>
  </si>
  <si>
    <t>Sam</t>
  </si>
  <si>
    <t>Barclay</t>
  </si>
  <si>
    <t>Priya</t>
  </si>
  <si>
    <t>Parthasarathy</t>
  </si>
  <si>
    <t>Annie</t>
  </si>
  <si>
    <t>Chung</t>
  </si>
  <si>
    <t>Harris Scarfe Working in Stores - Southland</t>
  </si>
  <si>
    <t>Working in Store - Harris Scarfe Southland</t>
  </si>
  <si>
    <t>Cheltenham</t>
  </si>
  <si>
    <t>Fi</t>
  </si>
  <si>
    <t>Cassidy</t>
  </si>
  <si>
    <t>Callia</t>
  </si>
  <si>
    <t>Emory</t>
  </si>
  <si>
    <t>Allison</t>
  </si>
  <si>
    <t>Bell</t>
  </si>
  <si>
    <t>Katie</t>
  </si>
  <si>
    <t>Van Leeuwen</t>
  </si>
  <si>
    <t>Vijay</t>
  </si>
  <si>
    <t>Shanbhag</t>
  </si>
  <si>
    <t>Nikita</t>
  </si>
  <si>
    <t>Shah</t>
  </si>
  <si>
    <t>Maleka</t>
  </si>
  <si>
    <t>Henderson</t>
  </si>
  <si>
    <t>Harris Scarfe Working in Store - Bairnsdale</t>
  </si>
  <si>
    <t>Working in Store - Harris Scarfe Bairnsdale</t>
  </si>
  <si>
    <t>Sheldon</t>
  </si>
  <si>
    <t>Phulpagar</t>
  </si>
  <si>
    <t>HS331409</t>
  </si>
  <si>
    <t>Marlene</t>
  </si>
  <si>
    <t>Najem</t>
  </si>
  <si>
    <t>Wait list</t>
  </si>
  <si>
    <t>Francis</t>
  </si>
  <si>
    <t>Bourke</t>
  </si>
  <si>
    <t>Mondoni</t>
  </si>
  <si>
    <t>Vanessa</t>
  </si>
  <si>
    <t>Peluso</t>
  </si>
  <si>
    <t>Harris Scarfe Working in Stores - Mornington</t>
  </si>
  <si>
    <t>Working in Store - Harris Scarfe Mornington</t>
  </si>
  <si>
    <t>Mornington</t>
  </si>
  <si>
    <t>Lynne Barron</t>
  </si>
  <si>
    <t>Barron</t>
  </si>
  <si>
    <t>Harris Scarfe Working in Stores - Eastland</t>
  </si>
  <si>
    <t>Working in Store - Harris Scarfe Eastland</t>
  </si>
  <si>
    <t>Ringwood</t>
  </si>
  <si>
    <t>Harris Scarfe Working in Store - West Lakes</t>
  </si>
  <si>
    <t>Working in Store - Harris Scarfe West Lakes</t>
  </si>
  <si>
    <t xml:space="preserve">West Lakes </t>
  </si>
  <si>
    <t>Jennelle</t>
  </si>
  <si>
    <t>Devereux</t>
  </si>
  <si>
    <t>Sunshine</t>
  </si>
  <si>
    <t>Steward</t>
  </si>
  <si>
    <t>Sarah</t>
  </si>
  <si>
    <t>Salim</t>
  </si>
  <si>
    <t>GM Spotlight</t>
  </si>
  <si>
    <t>Kate</t>
  </si>
  <si>
    <t>Demme</t>
  </si>
  <si>
    <t>Harris Scarfe Working in Stores - Geelong</t>
  </si>
  <si>
    <t>Working in Store - Harris Scarfe Geelong</t>
  </si>
  <si>
    <t>Napoli</t>
  </si>
  <si>
    <t>Michel</t>
  </si>
  <si>
    <t>Gloutnay</t>
  </si>
  <si>
    <t>Harris Scarfe Working in Stores - Blacktown</t>
  </si>
  <si>
    <t>Working in Store - Harris Scarfe Blacktown</t>
  </si>
  <si>
    <t>Blacktown</t>
  </si>
  <si>
    <t>Mohit</t>
  </si>
  <si>
    <t>Sharma</t>
  </si>
  <si>
    <t>Elise</t>
  </si>
  <si>
    <t>Forsyth-Harrison</t>
  </si>
  <si>
    <t>Tim</t>
  </si>
  <si>
    <t>Charman</t>
  </si>
  <si>
    <t>Sarson</t>
  </si>
  <si>
    <t>Harris Scarfe Working in Store - Gepps Cross</t>
  </si>
  <si>
    <t>Working in Store - Harris Scarfe Gepps Cross</t>
  </si>
  <si>
    <t>Shona</t>
  </si>
  <si>
    <t>Buttrey</t>
  </si>
  <si>
    <t>Harris Scarfe Working in Stores - Waurn Ponds</t>
  </si>
  <si>
    <t>Working in Store - Harris Scarfe Waurn Ponds</t>
  </si>
  <si>
    <t>Waurn Ponds</t>
  </si>
  <si>
    <t>Mccandlish</t>
  </si>
  <si>
    <t>West</t>
  </si>
  <si>
    <t>Dimitri</t>
  </si>
  <si>
    <t>Sioutkos</t>
  </si>
  <si>
    <t>Michail</t>
  </si>
  <si>
    <t>Fuad</t>
  </si>
  <si>
    <t>Abdi</t>
  </si>
  <si>
    <t>Mucic</t>
  </si>
  <si>
    <t>Joseph</t>
  </si>
  <si>
    <t>Zooeff</t>
  </si>
  <si>
    <t>Jodi</t>
  </si>
  <si>
    <t>Muzir</t>
  </si>
  <si>
    <t>Robert</t>
  </si>
  <si>
    <t>Ryan</t>
  </si>
  <si>
    <t>Jason</t>
  </si>
  <si>
    <t>Wolff</t>
  </si>
  <si>
    <t>Harris Scarfe Working in Stores -Loganholme</t>
  </si>
  <si>
    <t>Working in Store -Harris Scarfe Loganholme</t>
  </si>
  <si>
    <t>Cass</t>
  </si>
  <si>
    <t>Ambrosino</t>
  </si>
  <si>
    <t>Harry</t>
  </si>
  <si>
    <t>Ashton</t>
  </si>
  <si>
    <t>Sindhu</t>
  </si>
  <si>
    <t>Sayana</t>
  </si>
  <si>
    <t>Jordan</t>
  </si>
  <si>
    <t>Glass</t>
  </si>
  <si>
    <t>Reece</t>
  </si>
  <si>
    <t>Shaw</t>
  </si>
  <si>
    <t>Ailen</t>
  </si>
  <si>
    <t>Collado</t>
  </si>
  <si>
    <t>Sowmya</t>
  </si>
  <si>
    <t>Shankaranarayana</t>
  </si>
  <si>
    <t>Iacobaccio</t>
  </si>
  <si>
    <t>Hannah</t>
  </si>
  <si>
    <t>Heathcote</t>
  </si>
  <si>
    <t>Working in Store - Spotlight Fountain Gate</t>
  </si>
  <si>
    <t>Working in Store - Spotlight Roxburgh Park</t>
  </si>
  <si>
    <t>Roxburgh Park</t>
  </si>
  <si>
    <t>Maria</t>
  </si>
  <si>
    <t>Tenace</t>
  </si>
  <si>
    <t>Working in Store - Spotlight Carnegie</t>
  </si>
  <si>
    <t>Working in Store- Spotlight Cranegie</t>
  </si>
  <si>
    <t>Working in Store - Spotlight Hoppers Crossing</t>
  </si>
  <si>
    <t>Working in Store - Spotlight The Glen Creative</t>
  </si>
  <si>
    <t>Glen Waverley</t>
  </si>
  <si>
    <t>Working in Store - Spotlight Launceston</t>
  </si>
  <si>
    <t>Launceston</t>
  </si>
  <si>
    <t>Working in Store - Spotlight Essendon</t>
  </si>
  <si>
    <t>Strathmore</t>
  </si>
  <si>
    <t>Nooshin</t>
  </si>
  <si>
    <t>Dadkhahtehrani</t>
  </si>
  <si>
    <t>Working in Store - Spotlight South Melbourne</t>
  </si>
  <si>
    <t>Working in Stores - Spotlight Bayswater</t>
  </si>
  <si>
    <t>Working in Store - Spotlight Bayswater</t>
  </si>
  <si>
    <t>Working in Store - Spotlight Box Hill</t>
  </si>
  <si>
    <t>Julie</t>
  </si>
  <si>
    <t>Huang</t>
  </si>
  <si>
    <t>Brendan</t>
  </si>
  <si>
    <t>Matheson</t>
  </si>
  <si>
    <t>Working in Store - Spotlight Wangaratta</t>
  </si>
  <si>
    <t>Wangaratta</t>
  </si>
  <si>
    <t>Chaitra</t>
  </si>
  <si>
    <t>Chandra Mouli</t>
  </si>
  <si>
    <t>Jonathan</t>
  </si>
  <si>
    <t>Ma</t>
  </si>
  <si>
    <t>Working in Store - Spotlight Burnside</t>
  </si>
  <si>
    <t>Caroline Springs</t>
  </si>
  <si>
    <t>Vinchi</t>
  </si>
  <si>
    <t>Chan</t>
  </si>
  <si>
    <t>Sima</t>
  </si>
  <si>
    <t>Karki</t>
  </si>
  <si>
    <t>Steph</t>
  </si>
  <si>
    <t>Taupin</t>
  </si>
  <si>
    <t>Working in Store - Spotlight Sandown</t>
  </si>
  <si>
    <t>SPRINGVALE</t>
  </si>
  <si>
    <t>Shan</t>
  </si>
  <si>
    <t>Lattin</t>
  </si>
  <si>
    <t>Subrat</t>
  </si>
  <si>
    <t>Rana</t>
  </si>
  <si>
    <t>Tharika</t>
  </si>
  <si>
    <t>Wijesinghe Seneviratne G</t>
  </si>
  <si>
    <t>Working in Store - Spotlight Maribyrnong</t>
  </si>
  <si>
    <t>Dhinesh</t>
  </si>
  <si>
    <t>Sabhapathi</t>
  </si>
  <si>
    <t>Fiona Thornton</t>
  </si>
  <si>
    <t>Thornton</t>
  </si>
  <si>
    <t>Working in Store - Spotlight Clovercrest</t>
  </si>
  <si>
    <t>Bryan</t>
  </si>
  <si>
    <t>Richardson</t>
  </si>
  <si>
    <t>Luka</t>
  </si>
  <si>
    <t>Licandro</t>
  </si>
  <si>
    <t>Anna</t>
  </si>
  <si>
    <t>Quin</t>
  </si>
  <si>
    <t>Frank</t>
  </si>
  <si>
    <t>Dalupang</t>
  </si>
  <si>
    <t>Soraya</t>
  </si>
  <si>
    <t>Franklin</t>
  </si>
  <si>
    <t>Working in Store - Spotlight South Morang</t>
  </si>
  <si>
    <t>South Morang</t>
  </si>
  <si>
    <t>Samreth</t>
  </si>
  <si>
    <t>Working in Store - Spotlight Cranbourne</t>
  </si>
  <si>
    <t>Cranbourne</t>
  </si>
  <si>
    <t>James</t>
  </si>
  <si>
    <t>Goel</t>
  </si>
  <si>
    <t>Gerst</t>
  </si>
  <si>
    <t>Working in Store - Spotlight Campbelltown</t>
  </si>
  <si>
    <t>Campbelltown</t>
  </si>
  <si>
    <t>Working in Store - Spotlight Preston</t>
  </si>
  <si>
    <t>Jackson</t>
  </si>
  <si>
    <t>Von Menge</t>
  </si>
  <si>
    <t>Linda</t>
  </si>
  <si>
    <t>Abela</t>
  </si>
  <si>
    <t>Working in Store - Spotlight Castle Hill</t>
  </si>
  <si>
    <t>Samuels</t>
  </si>
  <si>
    <t>Working in Store - Spotlight Ballarat</t>
  </si>
  <si>
    <t>Working in Store - Spotlight Mildura</t>
  </si>
  <si>
    <t>Mildura</t>
  </si>
  <si>
    <t>Working in Store - Spotlight Gepps Cross</t>
  </si>
  <si>
    <t>Natasha</t>
  </si>
  <si>
    <t>Mcpherson</t>
  </si>
  <si>
    <t>SPL OPS Management</t>
  </si>
  <si>
    <t>Working in Store - Spotlight Mentone</t>
  </si>
  <si>
    <t>Mentone</t>
  </si>
  <si>
    <t>Ahmed</t>
  </si>
  <si>
    <t>Gulamali</t>
  </si>
  <si>
    <t>Karl</t>
  </si>
  <si>
    <t>Morris</t>
  </si>
  <si>
    <t>Working in Store - Spotlight Rockingham</t>
  </si>
  <si>
    <t>Working in Store - Spotlight Trinity Gardens</t>
  </si>
  <si>
    <t>Jen</t>
  </si>
  <si>
    <t>Working in Store - Spotlight Dubbo</t>
  </si>
  <si>
    <t>Shawn</t>
  </si>
  <si>
    <t>Mcmahon</t>
  </si>
  <si>
    <t>Working in Store - Spotlight Mackay</t>
  </si>
  <si>
    <t>Gert-Jan</t>
  </si>
  <si>
    <t>Klaver</t>
  </si>
  <si>
    <t>Andy</t>
  </si>
  <si>
    <t>Brvenik</t>
  </si>
  <si>
    <t>Fernandez</t>
  </si>
  <si>
    <t>Booker</t>
  </si>
  <si>
    <t>Broderick</t>
  </si>
  <si>
    <t>Luu</t>
  </si>
  <si>
    <t>Lina</t>
  </si>
  <si>
    <t>Carrillo</t>
  </si>
  <si>
    <t>Adrian</t>
  </si>
  <si>
    <t>Santos</t>
  </si>
  <si>
    <t>Working in Store - Spotlight Albury</t>
  </si>
  <si>
    <t>Working in Store - SpotlightAlbury</t>
  </si>
  <si>
    <t>Paul</t>
  </si>
  <si>
    <t>Barnard</t>
  </si>
  <si>
    <t>Working in Store - Spotlight Bundaberg</t>
  </si>
  <si>
    <t>Bundaberg</t>
  </si>
  <si>
    <t>Working in Store - Spotlight Geelong</t>
  </si>
  <si>
    <t>Belmont</t>
  </si>
  <si>
    <t>Mclelland</t>
  </si>
  <si>
    <t>Tori</t>
  </si>
  <si>
    <t>Burrows</t>
  </si>
  <si>
    <t>Enza</t>
  </si>
  <si>
    <t>Working in Store - Spotlight Creative Carindale</t>
  </si>
  <si>
    <t>Isla</t>
  </si>
  <si>
    <t>Belcher</t>
  </si>
  <si>
    <t>Janet</t>
  </si>
  <si>
    <t>Townsend</t>
  </si>
  <si>
    <t>Working in Store - Spotlight Frankston</t>
  </si>
  <si>
    <t>Working in Store- Spotlight Frankston</t>
  </si>
  <si>
    <t>Sally</t>
  </si>
  <si>
    <t>Tavernier</t>
  </si>
  <si>
    <t>Working in Store - Spotlight Shepparton</t>
  </si>
  <si>
    <t>Shepparton</t>
  </si>
  <si>
    <t>Store Description 1</t>
  </si>
  <si>
    <t>Store Description 2</t>
  </si>
  <si>
    <t>Working in Store - Anaconda Bunbury</t>
  </si>
  <si>
    <t>Working in Store -Anaconda Campbelltown</t>
  </si>
  <si>
    <t>Anaconda Working in Stores - Chullora</t>
  </si>
  <si>
    <t>Working in Store - Anaconda Kawana</t>
  </si>
  <si>
    <t>Anaconda Working in Stores - Marsden park</t>
  </si>
  <si>
    <t>Working in Store - Anaconda Shepparton</t>
  </si>
  <si>
    <t>Working in Store - Anaconda Toowoomba</t>
  </si>
  <si>
    <t>Working in Store - Anaconda Wagga Wagga</t>
  </si>
  <si>
    <t>Exempt</t>
  </si>
  <si>
    <t>Working in Store - Harris Scarfe Arndale</t>
  </si>
  <si>
    <t>Working in Store - Harris Scarfe Ballarat</t>
  </si>
  <si>
    <t>Working in Store - Harris Scarfe Craigieburn</t>
  </si>
  <si>
    <t>Working in Store - Harris Scarfe Cranbourne Park</t>
  </si>
  <si>
    <t>Working in Store - Harris Scarfe Tea Tree Plaza</t>
  </si>
  <si>
    <t>Working in Store - Harris Scarfe Traralgon</t>
  </si>
  <si>
    <t>Working in Store - Harris Scarfe Wagga Wagga</t>
  </si>
  <si>
    <t>Working in Store - Spotlight Bendigo</t>
  </si>
  <si>
    <t>Working in Store - Spotlight Bunbury</t>
  </si>
  <si>
    <t>Working in Store - Spotlight Darwin</t>
  </si>
  <si>
    <t>Working in Store - Spotlight Innaloo</t>
  </si>
  <si>
    <t>Working in Store - Spotlight Rockdale</t>
  </si>
  <si>
    <t>Working in Store - Spotlight Traralgon</t>
  </si>
  <si>
    <t>Working in Store - Spotlight Windsor</t>
  </si>
  <si>
    <t>Working in Store - West Burleigh</t>
  </si>
  <si>
    <t>Start</t>
  </si>
  <si>
    <t>End</t>
  </si>
  <si>
    <t>Week</t>
  </si>
  <si>
    <t>Month</t>
  </si>
  <si>
    <t>QTR</t>
  </si>
  <si>
    <t>FY</t>
  </si>
  <si>
    <t>Month Year Comb</t>
  </si>
  <si>
    <t>Week Month Year Comb</t>
  </si>
  <si>
    <t>Month Year Comb2</t>
  </si>
  <si>
    <t>Qtr Year Comb22</t>
  </si>
  <si>
    <t>Week 1</t>
  </si>
  <si>
    <t>JUL</t>
  </si>
  <si>
    <t>FY19</t>
  </si>
  <si>
    <t>Week 2</t>
  </si>
  <si>
    <t>Week 3</t>
  </si>
  <si>
    <t>Week 4</t>
  </si>
  <si>
    <t>Week 5</t>
  </si>
  <si>
    <t>AUG</t>
  </si>
  <si>
    <t>Week 6</t>
  </si>
  <si>
    <t>Week 7</t>
  </si>
  <si>
    <t>Week 8</t>
  </si>
  <si>
    <t>Week 9</t>
  </si>
  <si>
    <t>Week 10</t>
  </si>
  <si>
    <t>SEP</t>
  </si>
  <si>
    <t>Week 11</t>
  </si>
  <si>
    <t>Week 12</t>
  </si>
  <si>
    <t>Week 13</t>
  </si>
  <si>
    <t>Week 14</t>
  </si>
  <si>
    <t>OCT</t>
  </si>
  <si>
    <t>Week 15</t>
  </si>
  <si>
    <t>Week 16</t>
  </si>
  <si>
    <t>Week 17</t>
  </si>
  <si>
    <t>Week 18</t>
  </si>
  <si>
    <t>NOV</t>
  </si>
  <si>
    <t>Week 19</t>
  </si>
  <si>
    <t>Week 20</t>
  </si>
  <si>
    <t>Week 21</t>
  </si>
  <si>
    <t>Week 22</t>
  </si>
  <si>
    <t>Week 23</t>
  </si>
  <si>
    <t>DEC</t>
  </si>
  <si>
    <t>Week 24</t>
  </si>
  <si>
    <t>Week 25</t>
  </si>
  <si>
    <t>Week 26</t>
  </si>
  <si>
    <t>Week 27</t>
  </si>
  <si>
    <t>JAN</t>
  </si>
  <si>
    <t>Week 28</t>
  </si>
  <si>
    <t>Week 29</t>
  </si>
  <si>
    <t>Week 30</t>
  </si>
  <si>
    <t>Week 31</t>
  </si>
  <si>
    <t>FEB</t>
  </si>
  <si>
    <t>Week 32</t>
  </si>
  <si>
    <t>Week 33</t>
  </si>
  <si>
    <t>Week 34</t>
  </si>
  <si>
    <t>Week 35</t>
  </si>
  <si>
    <t>Week 36</t>
  </si>
  <si>
    <t>MAR</t>
  </si>
  <si>
    <t>Week 37</t>
  </si>
  <si>
    <t>Week 38</t>
  </si>
  <si>
    <t>Week 39</t>
  </si>
  <si>
    <t>Week 40</t>
  </si>
  <si>
    <t>APR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</si>
  <si>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</si>
  <si>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</si>
  <si>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</si>
  <si>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</si>
  <si>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</si>
  <si>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</si>
  <si>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</si>
  <si>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</si>
  <si>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</si>
  <si>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JUN</t>
  </si>
  <si>
    <t>Week 50</t>
  </si>
  <si>
    <t>Week 51</t>
  </si>
  <si>
    <t>Week 52</t>
  </si>
  <si>
    <t>Week 53</t>
  </si>
  <si>
    <t>FY20</t>
  </si>
  <si>
    <t>FY21</t>
  </si>
  <si>
    <t>FY22</t>
  </si>
  <si>
    <t>FY23</t>
  </si>
  <si>
    <t>FY26</t>
  </si>
  <si>
    <t>Count of Employee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</si>
</sst>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14" fontId="1" fillId="0" borderId="0" xfId="1" applyNumberFormat="1"/>
    <xf numFmtId="0" fontId="1" fillId="0" borderId="0" xfId="1" applyAlignment="1">
      <alignment horizontal="right"/>
    </xf>
    <xf numFmtId="0" fontId="1" fillId="0" borderId="0" xfId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2" fillId="2" borderId="0" xfId="0" applyFont="1" applyFill="1"/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3" borderId="4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4" fillId="0" borderId="7" xfId="0" applyFont="1" applyBorder="1"/>
    <xf numFmtId="0" fontId="0" fillId="5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6" borderId="7" xfId="0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5" fillId="6" borderId="4" xfId="0" applyFont="1" applyFill="1" applyBorder="1" applyAlignment="1">
      <alignment horizontal="left" vertical="center" wrapText="1"/>
    </xf>
    <xf numFmtId="0" fontId="0" fillId="0" borderId="4" xfId="0" applyBorder="1"/>
    <xf numFmtId="0" fontId="4" fillId="0" borderId="4" xfId="0" applyFont="1" applyBorder="1"/>
    <xf numFmtId="0" fontId="0" fillId="0" borderId="9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6" borderId="7" xfId="0" applyFont="1" applyFill="1" applyBorder="1"/>
    <xf numFmtId="0" fontId="0" fillId="0" borderId="0" xfId="0" pivotButton="1"/>
    <xf numFmtId="0" fontId="0" fillId="7" borderId="11" xfId="0" applyFill="1" applyBorder="1"/>
    <xf numFmtId="0" fontId="0" fillId="7" borderId="12" xfId="0" applyFill="1" applyBorder="1"/>
    <xf numFmtId="0" fontId="0" fillId="7" borderId="17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3" xfId="0" applyFill="1" applyBorder="1"/>
    <xf numFmtId="0" fontId="0" fillId="7" borderId="14" xfId="0" applyFill="1" applyBorder="1" applyAlignment="1">
      <alignment horizontal="left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4" xfId="0" applyFill="1" applyBorder="1"/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28" xfId="0" applyFill="1" applyBorder="1"/>
    <xf numFmtId="0" fontId="0" fillId="7" borderId="29" xfId="0" applyFill="1" applyBorder="1"/>
    <xf numFmtId="0" fontId="0" fillId="7" borderId="30" xfId="0" applyFill="1" applyBorder="1"/>
    <xf numFmtId="0" fontId="0" fillId="7" borderId="31" xfId="0" applyFill="1" applyBorder="1"/>
    <xf numFmtId="0" fontId="0" fillId="7" borderId="8" xfId="0" applyFill="1" applyBorder="1"/>
    <xf numFmtId="0" fontId="0" fillId="7" borderId="32" xfId="0" applyFill="1" applyBorder="1"/>
    <xf numFmtId="0" fontId="0" fillId="7" borderId="33" xfId="0" applyFill="1" applyBorder="1"/>
    <xf numFmtId="0" fontId="0" fillId="7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5" xfId="0" applyFill="1" applyBorder="1"/>
    <xf numFmtId="0" fontId="2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6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27" xfId="0" applyFill="1" applyBorder="1" applyAlignment="1">
      <alignment horizontal="left"/>
    </xf>
    <xf numFmtId="0" fontId="0" fillId="7" borderId="24" xfId="0" applyFill="1" applyBorder="1" applyAlignment="1">
      <alignment horizontal="left"/>
    </xf>
    <xf numFmtId="0" fontId="4" fillId="7" borderId="4" xfId="0" applyFont="1" applyFill="1" applyBorder="1" applyAlignment="1">
      <alignment horizontal="center"/>
    </xf>
    <xf numFmtId="0" fontId="4" fillId="7" borderId="0" xfId="0" applyFont="1" applyFill="1"/>
    <xf numFmtId="0" fontId="0" fillId="7" borderId="13" xfId="0" applyFill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/>
    </xf>
    <xf numFmtId="0" fontId="4" fillId="0" borderId="0" xfId="0" pivotButton="1" applyFont="1"/>
    <xf numFmtId="0" fontId="4" fillId="0" borderId="0" xfId="0" applyFont="1"/>
    <xf numFmtId="0" fontId="2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7" borderId="34" xfId="0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A2A03D5-05F9-4A2A-9BA4-2F22A52965B4}"/>
  </cellStyles>
  <dxfs count="12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d/mm/yyyy"/>
    </dxf>
    <dxf>
      <numFmt numFmtId="165" formatCode="d/mm/yy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000"/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ANA WIT - Total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'ANA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'ANA FEED'!$Q$36:$AG$36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3</c:v>
                </c:pt>
                <c:pt idx="5">
                  <c:v>15</c:v>
                </c:pt>
                <c:pt idx="6">
                  <c:v>37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9-478C-9599-8682F8F6B6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100815"/>
        <c:axId val="2037914415"/>
      </c:barChart>
      <c:catAx>
        <c:axId val="771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914415"/>
        <c:crosses val="autoZero"/>
        <c:auto val="1"/>
        <c:lblAlgn val="ctr"/>
        <c:lblOffset val="100"/>
        <c:noMultiLvlLbl val="0"/>
      </c:catAx>
      <c:valAx>
        <c:axId val="20379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HS WIT - Total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'HS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'HS FEED'!$Q$37:$AG$37</c:f>
              <c:numCache>
                <c:formatCode>General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11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7-4348-AB53-AEF50A6318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100815"/>
        <c:axId val="2037914415"/>
      </c:barChart>
      <c:catAx>
        <c:axId val="771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914415"/>
        <c:crosses val="autoZero"/>
        <c:auto val="1"/>
        <c:lblAlgn val="ctr"/>
        <c:lblOffset val="100"/>
        <c:noMultiLvlLbl val="0"/>
      </c:catAx>
      <c:valAx>
        <c:axId val="20379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SPL WIT - Total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'SPL FEED'!$Q$2:$AG$2</c:f>
              <c:strCache>
                <c:ptCount val="12"/>
                <c:pt idx="0">
                  <c:v>JUN, FY24</c:v>
                </c:pt>
                <c:pt idx="1">
                  <c:v>JUL, FY25</c:v>
                </c:pt>
                <c:pt idx="2">
                  <c:v>AUG, FY25</c:v>
                </c:pt>
                <c:pt idx="3">
                  <c:v>SEP, FY25</c:v>
                </c:pt>
                <c:pt idx="4">
                  <c:v>OCT, FY25</c:v>
                </c:pt>
                <c:pt idx="5">
                  <c:v>NOV, FY25</c:v>
                </c:pt>
                <c:pt idx="6">
                  <c:v>DEC, FY25</c:v>
                </c:pt>
                <c:pt idx="7">
                  <c:v>JAN, FY25</c:v>
                </c:pt>
                <c:pt idx="8">
                  <c:v>FEB, FY25</c:v>
                </c:pt>
                <c:pt idx="9">
                  <c:v>MAR, FY25</c:v>
                </c:pt>
                <c:pt idx="10">
                  <c:v>APR, FY25</c:v>
                </c:pt>
                <c:pt idx="11">
                  <c:v>MAY, FY25</c:v>
                </c:pt>
              </c:strCache>
            </c:strRef>
          </c:cat>
          <c:val>
            <c:numRef>
              <c:f>'SPL FEED'!$Q$45:$AG$45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13</c:v>
                </c:pt>
                <c:pt idx="6">
                  <c:v>6</c:v>
                </c:pt>
                <c:pt idx="7">
                  <c:v>0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2-41E3-87FB-08E6714D21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100815"/>
        <c:axId val="2037914415"/>
      </c:barChart>
      <c:catAx>
        <c:axId val="771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914415"/>
        <c:crosses val="autoZero"/>
        <c:auto val="1"/>
        <c:lblAlgn val="ctr"/>
        <c:lblOffset val="100"/>
        <c:noMultiLvlLbl val="0"/>
      </c:catAx>
      <c:valAx>
        <c:axId val="20379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in Store Reporting Dashboard.xlsx]Pivot Results 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Anaconda</a:t>
            </a:r>
            <a:r>
              <a:rPr lang="en-AU" baseline="0"/>
              <a:t> SIT</a:t>
            </a:r>
            <a:endParaRPr lang="en-AU"/>
          </a:p>
        </c:rich>
      </c:tx>
      <c:layout>
        <c:manualLayout>
          <c:xMode val="edge"/>
          <c:yMode val="edge"/>
          <c:x val="0.43542614709806471"/>
          <c:y val="4.092657022523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047427847053426E-2"/>
          <c:y val="0.21741897088445336"/>
          <c:w val="0.82269848755899366"/>
          <c:h val="0.57373283281450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Results 1'!$B$12:$B$13</c:f>
              <c:strCache>
                <c:ptCount val="1"/>
                <c:pt idx="0">
                  <c:v>Booked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Results 1'!$A$14:$A$21</c:f>
              <c:strCache>
                <c:ptCount val="7"/>
                <c:pt idx="0">
                  <c:v>Anaconda Ballarat</c:v>
                </c:pt>
                <c:pt idx="1">
                  <c:v>Anaconda Bayswater</c:v>
                </c:pt>
                <c:pt idx="2">
                  <c:v>Anaconda Box Hill</c:v>
                </c:pt>
                <c:pt idx="3">
                  <c:v>Anaconda Hawthorn East</c:v>
                </c:pt>
                <c:pt idx="4">
                  <c:v>Anaconda Highett</c:v>
                </c:pt>
                <c:pt idx="5">
                  <c:v>Anaconda Preston</c:v>
                </c:pt>
                <c:pt idx="6">
                  <c:v>Anaconda Springvale</c:v>
                </c:pt>
              </c:strCache>
            </c:strRef>
          </c:cat>
          <c:val>
            <c:numRef>
              <c:f>'Pivot Results 1'!$B$14:$B$21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8-40FC-BA8F-E03DEF3C0E23}"/>
            </c:ext>
          </c:extLst>
        </c:ser>
        <c:ser>
          <c:idx val="1"/>
          <c:order val="1"/>
          <c:tx>
            <c:strRef>
              <c:f>'Pivot Results 1'!$C$12:$C$13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Results 1'!$A$14:$A$21</c:f>
              <c:strCache>
                <c:ptCount val="7"/>
                <c:pt idx="0">
                  <c:v>Anaconda Ballarat</c:v>
                </c:pt>
                <c:pt idx="1">
                  <c:v>Anaconda Bayswater</c:v>
                </c:pt>
                <c:pt idx="2">
                  <c:v>Anaconda Box Hill</c:v>
                </c:pt>
                <c:pt idx="3">
                  <c:v>Anaconda Hawthorn East</c:v>
                </c:pt>
                <c:pt idx="4">
                  <c:v>Anaconda Highett</c:v>
                </c:pt>
                <c:pt idx="5">
                  <c:v>Anaconda Preston</c:v>
                </c:pt>
                <c:pt idx="6">
                  <c:v>Anaconda Springvale</c:v>
                </c:pt>
              </c:strCache>
            </c:strRef>
          </c:cat>
          <c:val>
            <c:numRef>
              <c:f>'Pivot Results 1'!$C$14:$C$21</c:f>
              <c:numCache>
                <c:formatCode>General</c:formatCode>
                <c:ptCount val="7"/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8-40FC-BA8F-E03DEF3C0E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0222847"/>
        <c:axId val="2010224287"/>
      </c:barChart>
      <c:catAx>
        <c:axId val="201022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4287"/>
        <c:crosses val="autoZero"/>
        <c:auto val="1"/>
        <c:lblAlgn val="ctr"/>
        <c:lblOffset val="100"/>
        <c:noMultiLvlLbl val="0"/>
      </c:catAx>
      <c:valAx>
        <c:axId val="20102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in Store Reporting Dashboard.xlsx]Pivot Results 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Harris Scarfe</a:t>
            </a:r>
            <a:r>
              <a:rPr lang="en-AU" baseline="0"/>
              <a:t> SIT</a:t>
            </a:r>
            <a:endParaRPr lang="en-AU"/>
          </a:p>
        </c:rich>
      </c:tx>
      <c:layout>
        <c:manualLayout>
          <c:xMode val="edge"/>
          <c:yMode val="edge"/>
          <c:x val="0.43542614709806471"/>
          <c:y val="4.09265702252334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047427847053426E-2"/>
          <c:y val="0.21741897088445336"/>
          <c:w val="0.82269848755899366"/>
          <c:h val="0.57373283281450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Results 1'!$H$12:$H$13</c:f>
              <c:strCache>
                <c:ptCount val="1"/>
                <c:pt idx="0">
                  <c:v>Booked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Results 1'!$G$14:$G$18</c:f>
              <c:strCache>
                <c:ptCount val="4"/>
                <c:pt idx="0">
                  <c:v>Harris Scarfe Airport West</c:v>
                </c:pt>
                <c:pt idx="1">
                  <c:v>Harris Scarfe Highpoint</c:v>
                </c:pt>
                <c:pt idx="2">
                  <c:v>Harris Scarfe Spencer Outlet</c:v>
                </c:pt>
                <c:pt idx="3">
                  <c:v>Harris Scarfe Sunbury</c:v>
                </c:pt>
              </c:strCache>
            </c:strRef>
          </c:cat>
          <c:val>
            <c:numRef>
              <c:f>'Pivot Results 1'!$H$14:$H$18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B7-429D-8C9A-1078C94AEAC1}"/>
            </c:ext>
          </c:extLst>
        </c:ser>
        <c:ser>
          <c:idx val="1"/>
          <c:order val="1"/>
          <c:tx>
            <c:strRef>
              <c:f>'Pivot Results 1'!$I$12:$I$13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Results 1'!$G$14:$G$18</c:f>
              <c:strCache>
                <c:ptCount val="4"/>
                <c:pt idx="0">
                  <c:v>Harris Scarfe Airport West</c:v>
                </c:pt>
                <c:pt idx="1">
                  <c:v>Harris Scarfe Highpoint</c:v>
                </c:pt>
                <c:pt idx="2">
                  <c:v>Harris Scarfe Spencer Outlet</c:v>
                </c:pt>
                <c:pt idx="3">
                  <c:v>Harris Scarfe Sunbury</c:v>
                </c:pt>
              </c:strCache>
            </c:strRef>
          </c:cat>
          <c:val>
            <c:numRef>
              <c:f>'Pivot Results 1'!$I$14:$I$18</c:f>
              <c:numCache>
                <c:formatCode>General</c:formatCode>
                <c:ptCount val="4"/>
                <c:pt idx="1">
                  <c:v>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B7-429D-8C9A-1078C94AEA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0222847"/>
        <c:axId val="2010224287"/>
      </c:barChart>
      <c:catAx>
        <c:axId val="201022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4287"/>
        <c:crosses val="autoZero"/>
        <c:auto val="1"/>
        <c:lblAlgn val="ctr"/>
        <c:lblOffset val="100"/>
        <c:noMultiLvlLbl val="0"/>
      </c:catAx>
      <c:valAx>
        <c:axId val="20102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in Store Reporting Dashboard.xlsx]Pivot Results 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Spotlight</a:t>
            </a:r>
            <a:r>
              <a:rPr lang="en-AU" baseline="0"/>
              <a:t> SIT</a:t>
            </a:r>
            <a:endParaRPr lang="en-AU"/>
          </a:p>
        </c:rich>
      </c:tx>
      <c:layout>
        <c:manualLayout>
          <c:xMode val="edge"/>
          <c:yMode val="edge"/>
          <c:x val="0.43542614709806471"/>
          <c:y val="4.09265702252334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F5597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047427847053426E-2"/>
          <c:y val="0.21741897088445336"/>
          <c:w val="0.82269848755899366"/>
          <c:h val="0.57373283281450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Results 1'!$O$12:$O$13</c:f>
              <c:strCache>
                <c:ptCount val="1"/>
                <c:pt idx="0">
                  <c:v>Booked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Results 1'!$N$14:$N$19</c:f>
              <c:strCache>
                <c:ptCount val="5"/>
                <c:pt idx="0">
                  <c:v>Spotlight Box Hill</c:v>
                </c:pt>
                <c:pt idx="1">
                  <c:v>Spotlight Cranegie</c:v>
                </c:pt>
                <c:pt idx="2">
                  <c:v>Spotlight Essendon</c:v>
                </c:pt>
                <c:pt idx="3">
                  <c:v>Spotlight Hoppers Crossing</c:v>
                </c:pt>
                <c:pt idx="4">
                  <c:v>Spotlight South Melbourne</c:v>
                </c:pt>
              </c:strCache>
            </c:strRef>
          </c:cat>
          <c:val>
            <c:numRef>
              <c:f>'Pivot Results 1'!$O$14:$O$19</c:f>
              <c:numCache>
                <c:formatCode>General</c:formatCode>
                <c:ptCount val="5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4A-4507-AB80-80C92F78D3B7}"/>
            </c:ext>
          </c:extLst>
        </c:ser>
        <c:ser>
          <c:idx val="1"/>
          <c:order val="1"/>
          <c:tx>
            <c:strRef>
              <c:f>'Pivot Results 1'!$P$12:$P$13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Results 1'!$N$14:$N$19</c:f>
              <c:strCache>
                <c:ptCount val="5"/>
                <c:pt idx="0">
                  <c:v>Spotlight Box Hill</c:v>
                </c:pt>
                <c:pt idx="1">
                  <c:v>Spotlight Cranegie</c:v>
                </c:pt>
                <c:pt idx="2">
                  <c:v>Spotlight Essendon</c:v>
                </c:pt>
                <c:pt idx="3">
                  <c:v>Spotlight Hoppers Crossing</c:v>
                </c:pt>
                <c:pt idx="4">
                  <c:v>Spotlight South Melbourne</c:v>
                </c:pt>
              </c:strCache>
            </c:strRef>
          </c:cat>
          <c:val>
            <c:numRef>
              <c:f>'Pivot Results 1'!$P$14:$P$19</c:f>
              <c:numCache>
                <c:formatCode>General</c:formatCode>
                <c:ptCount val="5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4A-4507-AB80-80C92F78D3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0222847"/>
        <c:axId val="2010224287"/>
      </c:barChart>
      <c:catAx>
        <c:axId val="201022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4287"/>
        <c:crosses val="autoZero"/>
        <c:auto val="1"/>
        <c:lblAlgn val="ctr"/>
        <c:lblOffset val="100"/>
        <c:noMultiLvlLbl val="0"/>
      </c:catAx>
      <c:valAx>
        <c:axId val="20102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162484</xdr:colOff>
      <xdr:row>0</xdr:row>
      <xdr:rowOff>101971</xdr:rowOff>
    </xdr:from>
    <xdr:to>
      <xdr:col>22</xdr:col>
      <xdr:colOff>481853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1DFAC-DC31-9169-FE64-B89E5F573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105834</xdr:colOff>
      <xdr:row>0</xdr:row>
      <xdr:rowOff>63500</xdr:rowOff>
    </xdr:from>
    <xdr:to>
      <xdr:col>22</xdr:col>
      <xdr:colOff>320614</xdr:colOff>
      <xdr:row>19</xdr:row>
      <xdr:rowOff>154520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69EA8-1F7B-4CCF-A005-B9F60C0ED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0</xdr:row>
      <xdr:rowOff>38100</xdr:rowOff>
    </xdr:from>
    <xdr:to>
      <xdr:col>22</xdr:col>
      <xdr:colOff>341780</xdr:colOff>
      <xdr:row>18</xdr:row>
      <xdr:rowOff>171453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1D926-CE1D-4AAA-BE64-32DB8F9A2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114301</xdr:rowOff>
    </xdr:from>
    <xdr:to>
      <xdr:col>13</xdr:col>
      <xdr:colOff>114300</xdr:colOff>
      <xdr:row>17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C5B8B-B201-4B1E-9E3A-3D2FE74C6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180975</xdr:colOff>
      <xdr:row>0</xdr:row>
      <xdr:rowOff>114300</xdr:rowOff>
    </xdr:from>
    <xdr:to>
      <xdr:col>26</xdr:col>
      <xdr:colOff>180975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EBCEA1-96F0-421A-A2BD-E7991AD77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104774</xdr:colOff>
      <xdr:row>18</xdr:row>
      <xdr:rowOff>57149</xdr:rowOff>
    </xdr:from>
    <xdr:to>
      <xdr:col>13</xdr:col>
      <xdr:colOff>114299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AC3F7D-4A21-4D69-AE7B-44ADE6893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 Nguyen" refreshedDate="45804.587388310189" createdVersion="8" refreshedVersion="8" minRefreshableVersion="3" recordCount="672" xr:uid="{28863322-87F1-4C44-8737-20E4B2794FC0}">
  <cacheSource type="worksheet">
    <worksheetSource ref="A1:T1048576" sheet="Data Dump"/>
  </cacheSource>
  <cacheFields count="20">
    <cacheField name="Employee number" numFmtId="0">
      <sharedItems containsBlank="1" containsMixedTypes="1" containsNumber="1" containsInteger="1" minValue="123670" maxValue="339308"/>
    </cacheField>
    <cacheField name="First name" numFmtId="0">
      <sharedItems containsBlank="1"/>
    </cacheField>
    <cacheField name="Last name" numFmtId="0">
      <sharedItems containsBlank="1"/>
    </cacheField>
    <cacheField name="Position Brand" numFmtId="0">
      <sharedItems containsBlank="1" count="14">
        <s v="Marketing"/>
        <s v="eCommerce Management"/>
        <s v="IT"/>
        <s v="SS Finance"/>
        <s v="Property"/>
        <s v="HR MANAGEMENT"/>
        <s v="ANALYTICS &amp; INSIGHTS"/>
        <s v="GM Anaconda"/>
        <s v="Supply Chain"/>
        <s v="Harris Scarfe"/>
        <m/>
        <s v="GM MERCH SPOTLIGHT"/>
        <s v="GM Spotlight"/>
        <s v="SPL OPS Management"/>
      </sharedItems>
    </cacheField>
    <cacheField name="Activity type" numFmtId="0">
      <sharedItems containsBlank="1"/>
    </cacheField>
    <cacheField name="Learning Activity Title" numFmtId="0">
      <sharedItems containsBlank="1"/>
    </cacheField>
    <cacheField name="Booking status" numFmtId="0">
      <sharedItems containsBlank="1" count="2">
        <s v="Accepted"/>
        <m/>
      </sharedItems>
    </cacheField>
    <cacheField name="Booking date Date" numFmtId="0">
      <sharedItems containsNonDate="0" containsDate="1" containsString="0" containsBlank="1" minDate="2022-11-08T00:00:00" maxDate="2025-05-24T00:00:00"/>
    </cacheField>
    <cacheField name="Event date Date" numFmtId="0">
      <sharedItems containsNonDate="0" containsDate="1" containsString="0" containsBlank="1" minDate="2023-01-11T00:00:00" maxDate="2025-11-14T00:00:00"/>
    </cacheField>
    <cacheField name="Event title" numFmtId="0">
      <sharedItems containsBlank="1"/>
    </cacheField>
    <cacheField name="Event type" numFmtId="0">
      <sharedItems containsBlank="1"/>
    </cacheField>
    <cacheField name="Attendees" numFmtId="0">
      <sharedItems containsString="0" containsBlank="1" containsNumber="1" containsInteger="1" minValue="1" maxValue="21"/>
    </cacheField>
    <cacheField name="Suburb" numFmtId="0">
      <sharedItems containsBlank="1"/>
    </cacheField>
    <cacheField name="Activity status" numFmtId="0">
      <sharedItems containsBlank="1" count="5">
        <s v="Booked"/>
        <s v="In progress"/>
        <s v="Complete"/>
        <s v="Wait list"/>
        <m/>
      </sharedItems>
    </cacheField>
    <cacheField name="Available positions" numFmtId="0">
      <sharedItems containsString="0" containsBlank="1" containsNumber="1" containsInteger="1" minValue="0" maxValue="197"/>
    </cacheField>
    <cacheField name="Store Description" numFmtId="0">
      <sharedItems containsBlank="1"/>
    </cacheField>
    <cacheField name="Store Name" numFmtId="0">
      <sharedItems containsBlank="1" count="88">
        <s v="Spotlight Fountain Gate"/>
        <s v="Spotlight Roxburgh Park"/>
        <s v="Anaconda Bayswater"/>
        <s v="Anaconda Springvale"/>
        <s v="Anaconda Box Hill"/>
        <s v="Spotlight Cranegie"/>
        <s v="Anaconda Watergardens"/>
        <s v="Spotlight Hoppers Crossing"/>
        <s v="Spotlight The Glen Creative"/>
        <s v="Spotlight Launceston"/>
        <s v="Harris Scarfe Highpoint"/>
        <s v="Spotlight Essendon"/>
        <s v="Anaconda Ballarat"/>
        <s v="Spotlight South Melbourne"/>
        <s v="Harris Scarfe Knox"/>
        <s v="Spotlight Bayswater"/>
        <s v="Harris Scarfe Spencer Outlet"/>
        <s v="Spotlight Box Hill"/>
        <s v="Anaconda Highett"/>
        <s v="Anaconda Preston"/>
        <s v="Harris Scarfe Sunbury"/>
        <s v="Anaconda Hawthorn East"/>
        <s v="Spotlight Wangaratta"/>
        <s v="Harris Scarfe Preston"/>
        <s v="Harris Scarfe Airport West"/>
        <s v="Harris Scarfe Chirnside Park"/>
        <s v="Spotlight Burnside"/>
        <s v="Anaconda Epping"/>
        <s v="Harris Scarfe Epping"/>
        <s v="Harris Scarfe Carnegie"/>
        <s v="Anaconda Bendigo"/>
        <s v="Spotlight Sandown"/>
        <s v="Anaconda Maribyrnong"/>
        <s v="Spotlight Maribyrnong"/>
        <s v="Harris Scarfe Woodgrove"/>
        <s v="Harris Scarfe Tarneit"/>
        <s v="Harris Scarfe Shepparton"/>
        <s v="Anaconda Narre Warren"/>
        <s v="Harris Scarfe DC"/>
        <s v="Anaconda Hoppers Crossing"/>
        <s v="Anaconda Everton Park"/>
        <s v="Anaconda Modbury"/>
        <s v="Anaconda Gepps Cross"/>
        <s v="Spotlight Clovercrest"/>
        <s v="Harris Scarfe Forest Hill"/>
        <s v="Harris Scarfe Marion"/>
        <s v="Anaconda Geelong"/>
        <s v="Anaconda North Lakes"/>
        <s v="Anaconda Albury"/>
        <s v="Harris Scarfe Frankston"/>
        <s v="Exempt"/>
        <s v="Spotlight South Morang"/>
        <s v="Anaconda Launceston"/>
        <s v="Spotlight Cranbourne"/>
        <s v="Harris Scarfe Fountain Gate"/>
        <s v="Harris Scarfe Southland"/>
        <s v="Spotlight Campbelltown"/>
        <s v="Spotlight Preston"/>
        <s v="Harris Scarfe Bairnsdale"/>
        <s v="Spotlight Castle Hill"/>
        <s v="Harris Scarfe Mornington"/>
        <s v="Harris Scarfe Eastland"/>
        <s v="Harris Scarfe West Lakes"/>
        <s v="Harris Scarfe Geelong"/>
        <s v="Spotlight Ballarat"/>
        <s v="Harris Scarfe Blacktown"/>
        <s v="Spotlight Mildura"/>
        <s v="Anaconda Mile End"/>
        <s v="Spotlight Gepps Cross"/>
        <s v="Spotlight Mentone"/>
        <s v="Anaconda Penrith"/>
        <s v="Harris Scarfe Gepps Cross"/>
        <s v="Harris Scarfe Waurn Ponds"/>
        <s v="Spotlight Rockingham"/>
        <s v="Spotlight Trinity Gardens"/>
        <s v="Spotlight Dubbo"/>
        <s v="Anaconda Ashmore"/>
        <s v="Spotlight Mackay"/>
        <s v="Spotlight Albury"/>
        <s v="Spotlight Bundaberg"/>
        <s v="Anaconda Frankston"/>
        <s v="Spotlight Geelong"/>
        <s v="Spotlight Creative Carindale"/>
        <s v="Harris Scarfe Loganholme"/>
        <s v="Spotlight Frankston"/>
        <s v="Spotlight Shepparton"/>
        <s v="Anaconda Cairns"/>
        <m/>
      </sharedItems>
    </cacheField>
    <cacheField name="Brand" numFmtId="0">
      <sharedItems containsBlank="1" count="5">
        <s v="Spotlight"/>
        <s v="Ananconda"/>
        <s v="Harris Scarfe"/>
        <s v="Exempt"/>
        <m/>
      </sharedItems>
    </cacheField>
    <cacheField name="Fiscal Month" numFmtId="0">
      <sharedItems containsBlank="1" count="36">
        <s v="JUN, FY25"/>
        <s v="MAY, FY25"/>
        <s v="AUG, FY26"/>
        <s v="SEP, FY26"/>
        <s v="APR, FY25"/>
        <s v="MAR, FY25"/>
        <s v="FEB, FY25"/>
        <s v="OCT, FY26"/>
        <s v="JAN, FY25"/>
        <s v="NOV, FY26"/>
        <s v="JUL, FY26"/>
        <s v="DEC, FY25"/>
        <s v="NOV, FY25"/>
        <s v="OCT, FY25"/>
        <s v="SEP, FY25"/>
        <s v="AUG, FY25"/>
        <s v="JUL, FY25"/>
        <s v="JUN, FY24"/>
        <s v="MAY, FY24"/>
        <s v="APR, FY24"/>
        <s v="MAR, FY24"/>
        <s v="FEB, FY24"/>
        <s v="DEC, FY24"/>
        <s v="JAN, FY24"/>
        <s v="NOV, FY24"/>
        <s v="OCT, FY24"/>
        <s v="SEP, FY24"/>
        <s v="AUG, FY24"/>
        <s v="JUL, FY24"/>
        <s v="JUN, FY23"/>
        <s v="MAY, FY23"/>
        <s v="APR, FY23"/>
        <s v="MAR, FY23"/>
        <s v="FEB, FY23"/>
        <s v="JAN, FY23"/>
        <m/>
      </sharedItems>
    </cacheField>
    <cacheField name="Fiscal Quarter" numFmtId="0">
      <sharedItems containsBlank="1"/>
    </cacheField>
  </cacheFields>
  <extLst>
    <ext xmlns:x14="http://schemas.microsoft.com/office/spreadsheetml/2009/9/main" uri="{725AE2AE-9491-48be-B2B4-4EB974FC3084}">
      <x14:pivotCacheDefinition pivotCacheId="20026124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n v="338745"/>
    <s v="Hannah"/>
    <s v="Heathcote"/>
    <x v="0"/>
    <s v="Work in Store"/>
    <s v="Working in Store - Spotlight Fountain Gate"/>
    <x v="0"/>
    <d v="2025-05-23T00:00:00"/>
    <d v="2025-06-19T00:00:00"/>
    <s v="Working in Store - Spotlight Fountain Gate"/>
    <s v="Learning"/>
    <n v="1"/>
    <s v="Fountain Gate"/>
    <x v="0"/>
    <n v="1"/>
    <s v="S070"/>
    <x v="0"/>
    <x v="0"/>
    <x v="0"/>
    <s v="Q4, FY25"/>
  </r>
  <r>
    <n v="299399"/>
    <s v="Haneen"/>
    <s v="Al Khamas"/>
    <x v="1"/>
    <s v="Work in Store"/>
    <s v="Working in Store - Spotlight Roxburgh Park"/>
    <x v="0"/>
    <d v="2025-05-22T00:00:00"/>
    <d v="2025-06-05T00:00:00"/>
    <s v="Working in Store - Spotlight Roxburgh Park"/>
    <s v="Learning"/>
    <n v="1"/>
    <s v="Roxburgh Park"/>
    <x v="0"/>
    <n v="1"/>
    <s v="S145"/>
    <x v="1"/>
    <x v="0"/>
    <x v="0"/>
    <s v="Q4, FY25"/>
  </r>
  <r>
    <n v="299399"/>
    <s v="Haneen"/>
    <s v="Al Khamas"/>
    <x v="1"/>
    <s v="Work in Store"/>
    <s v="Anaconda Working in Stores - Bayswater"/>
    <x v="0"/>
    <d v="2025-05-22T00:00:00"/>
    <d v="2025-05-29T00:00:00"/>
    <s v="Working in Store - Anaconda Bayswater"/>
    <s v="Learning"/>
    <n v="1"/>
    <s v="Bayswater"/>
    <x v="0"/>
    <n v="1"/>
    <s v="A001"/>
    <x v="2"/>
    <x v="1"/>
    <x v="1"/>
    <s v="Q4, FY25"/>
  </r>
  <r>
    <n v="321839"/>
    <s v="Harveen"/>
    <s v="Puri"/>
    <x v="0"/>
    <s v="Work in Store"/>
    <s v="Anaconda Working in Stores - Springvale"/>
    <x v="0"/>
    <d v="2025-05-21T00:00:00"/>
    <d v="2025-06-05T00:00:00"/>
    <s v="Working in Store - Anaconda Springvale"/>
    <s v="Learning"/>
    <n v="1"/>
    <s v="Springvale"/>
    <x v="0"/>
    <n v="1"/>
    <s v="A026"/>
    <x v="3"/>
    <x v="1"/>
    <x v="0"/>
    <s v="Q4, FY25"/>
  </r>
  <r>
    <n v="312588"/>
    <s v="Jade"/>
    <s v="Tan"/>
    <x v="2"/>
    <s v="Work in Store"/>
    <s v="Anaconda Working in Stores - Box Hill"/>
    <x v="0"/>
    <d v="2025-05-21T00:00:00"/>
    <d v="2025-05-28T00:00:00"/>
    <s v="Working in Store - Anaconda Box Hill"/>
    <s v="Learning"/>
    <n v="1"/>
    <s v="Box Hill"/>
    <x v="0"/>
    <n v="1"/>
    <s v="A041"/>
    <x v="4"/>
    <x v="1"/>
    <x v="1"/>
    <s v="Q4, FY25"/>
  </r>
  <r>
    <n v="339286"/>
    <s v="Maria"/>
    <s v="Tenace"/>
    <x v="3"/>
    <s v="Work in Store"/>
    <s v="Working in Store - Spotlight Carnegie"/>
    <x v="0"/>
    <d v="2025-05-20T00:00:00"/>
    <d v="2025-08-06T00:00:00"/>
    <s v="Working in Store- Spotlight Cranegie"/>
    <s v="Learning"/>
    <n v="1"/>
    <s v="Carnegie"/>
    <x v="0"/>
    <n v="1"/>
    <s v="S114"/>
    <x v="5"/>
    <x v="0"/>
    <x v="2"/>
    <s v="Q1, FY26"/>
  </r>
  <r>
    <n v="335621"/>
    <s v="Lisa Giang"/>
    <s v="Giang"/>
    <x v="4"/>
    <s v="Work in Store"/>
    <s v="Anaconda Working in Stores - Watergardens"/>
    <x v="0"/>
    <d v="2025-05-20T00:00:00"/>
    <d v="2025-06-10T00:00:00"/>
    <s v="Working in Store - Anaconda Watergardens"/>
    <s v="Learning"/>
    <n v="1"/>
    <s v="Taylors Lake"/>
    <x v="0"/>
    <n v="1"/>
    <s v="A040"/>
    <x v="6"/>
    <x v="1"/>
    <x v="0"/>
    <s v="Q4, FY25"/>
  </r>
  <r>
    <n v="318222"/>
    <s v="Gessica"/>
    <s v="Vittone Taylor"/>
    <x v="0"/>
    <s v="Work in Store"/>
    <s v="Working in Store - Spotlight Hoppers Crossing"/>
    <x v="0"/>
    <d v="2025-05-20T00:00:00"/>
    <d v="2025-06-04T00:00:00"/>
    <s v="Working in Store - Spotlight Hoppers Crossing"/>
    <s v="Learning"/>
    <n v="2"/>
    <s v="Hoppers Crossing"/>
    <x v="0"/>
    <n v="0"/>
    <s v="S034"/>
    <x v="7"/>
    <x v="0"/>
    <x v="0"/>
    <s v="Q4, FY25"/>
  </r>
  <r>
    <n v="324195"/>
    <s v="Erin"/>
    <s v="Sidwell"/>
    <x v="0"/>
    <s v="Work in Store"/>
    <s v="Working in Store - Spotlight Hoppers Crossing"/>
    <x v="0"/>
    <d v="2025-05-20T00:00:00"/>
    <d v="2025-06-04T00:00:00"/>
    <s v="Working in Store - Spotlight Hoppers Crossing"/>
    <s v="Learning"/>
    <n v="2"/>
    <s v="Hoppers Crossing"/>
    <x v="0"/>
    <n v="0"/>
    <s v="S034"/>
    <x v="7"/>
    <x v="0"/>
    <x v="0"/>
    <s v="Q4, FY25"/>
  </r>
  <r>
    <n v="321931"/>
    <s v="Charmaine"/>
    <s v="Chin"/>
    <x v="0"/>
    <s v="Work in Store"/>
    <s v="Working in Store - Spotlight The Glen Creative"/>
    <x v="0"/>
    <d v="2025-05-15T00:00:00"/>
    <d v="2025-06-04T00:00:00"/>
    <s v="Working in Store - Spotlight The Glen Creative"/>
    <s v="Learning"/>
    <n v="1"/>
    <s v="Glen Waverley"/>
    <x v="0"/>
    <n v="1"/>
    <s v="S159"/>
    <x v="8"/>
    <x v="0"/>
    <x v="0"/>
    <s v="Q4, FY25"/>
  </r>
  <r>
    <n v="297893"/>
    <s v="Kathryn"/>
    <s v="Buchanan"/>
    <x v="5"/>
    <s v="Work in Store"/>
    <s v="Working in Store - Spotlight Launceston"/>
    <x v="0"/>
    <d v="2025-05-13T00:00:00"/>
    <d v="2025-06-12T00:00:00"/>
    <s v="Working in Store - Spotlight Launceston"/>
    <s v="Learning"/>
    <n v="1"/>
    <s v="Launceston"/>
    <x v="1"/>
    <n v="1"/>
    <s v="S011"/>
    <x v="9"/>
    <x v="0"/>
    <x v="0"/>
    <s v="Q4, FY25"/>
  </r>
  <r>
    <n v="337721"/>
    <s v="Viki"/>
    <s v="Dinef"/>
    <x v="1"/>
    <s v="Work in Store"/>
    <s v="Harris Scarfe Working in Store - Highpoint"/>
    <x v="0"/>
    <d v="2025-05-12T00:00:00"/>
    <d v="2025-08-05T00:00:00"/>
    <s v="Working in Store - Harris Scarfe Highpoint"/>
    <s v="Learning"/>
    <n v="1"/>
    <s v="Maribyrnong"/>
    <x v="0"/>
    <n v="1"/>
    <s v="HS2024"/>
    <x v="10"/>
    <x v="2"/>
    <x v="2"/>
    <s v="Q1, FY26"/>
  </r>
  <r>
    <n v="215865"/>
    <s v="Anita"/>
    <s v="Mucic"/>
    <x v="1"/>
    <s v="Work in Store"/>
    <s v="Working in Store - Spotlight Essendon"/>
    <x v="0"/>
    <d v="2025-05-07T00:00:00"/>
    <d v="2025-06-05T00:00:00"/>
    <s v="Working in Store - Spotlight Essendon"/>
    <s v="Learning"/>
    <n v="1"/>
    <s v="Strathmore"/>
    <x v="0"/>
    <n v="1"/>
    <s v="S008"/>
    <x v="11"/>
    <x v="0"/>
    <x v="0"/>
    <s v="Q4, FY25"/>
  </r>
  <r>
    <n v="336927"/>
    <s v="Jono"/>
    <s v="Wright"/>
    <x v="0"/>
    <s v="Work in Store"/>
    <s v="Anaconda Working in Stores - Ballarat"/>
    <x v="0"/>
    <d v="2025-05-07T00:00:00"/>
    <d v="2025-05-21T00:00:00"/>
    <s v="Working in Store - Anaconda Ballarat"/>
    <s v="Learning"/>
    <n v="1"/>
    <s v="Wendouree"/>
    <x v="0"/>
    <n v="1"/>
    <s v="A035"/>
    <x v="12"/>
    <x v="1"/>
    <x v="1"/>
    <s v="Q4, FY25"/>
  </r>
  <r>
    <n v="338549"/>
    <s v="Leah"/>
    <s v="Abicair"/>
    <x v="1"/>
    <s v="Work in Store"/>
    <s v="Anaconda Working in Stores - Box Hill"/>
    <x v="0"/>
    <d v="2025-05-06T00:00:00"/>
    <d v="2025-06-19T00:00:00"/>
    <s v="Working in Store - Anaconda Box Hill"/>
    <s v="Learning"/>
    <n v="1"/>
    <s v="Box Hill"/>
    <x v="0"/>
    <n v="1"/>
    <s v="A041"/>
    <x v="4"/>
    <x v="1"/>
    <x v="0"/>
    <s v="Q4, FY25"/>
  </r>
  <r>
    <n v="336067"/>
    <s v="Nooshin"/>
    <s v="Dadkhahtehrani"/>
    <x v="0"/>
    <s v="Work in Store"/>
    <s v="Working in Store - Spotlight The Glen Creative"/>
    <x v="0"/>
    <d v="2025-05-06T00:00:00"/>
    <d v="2025-06-12T00:00:00"/>
    <s v="Working in Store - Spotlight The Glen Creative"/>
    <s v="Learning"/>
    <n v="1"/>
    <s v="Glen Waverley"/>
    <x v="0"/>
    <n v="1"/>
    <s v="S159"/>
    <x v="8"/>
    <x v="0"/>
    <x v="0"/>
    <s v="Q4, FY25"/>
  </r>
  <r>
    <n v="335235"/>
    <s v="Ethan"/>
    <s v="Perry"/>
    <x v="0"/>
    <s v="Work in Store"/>
    <s v="Working in Store - Spotlight South Melbourne"/>
    <x v="0"/>
    <d v="2025-05-06T00:00:00"/>
    <d v="2025-05-22T00:00:00"/>
    <s v="Working in Store - Spotlight South Melbourne"/>
    <s v="Learning"/>
    <n v="1"/>
    <s v="South Melbourne"/>
    <x v="0"/>
    <n v="1"/>
    <s v="S027"/>
    <x v="13"/>
    <x v="0"/>
    <x v="1"/>
    <s v="Q4, FY25"/>
  </r>
  <r>
    <n v="305938"/>
    <s v="Juanita"/>
    <s v="Aguero"/>
    <x v="1"/>
    <s v="Work in Store"/>
    <s v="Harris Scarfe Working in Stores - Knox"/>
    <x v="0"/>
    <d v="2025-05-02T00:00:00"/>
    <d v="2025-09-04T00:00:00"/>
    <s v="Working in Store - Harris Scarfe Knox"/>
    <s v="Learning"/>
    <n v="1"/>
    <s v="Wantirna South"/>
    <x v="0"/>
    <n v="1"/>
    <s v="HS2022"/>
    <x v="14"/>
    <x v="2"/>
    <x v="3"/>
    <s v="Q1, FY26"/>
  </r>
  <r>
    <n v="305938"/>
    <s v="Juanita"/>
    <s v="Aguero"/>
    <x v="1"/>
    <s v="Work in Store"/>
    <s v="Working in Stores - Spotlight Bayswater"/>
    <x v="0"/>
    <d v="2025-05-02T00:00:00"/>
    <d v="2025-06-26T00:00:00"/>
    <s v="Working in Store - Spotlight Bayswater"/>
    <s v="Learning"/>
    <n v="1"/>
    <s v="Bayswater"/>
    <x v="0"/>
    <n v="1"/>
    <s v="S014"/>
    <x v="15"/>
    <x v="0"/>
    <x v="0"/>
    <s v="Q4, FY25"/>
  </r>
  <r>
    <n v="318222"/>
    <s v="Gessica"/>
    <s v="Vittone Taylor"/>
    <x v="0"/>
    <s v="Work in Store"/>
    <s v="Harris Scarfe Working in Stores - Spencer Outlet"/>
    <x v="0"/>
    <d v="2025-05-01T00:00:00"/>
    <d v="2025-06-25T00:00:00"/>
    <s v="Working in Store - Harris Scarfe Spencer Outlet"/>
    <s v="Learning"/>
    <n v="2"/>
    <s v="Docklands"/>
    <x v="0"/>
    <n v="0"/>
    <s v="HS2016"/>
    <x v="16"/>
    <x v="2"/>
    <x v="0"/>
    <s v="Q4, FY25"/>
  </r>
  <r>
    <n v="325608"/>
    <s v="Drew"/>
    <s v="Wells"/>
    <x v="1"/>
    <s v="Work in Store"/>
    <s v="Harris Scarfe Working in Stores - Spencer Outlet"/>
    <x v="0"/>
    <d v="2025-05-01T00:00:00"/>
    <d v="2025-06-25T00:00:00"/>
    <s v="Working in Store - Harris Scarfe Spencer Outlet"/>
    <s v="Learning"/>
    <n v="2"/>
    <s v="Docklands"/>
    <x v="0"/>
    <n v="0"/>
    <s v="HS2016"/>
    <x v="16"/>
    <x v="2"/>
    <x v="0"/>
    <s v="Q4, FY25"/>
  </r>
  <r>
    <n v="314778"/>
    <s v="Gabrielle"/>
    <s v="Xu"/>
    <x v="5"/>
    <s v="Work in Store"/>
    <s v="Working in Store - Spotlight Box Hill"/>
    <x v="0"/>
    <d v="2025-04-30T00:00:00"/>
    <d v="2025-06-13T00:00:00"/>
    <s v="Working in Store - Spotlight Box Hill"/>
    <s v="Learning"/>
    <n v="2"/>
    <s v="Box Hill"/>
    <x v="0"/>
    <n v="0"/>
    <s v="S002"/>
    <x v="17"/>
    <x v="0"/>
    <x v="0"/>
    <s v="Q4, FY25"/>
  </r>
  <r>
    <n v="323623"/>
    <s v="Julie"/>
    <s v="Huang"/>
    <x v="5"/>
    <s v="Work in Store"/>
    <s v="Working in Store - Spotlight Box Hill"/>
    <x v="0"/>
    <d v="2025-04-30T00:00:00"/>
    <d v="2025-06-13T00:00:00"/>
    <s v="Working in Store - Spotlight Box Hill"/>
    <s v="Learning"/>
    <n v="2"/>
    <s v="Box Hill"/>
    <x v="0"/>
    <n v="0"/>
    <s v="S002"/>
    <x v="17"/>
    <x v="0"/>
    <x v="0"/>
    <s v="Q4, FY25"/>
  </r>
  <r>
    <n v="339173"/>
    <s v="Phil"/>
    <s v="Curtis"/>
    <x v="4"/>
    <s v="Work in Store"/>
    <s v="Harris Scarfe Working in Store - Highpoint"/>
    <x v="0"/>
    <d v="2025-04-30T00:00:00"/>
    <d v="2025-05-14T00:00:00"/>
    <s v="Working in Store - Harris Scarfe Highpoint"/>
    <s v="Learning"/>
    <n v="1"/>
    <s v="Maribyrnong"/>
    <x v="2"/>
    <n v="1"/>
    <s v="HS2024"/>
    <x v="10"/>
    <x v="2"/>
    <x v="1"/>
    <s v="Q4, FY25"/>
  </r>
  <r>
    <n v="339197"/>
    <s v="Fabio"/>
    <s v="Cigana"/>
    <x v="4"/>
    <s v="Work in Store"/>
    <s v="Anaconda Working in Stores - Highett"/>
    <x v="0"/>
    <d v="2025-04-30T00:00:00"/>
    <d v="2025-05-14T00:00:00"/>
    <s v="Working in Store - Anaconda Highett"/>
    <s v="Learning"/>
    <n v="1"/>
    <s v="Highett"/>
    <x v="2"/>
    <n v="1"/>
    <s v="A039"/>
    <x v="18"/>
    <x v="1"/>
    <x v="1"/>
    <s v="Q4, FY25"/>
  </r>
  <r>
    <n v="339308"/>
    <s v="Belinda"/>
    <s v="Martin"/>
    <x v="4"/>
    <s v="Work in Store"/>
    <s v="Anaconda Working in Stores - Preston"/>
    <x v="0"/>
    <d v="2025-04-30T00:00:00"/>
    <d v="2025-05-14T00:00:00"/>
    <s v="Working in Store - Anaconda Preston"/>
    <s v="Learning"/>
    <n v="1"/>
    <s v="Preston"/>
    <x v="2"/>
    <n v="1"/>
    <s v="A020"/>
    <x v="19"/>
    <x v="1"/>
    <x v="1"/>
    <s v="Q4, FY25"/>
  </r>
  <r>
    <n v="339116"/>
    <s v="Lee"/>
    <s v="Lea"/>
    <x v="4"/>
    <s v="Work in Store"/>
    <s v="Harris Scarfe Working in Stores - Sunbury"/>
    <x v="0"/>
    <d v="2025-04-30T00:00:00"/>
    <d v="2025-05-07T00:00:00"/>
    <s v="Working in Store - Harris Scarfe Sunbury"/>
    <s v="Learning"/>
    <n v="1"/>
    <s v="Sunbury"/>
    <x v="2"/>
    <n v="1"/>
    <s v="HS2031"/>
    <x v="20"/>
    <x v="2"/>
    <x v="1"/>
    <s v="Q4, FY25"/>
  </r>
  <r>
    <n v="339116"/>
    <s v="Lee"/>
    <s v="Lea"/>
    <x v="4"/>
    <s v="Work in Store"/>
    <s v="Working in Store - Spotlight Essendon"/>
    <x v="0"/>
    <d v="2025-04-30T00:00:00"/>
    <d v="2025-05-06T00:00:00"/>
    <s v="Working in Store - Spotlight Essendon"/>
    <s v="Learning"/>
    <n v="1"/>
    <s v="Strathmore"/>
    <x v="2"/>
    <n v="1"/>
    <s v="S008"/>
    <x v="11"/>
    <x v="0"/>
    <x v="1"/>
    <s v="Q4, FY25"/>
  </r>
  <r>
    <n v="326463"/>
    <s v="Ash"/>
    <s v="Bhandari"/>
    <x v="5"/>
    <s v="Work in Store"/>
    <s v="Working in Store - Spotlight Hoppers Crossing"/>
    <x v="0"/>
    <d v="2025-04-30T00:00:00"/>
    <d v="2025-05-02T00:00:00"/>
    <s v="Working in Store - Spotlight Hoppers Crossing"/>
    <s v="Learning"/>
    <n v="1"/>
    <s v="Hoppers Crossing"/>
    <x v="2"/>
    <n v="0"/>
    <s v="S034"/>
    <x v="7"/>
    <x v="0"/>
    <x v="1"/>
    <s v="Q4, FY25"/>
  </r>
  <r>
    <n v="235543"/>
    <s v="Celeste"/>
    <s v="Burgess"/>
    <x v="1"/>
    <s v="Work in Store"/>
    <s v="Harris Scarfe Working in Stores - Spencer Outlet"/>
    <x v="0"/>
    <d v="2025-04-28T00:00:00"/>
    <d v="2025-05-08T00:00:00"/>
    <s v="Working in Store - Harris Scarfe Spencer Outlet"/>
    <s v="Learning"/>
    <n v="2"/>
    <s v="Docklands"/>
    <x v="2"/>
    <n v="0"/>
    <s v="HS2016"/>
    <x v="16"/>
    <x v="2"/>
    <x v="1"/>
    <s v="Q4, FY25"/>
  </r>
  <r>
    <n v="307502"/>
    <s v="Gill"/>
    <s v="Couper"/>
    <x v="1"/>
    <s v="Work in Store"/>
    <s v="Harris Scarfe Working in Stores - Spencer Outlet"/>
    <x v="0"/>
    <d v="2025-04-28T00:00:00"/>
    <d v="2025-05-08T00:00:00"/>
    <s v="Working in Store - Harris Scarfe Spencer Outlet"/>
    <s v="Learning"/>
    <n v="2"/>
    <s v="Docklands"/>
    <x v="2"/>
    <n v="0"/>
    <s v="HS2016"/>
    <x v="16"/>
    <x v="2"/>
    <x v="1"/>
    <s v="Q4, FY25"/>
  </r>
  <r>
    <n v="232850"/>
    <s v="Chris"/>
    <s v="Berlin"/>
    <x v="1"/>
    <s v="Work in Store"/>
    <s v="Harris Scarfe Working in Stores - Spencer Outlet"/>
    <x v="0"/>
    <d v="2025-04-22T00:00:00"/>
    <d v="2025-05-07T00:00:00"/>
    <s v="Working in Store - Harris Scarfe Spencer Outlet"/>
    <s v="Learning"/>
    <n v="2"/>
    <s v="Docklands"/>
    <x v="2"/>
    <n v="0"/>
    <s v="HS2016"/>
    <x v="16"/>
    <x v="2"/>
    <x v="1"/>
    <s v="Q4, FY25"/>
  </r>
  <r>
    <n v="238720"/>
    <s v="Nikkie"/>
    <s v="Nardo"/>
    <x v="1"/>
    <s v="Work in Store"/>
    <s v="Harris Scarfe Working in Stores - Spencer Outlet"/>
    <x v="0"/>
    <d v="2025-04-22T00:00:00"/>
    <d v="2025-05-07T00:00:00"/>
    <s v="Working in Store - Harris Scarfe Spencer Outlet"/>
    <s v="Learning"/>
    <n v="2"/>
    <s v="Docklands"/>
    <x v="2"/>
    <n v="0"/>
    <s v="HS2016"/>
    <x v="16"/>
    <x v="2"/>
    <x v="1"/>
    <s v="Q4, FY25"/>
  </r>
  <r>
    <n v="339098"/>
    <s v="Pooja"/>
    <s v="Satyanarayan"/>
    <x v="5"/>
    <s v="Work in Store"/>
    <s v="Anaconda Working in Stores - Hawthorn East"/>
    <x v="0"/>
    <d v="2025-04-22T00:00:00"/>
    <d v="2025-04-29T00:00:00"/>
    <s v="Working in Store - Anaconda Hawthorn East"/>
    <s v="Learning"/>
    <n v="1"/>
    <s v="Hawthorn East"/>
    <x v="2"/>
    <n v="1"/>
    <s v="A058"/>
    <x v="21"/>
    <x v="1"/>
    <x v="1"/>
    <s v="Q4, FY25"/>
  </r>
  <r>
    <n v="332963"/>
    <s v="Jannine"/>
    <s v="Pattison"/>
    <x v="5"/>
    <s v="Work in Store"/>
    <s v="Working in Store - Spotlight South Melbourne"/>
    <x v="0"/>
    <d v="2025-04-17T00:00:00"/>
    <d v="2025-05-08T00:00:00"/>
    <s v="Working in Store - Spotlight South Melbourne"/>
    <s v="Learning"/>
    <n v="2"/>
    <s v="South Melbourne"/>
    <x v="2"/>
    <n v="0"/>
    <s v="S027"/>
    <x v="13"/>
    <x v="0"/>
    <x v="1"/>
    <s v="Q4, FY25"/>
  </r>
  <r>
    <n v="332963"/>
    <s v="Jannine"/>
    <s v="Pattison"/>
    <x v="5"/>
    <s v="Work in Store"/>
    <s v="Anaconda Working in Stores - Highett"/>
    <x v="0"/>
    <d v="2025-04-17T00:00:00"/>
    <d v="2025-05-01T00:00:00"/>
    <s v="Working in Store - Anaconda Highett"/>
    <s v="Learning"/>
    <n v="1"/>
    <s v="Highett"/>
    <x v="2"/>
    <n v="1"/>
    <s v="A039"/>
    <x v="18"/>
    <x v="1"/>
    <x v="1"/>
    <s v="Q4, FY25"/>
  </r>
  <r>
    <n v="338410"/>
    <s v="Brendan"/>
    <s v="Matheson"/>
    <x v="2"/>
    <s v="Work in Store"/>
    <s v="Working in Store - Spotlight Wangaratta"/>
    <x v="0"/>
    <d v="2025-04-09T00:00:00"/>
    <d v="2025-04-17T00:00:00"/>
    <s v="Working in Store - Spotlight Wangaratta"/>
    <s v="Learning"/>
    <n v="1"/>
    <s v="Wangaratta"/>
    <x v="2"/>
    <n v="1"/>
    <s v="S132"/>
    <x v="22"/>
    <x v="0"/>
    <x v="4"/>
    <s v="Q4, FY25"/>
  </r>
  <r>
    <n v="312878"/>
    <s v="Shaistha"/>
    <s v="Begum"/>
    <x v="2"/>
    <s v="Work in Store"/>
    <s v="Harris Scarfe Working in Stores - Preston"/>
    <x v="0"/>
    <d v="2025-04-07T00:00:00"/>
    <d v="2025-04-15T00:00:00"/>
    <s v="Working in Store - Harris Scarfe Preston"/>
    <s v="Learning"/>
    <n v="1"/>
    <s v="Preston"/>
    <x v="2"/>
    <n v="1"/>
    <s v="HS2040"/>
    <x v="23"/>
    <x v="2"/>
    <x v="4"/>
    <s v="Q4, FY25"/>
  </r>
  <r>
    <n v="338549"/>
    <s v="Leah"/>
    <s v="Abicair"/>
    <x v="1"/>
    <s v="Work in Store"/>
    <s v="Working in Store - Spotlight Box Hill"/>
    <x v="0"/>
    <d v="2025-04-04T00:00:00"/>
    <d v="2025-05-01T00:00:00"/>
    <s v="Working in Store - Spotlight Box Hill"/>
    <s v="Learning"/>
    <n v="1"/>
    <s v="Box Hill"/>
    <x v="0"/>
    <n v="1"/>
    <s v="S002"/>
    <x v="17"/>
    <x v="0"/>
    <x v="1"/>
    <s v="Q4, FY25"/>
  </r>
  <r>
    <n v="333888"/>
    <s v="Skip"/>
    <s v="Foster"/>
    <x v="1"/>
    <s v="Work in Store"/>
    <s v="Anaconda Working in Stores - Ballarat"/>
    <x v="0"/>
    <d v="2025-04-04T00:00:00"/>
    <d v="2025-04-15T00:00:00"/>
    <s v="Working in Store - Anaconda Ballarat"/>
    <s v="Learning"/>
    <n v="1"/>
    <s v="Wendouree"/>
    <x v="2"/>
    <n v="1"/>
    <s v="A035"/>
    <x v="12"/>
    <x v="1"/>
    <x v="4"/>
    <s v="Q4, FY25"/>
  </r>
  <r>
    <n v="321433"/>
    <s v="Bec"/>
    <s v="Luong"/>
    <x v="0"/>
    <s v="Work in Store"/>
    <s v="Working in Store - Spotlight Carnegie"/>
    <x v="0"/>
    <d v="2025-04-02T00:00:00"/>
    <d v="2025-05-08T00:00:00"/>
    <s v="Working in Store- Spotlight Cranegie"/>
    <s v="Learning"/>
    <n v="2"/>
    <s v="Carnegie"/>
    <x v="2"/>
    <n v="0"/>
    <s v="S114"/>
    <x v="5"/>
    <x v="0"/>
    <x v="1"/>
    <s v="Q4, FY25"/>
  </r>
  <r>
    <n v="235135"/>
    <s v="Penny"/>
    <s v="Robin"/>
    <x v="2"/>
    <s v="Work in Store"/>
    <s v="Working in Store - Spotlight Carnegie"/>
    <x v="0"/>
    <d v="2025-04-01T00:00:00"/>
    <d v="2025-05-08T00:00:00"/>
    <s v="Working in Store- Spotlight Cranegie"/>
    <s v="Learning"/>
    <n v="2"/>
    <s v="Carnegie"/>
    <x v="2"/>
    <n v="0"/>
    <s v="S114"/>
    <x v="5"/>
    <x v="0"/>
    <x v="1"/>
    <s v="Q4, FY25"/>
  </r>
  <r>
    <n v="208565"/>
    <s v="Helen"/>
    <s v="Athanasakopoulos"/>
    <x v="3"/>
    <s v="Work in Store"/>
    <s v="Harris Scarfe Working in Stores - Airport West"/>
    <x v="0"/>
    <d v="2025-03-31T00:00:00"/>
    <d v="2025-05-29T00:00:00"/>
    <s v="Working in Store - Harris Scarfe Airport West"/>
    <s v="Learning"/>
    <n v="1"/>
    <s v="Airport West"/>
    <x v="0"/>
    <n v="1"/>
    <s v="HS2027"/>
    <x v="24"/>
    <x v="2"/>
    <x v="1"/>
    <s v="Q4, FY25"/>
  </r>
  <r>
    <n v="325030"/>
    <s v="Tarryn"/>
    <s v="Eddy"/>
    <x v="5"/>
    <s v="Work in Store"/>
    <s v="Harris Scarfe Working in Store - Chirnside Park"/>
    <x v="0"/>
    <d v="2025-03-27T00:00:00"/>
    <d v="2025-06-26T00:00:00"/>
    <s v="Working in Store - Harris Scarfe Chirnside Park"/>
    <s v="Learning"/>
    <n v="1"/>
    <s v="Melbourne"/>
    <x v="0"/>
    <n v="1"/>
    <s v="HS2054"/>
    <x v="25"/>
    <x v="2"/>
    <x v="0"/>
    <s v="Q4, FY25"/>
  </r>
  <r>
    <n v="338289"/>
    <s v="Chaitra"/>
    <s v="Chandra Mouli"/>
    <x v="2"/>
    <s v="Work in Store"/>
    <s v="Working in Store - Spotlight South Melbourne"/>
    <x v="0"/>
    <d v="2025-03-26T00:00:00"/>
    <d v="2025-05-08T00:00:00"/>
    <s v="Working in Store - Spotlight South Melbourne"/>
    <s v="Learning"/>
    <n v="2"/>
    <s v="South Melbourne"/>
    <x v="2"/>
    <n v="0"/>
    <s v="S027"/>
    <x v="13"/>
    <x v="0"/>
    <x v="1"/>
    <s v="Q4, FY25"/>
  </r>
  <r>
    <n v="335644"/>
    <s v="Aman"/>
    <s v="Vasan"/>
    <x v="3"/>
    <s v="Work in Store"/>
    <s v="Harris Scarfe Working in Stores - Airport West"/>
    <x v="0"/>
    <d v="2025-03-25T00:00:00"/>
    <d v="2025-09-18T00:00:00"/>
    <s v="Working in Store - Harris Scarfe Airport West"/>
    <s v="Learning"/>
    <n v="1"/>
    <s v="Airport West"/>
    <x v="0"/>
    <n v="1"/>
    <s v="HS2027"/>
    <x v="24"/>
    <x v="2"/>
    <x v="3"/>
    <s v="Q1, FY26"/>
  </r>
  <r>
    <n v="338802"/>
    <s v="Jonathan"/>
    <s v="Tan"/>
    <x v="3"/>
    <s v="Work in Store"/>
    <s v="Working in Store - Spotlight Carnegie"/>
    <x v="0"/>
    <d v="2025-03-14T00:00:00"/>
    <d v="2025-03-26T00:00:00"/>
    <s v="Working in Store- Spotlight Cranegie"/>
    <s v="Learning"/>
    <n v="1"/>
    <s v="Carnegie"/>
    <x v="2"/>
    <n v="1"/>
    <s v="S114"/>
    <x v="5"/>
    <x v="0"/>
    <x v="5"/>
    <s v="Q3, FY25"/>
  </r>
  <r>
    <n v="338702"/>
    <s v="Julie"/>
    <s v="Ma"/>
    <x v="5"/>
    <s v="Work in Store"/>
    <s v="Working in Store - Spotlight Burnside"/>
    <x v="0"/>
    <d v="2025-03-14T00:00:00"/>
    <d v="2025-03-18T00:00:00"/>
    <s v="Working in Store - Spotlight Burnside"/>
    <s v="Learning"/>
    <n v="1"/>
    <s v="Caroline Springs"/>
    <x v="2"/>
    <n v="1"/>
    <s v="S098"/>
    <x v="26"/>
    <x v="0"/>
    <x v="5"/>
    <s v="Q3, FY25"/>
  </r>
  <r>
    <n v="338604"/>
    <s v="Martin"/>
    <s v="Bicknell"/>
    <x v="5"/>
    <s v="Work in Store"/>
    <s v="Working in Store - Spotlight Box Hill"/>
    <x v="0"/>
    <d v="2025-03-11T00:00:00"/>
    <d v="2025-04-02T00:00:00"/>
    <s v="Working in Store - Spotlight Box Hill"/>
    <s v="Learning"/>
    <n v="1"/>
    <s v="Box Hill"/>
    <x v="0"/>
    <n v="1"/>
    <s v="S002"/>
    <x v="17"/>
    <x v="0"/>
    <x v="4"/>
    <s v="Q4, FY25"/>
  </r>
  <r>
    <n v="338604"/>
    <s v="Martin"/>
    <s v="Bicknell"/>
    <x v="5"/>
    <s v="Work in Store"/>
    <s v="Anaconda Working in Stores - Epping"/>
    <x v="0"/>
    <d v="2025-03-11T00:00:00"/>
    <d v="2025-03-26T00:00:00"/>
    <s v="Working in Store - Anaconda Epping"/>
    <s v="Learning"/>
    <n v="1"/>
    <s v="Epping"/>
    <x v="0"/>
    <n v="1"/>
    <s v="A052"/>
    <x v="27"/>
    <x v="1"/>
    <x v="5"/>
    <s v="Q3, FY25"/>
  </r>
  <r>
    <n v="338604"/>
    <s v="Martin"/>
    <s v="Bicknell"/>
    <x v="5"/>
    <s v="Work in Store"/>
    <s v="Harris Scarfe Working in Stores - Epping"/>
    <x v="0"/>
    <d v="2025-03-11T00:00:00"/>
    <d v="2025-03-19T00:00:00"/>
    <s v="Working in Store - Harris Scarfe Epping"/>
    <s v="Learning"/>
    <n v="1"/>
    <s v="Epping"/>
    <x v="0"/>
    <n v="1"/>
    <s v="HS2023"/>
    <x v="28"/>
    <x v="2"/>
    <x v="5"/>
    <s v="Q3, FY25"/>
  </r>
  <r>
    <n v="321483"/>
    <s v="Vinchi"/>
    <s v="Chan"/>
    <x v="5"/>
    <s v="Work in Store"/>
    <s v="Working in Store - Spotlight South Melbourne"/>
    <x v="0"/>
    <d v="2025-03-07T00:00:00"/>
    <d v="2025-05-01T00:00:00"/>
    <s v="Working in Store - Spotlight South Melbourne"/>
    <s v="Learning"/>
    <n v="2"/>
    <s v="South Melbourne"/>
    <x v="2"/>
    <n v="0"/>
    <s v="S027"/>
    <x v="13"/>
    <x v="0"/>
    <x v="1"/>
    <s v="Q4, FY25"/>
  </r>
  <r>
    <n v="329267"/>
    <s v="Sima"/>
    <s v="Karki"/>
    <x v="1"/>
    <s v="Work in Store"/>
    <s v="Working in Store - Spotlight South Melbourne"/>
    <x v="0"/>
    <d v="2025-03-07T00:00:00"/>
    <d v="2025-05-01T00:00:00"/>
    <s v="Working in Store - Spotlight South Melbourne"/>
    <s v="Learning"/>
    <n v="2"/>
    <s v="South Melbourne"/>
    <x v="2"/>
    <n v="0"/>
    <s v="S027"/>
    <x v="13"/>
    <x v="0"/>
    <x v="1"/>
    <s v="Q4, FY25"/>
  </r>
  <r>
    <n v="203902"/>
    <s v="Ganda"/>
    <s v="Sandjaja"/>
    <x v="2"/>
    <s v="Work in Store"/>
    <s v="Anaconda Working in Stores - Springvale"/>
    <x v="0"/>
    <d v="2025-03-05T00:00:00"/>
    <d v="2025-04-01T00:00:00"/>
    <s v="Working in Store - Anaconda Springvale"/>
    <s v="Learning"/>
    <n v="1"/>
    <s v="Springvale"/>
    <x v="2"/>
    <n v="1"/>
    <s v="A026"/>
    <x v="3"/>
    <x v="1"/>
    <x v="4"/>
    <s v="Q4, FY25"/>
  </r>
  <r>
    <n v="329837"/>
    <s v="Anirudh Singh"/>
    <s v="Singh"/>
    <x v="2"/>
    <s v="Work in Store"/>
    <s v="Working in Store - Spotlight Hoppers Crossing"/>
    <x v="0"/>
    <d v="2025-02-27T00:00:00"/>
    <d v="2025-03-27T00:00:00"/>
    <s v="Working in Store - Spotlight Hoppers Crossing"/>
    <s v="Learning"/>
    <n v="1"/>
    <s v="Hoppers Crossing"/>
    <x v="2"/>
    <n v="1"/>
    <s v="S034"/>
    <x v="7"/>
    <x v="0"/>
    <x v="5"/>
    <s v="Q3, FY25"/>
  </r>
  <r>
    <n v="237223"/>
    <s v="Karen"/>
    <s v="Lai"/>
    <x v="1"/>
    <s v="Work in Store"/>
    <s v="Harris Scarfe Working in Stores - Spencer Outlet"/>
    <x v="0"/>
    <d v="2025-02-27T00:00:00"/>
    <d v="2025-03-18T00:00:00"/>
    <s v="Working in Store - Harris Scarfe Spencer Outlet"/>
    <s v="Learning"/>
    <n v="1"/>
    <s v="Docklands"/>
    <x v="0"/>
    <n v="1"/>
    <s v="HS2016"/>
    <x v="16"/>
    <x v="2"/>
    <x v="5"/>
    <s v="Q3, FY25"/>
  </r>
  <r>
    <n v="317531"/>
    <s v="Steph"/>
    <s v="Taupin"/>
    <x v="0"/>
    <s v="Work in Store"/>
    <s v="Working in Store - Spotlight Essendon"/>
    <x v="0"/>
    <d v="2025-02-25T00:00:00"/>
    <d v="2025-03-05T00:00:00"/>
    <s v="Working in Store - Spotlight Essendon"/>
    <s v="Learning"/>
    <n v="2"/>
    <s v="Strathmore"/>
    <x v="2"/>
    <n v="0"/>
    <s v="S008"/>
    <x v="11"/>
    <x v="0"/>
    <x v="5"/>
    <s v="Q3, FY25"/>
  </r>
  <r>
    <n v="307816"/>
    <s v="Su"/>
    <s v="Xie"/>
    <x v="6"/>
    <s v="Work in Store"/>
    <s v="Harris Scarfe Working in Stores - Carnegie"/>
    <x v="0"/>
    <d v="2025-02-20T00:00:00"/>
    <d v="2025-03-18T00:00:00"/>
    <s v="Working in Store - Harris Scarfe Carnegie"/>
    <s v="Learning"/>
    <n v="1"/>
    <s v="Carnegie"/>
    <x v="2"/>
    <n v="1"/>
    <s v="HS2042"/>
    <x v="29"/>
    <x v="2"/>
    <x v="5"/>
    <s v="Q3, FY25"/>
  </r>
  <r>
    <n v="328014"/>
    <s v="Yuan"/>
    <s v="Jiang"/>
    <x v="5"/>
    <s v="Work in Store"/>
    <s v="Anaconda Working in Stores - Springvale"/>
    <x v="0"/>
    <d v="2025-02-14T00:00:00"/>
    <d v="2025-05-29T00:00:00"/>
    <s v="Working in Store - Anaconda Springvale"/>
    <s v="Learning"/>
    <n v="2"/>
    <s v="Springvale"/>
    <x v="0"/>
    <n v="0"/>
    <s v="A026"/>
    <x v="3"/>
    <x v="1"/>
    <x v="1"/>
    <s v="Q4, FY25"/>
  </r>
  <r>
    <n v="328927"/>
    <s v="Lucy"/>
    <s v="Lu"/>
    <x v="5"/>
    <s v="Work in Store"/>
    <s v="Anaconda Working in Stores - Springvale"/>
    <x v="0"/>
    <d v="2025-02-14T00:00:00"/>
    <d v="2025-05-29T00:00:00"/>
    <s v="Working in Store - Anaconda Springvale"/>
    <s v="Learning"/>
    <n v="2"/>
    <s v="Springvale"/>
    <x v="0"/>
    <n v="0"/>
    <s v="A026"/>
    <x v="3"/>
    <x v="1"/>
    <x v="1"/>
    <s v="Q4, FY25"/>
  </r>
  <r>
    <n v="230701"/>
    <s v="Vijay"/>
    <s v="Shanbhag"/>
    <x v="2"/>
    <s v="Work in Store"/>
    <s v="Working in Store - Spotlight Hoppers Crossing"/>
    <x v="0"/>
    <d v="2025-02-12T00:00:00"/>
    <d v="2025-02-26T00:00:00"/>
    <s v="Working in Store - Spotlight Hoppers Crossing"/>
    <s v="Learning"/>
    <n v="1"/>
    <s v="Hoppers Crossing"/>
    <x v="2"/>
    <n v="1"/>
    <s v="S034"/>
    <x v="7"/>
    <x v="0"/>
    <x v="6"/>
    <s v="Q3, FY25"/>
  </r>
  <r>
    <n v="322577"/>
    <s v="Kc"/>
    <s v="Howie"/>
    <x v="7"/>
    <s v="Work in Store"/>
    <s v="Anaconda Working in Stores - Bendigo"/>
    <x v="0"/>
    <d v="2025-02-12T00:00:00"/>
    <d v="2025-02-13T00:00:00"/>
    <s v="Working in Store - Anaconda Bendigo"/>
    <s v="Learning"/>
    <n v="1"/>
    <s v="Bendigo"/>
    <x v="2"/>
    <n v="1"/>
    <s v="A021"/>
    <x v="30"/>
    <x v="1"/>
    <x v="6"/>
    <s v="Q3, FY25"/>
  </r>
  <r>
    <n v="314085"/>
    <s v="Sumitha"/>
    <s v="Johnsilas"/>
    <x v="3"/>
    <s v="Work in Store"/>
    <s v="Working in Store - Spotlight Sandown"/>
    <x v="0"/>
    <d v="2025-02-11T00:00:00"/>
    <d v="2025-10-14T00:00:00"/>
    <s v="Working in Store - Spotlight Sandown"/>
    <s v="Learning"/>
    <n v="1"/>
    <s v="Springvale"/>
    <x v="0"/>
    <n v="1"/>
    <s v="S005"/>
    <x v="31"/>
    <x v="0"/>
    <x v="7"/>
    <s v="Q2, FY26"/>
  </r>
  <r>
    <n v="314085"/>
    <s v="Sumitha"/>
    <s v="Johnsilas"/>
    <x v="3"/>
    <s v="Work in Store"/>
    <s v="Anaconda Working in Stores - Springvale"/>
    <x v="0"/>
    <d v="2025-02-11T00:00:00"/>
    <d v="2025-03-18T00:00:00"/>
    <s v="Working in Store - Anaconda Springvale"/>
    <s v="Learning"/>
    <n v="1"/>
    <s v="Springvale"/>
    <x v="0"/>
    <n v="1"/>
    <s v="A026"/>
    <x v="3"/>
    <x v="1"/>
    <x v="5"/>
    <s v="Q3, FY25"/>
  </r>
  <r>
    <n v="326683"/>
    <s v="Shan"/>
    <s v="Lattin"/>
    <x v="0"/>
    <s v="Work in Store"/>
    <s v="Working in Store - Spotlight Essendon"/>
    <x v="0"/>
    <d v="2025-02-11T00:00:00"/>
    <d v="2025-03-05T00:00:00"/>
    <s v="Working in Store - Spotlight Essendon"/>
    <s v="Learning"/>
    <n v="2"/>
    <s v="Strathmore"/>
    <x v="2"/>
    <n v="0"/>
    <s v="S008"/>
    <x v="11"/>
    <x v="0"/>
    <x v="5"/>
    <s v="Q3, FY25"/>
  </r>
  <r>
    <n v="201015"/>
    <s v="Anita"/>
    <s v="Ali"/>
    <x v="3"/>
    <s v="Work in Store"/>
    <s v="Harris Scarfe Working in Stores - Airport West"/>
    <x v="0"/>
    <d v="2025-02-07T00:00:00"/>
    <d v="2025-03-04T00:00:00"/>
    <s v="Working in Store - Harris Scarfe Airport West"/>
    <s v="Learning"/>
    <n v="1"/>
    <s v="Airport West"/>
    <x v="2"/>
    <n v="1"/>
    <s v="HS2027"/>
    <x v="24"/>
    <x v="2"/>
    <x v="5"/>
    <s v="Q3, FY25"/>
  </r>
  <r>
    <n v="332206"/>
    <s v="Subrat"/>
    <s v="Rana"/>
    <x v="2"/>
    <s v="Work in Store"/>
    <s v="Working in Store - Spotlight Box Hill"/>
    <x v="0"/>
    <d v="2025-02-05T00:00:00"/>
    <d v="2025-02-06T00:00:00"/>
    <s v="Working in Store - Spotlight Box Hill"/>
    <s v="Learning"/>
    <n v="1"/>
    <s v="Box Hill"/>
    <x v="2"/>
    <n v="1"/>
    <s v="S002"/>
    <x v="17"/>
    <x v="0"/>
    <x v="6"/>
    <s v="Q3, FY25"/>
  </r>
  <r>
    <n v="239383"/>
    <s v="Harry"/>
    <s v="Ashton"/>
    <x v="4"/>
    <s v="Work in Store"/>
    <s v="Working in Store - Spotlight Carnegie"/>
    <x v="0"/>
    <d v="2025-02-04T00:00:00"/>
    <d v="2025-03-04T00:00:00"/>
    <s v="Working in Store- Spotlight Cranegie"/>
    <s v="Learning"/>
    <n v="1"/>
    <s v="Carnegie"/>
    <x v="2"/>
    <n v="1"/>
    <s v="S114"/>
    <x v="5"/>
    <x v="0"/>
    <x v="5"/>
    <s v="Q3, FY25"/>
  </r>
  <r>
    <n v="337278"/>
    <s v="Tharika"/>
    <s v="Wijesinghe Seneviratne G"/>
    <x v="0"/>
    <s v="Work in Store"/>
    <s v="Working in Store - Spotlight Fountain Gate"/>
    <x v="0"/>
    <d v="2025-01-28T00:00:00"/>
    <d v="2025-02-13T00:00:00"/>
    <s v="Working in Store - Spotlight Fountain Gate"/>
    <s v="Learning"/>
    <n v="1"/>
    <s v="Fountain Gate"/>
    <x v="2"/>
    <n v="1"/>
    <s v="S070"/>
    <x v="0"/>
    <x v="0"/>
    <x v="6"/>
    <s v="Q3, FY25"/>
  </r>
  <r>
    <n v="325420"/>
    <s v="Thida"/>
    <s v="Zaw"/>
    <x v="2"/>
    <s v="Work in Store"/>
    <s v="Harris Scarfe Working in Store - Highpoint"/>
    <x v="0"/>
    <d v="2025-01-23T00:00:00"/>
    <d v="2025-02-04T00:00:00"/>
    <s v="Working in Store - Harris Scarfe Highpoint"/>
    <s v="Learning"/>
    <n v="1"/>
    <s v="Maribyrnong"/>
    <x v="2"/>
    <n v="1"/>
    <s v="HS2024"/>
    <x v="10"/>
    <x v="2"/>
    <x v="6"/>
    <s v="Q3, FY25"/>
  </r>
  <r>
    <n v="335473"/>
    <s v="Chantelle"/>
    <s v="Platt"/>
    <x v="5"/>
    <s v="Work in Store"/>
    <s v="Anaconda Working in Stores - Maribyrnong"/>
    <x v="0"/>
    <d v="2025-01-20T00:00:00"/>
    <d v="2025-06-05T00:00:00"/>
    <s v="Working in Store - Anaconda Maribyrnong"/>
    <s v="Learning"/>
    <n v="1"/>
    <s v="Maribyrnong"/>
    <x v="0"/>
    <n v="1"/>
    <s v="A042"/>
    <x v="32"/>
    <x v="1"/>
    <x v="0"/>
    <s v="Q4, FY25"/>
  </r>
  <r>
    <n v="335473"/>
    <s v="Chantelle"/>
    <s v="Platt"/>
    <x v="5"/>
    <s v="Work in Store"/>
    <s v="Working in Store - Spotlight Maribyrnong"/>
    <x v="0"/>
    <d v="2025-01-20T00:00:00"/>
    <d v="2025-06-04T00:00:00"/>
    <s v="Working in Store - Spotlight Maribyrnong"/>
    <s v="Learning"/>
    <n v="1"/>
    <s v="Maribyrnong"/>
    <x v="0"/>
    <n v="1"/>
    <s v="S010"/>
    <x v="33"/>
    <x v="0"/>
    <x v="0"/>
    <s v="Q4, FY25"/>
  </r>
  <r>
    <n v="338041"/>
    <s v="Luan"/>
    <s v="Nguyen"/>
    <x v="5"/>
    <s v="Work in Store"/>
    <s v="Harris Scarfe Working in Stores - Woodgrove"/>
    <x v="0"/>
    <d v="2025-01-09T00:00:00"/>
    <d v="2025-01-23T00:00:00"/>
    <s v="Working in Store - Harris Scarfe Woodgrove"/>
    <s v="Learning"/>
    <n v="1"/>
    <s v="Melton"/>
    <x v="2"/>
    <n v="1"/>
    <s v="HS2017"/>
    <x v="34"/>
    <x v="2"/>
    <x v="8"/>
    <s v="Q3, FY25"/>
  </r>
  <r>
    <n v="208565"/>
    <s v="Helen"/>
    <s v="Athanasakopoulos"/>
    <x v="3"/>
    <s v="Work in Store"/>
    <s v="Working in Store - Spotlight Essendon"/>
    <x v="0"/>
    <d v="2025-01-08T00:00:00"/>
    <d v="2025-11-11T00:00:00"/>
    <s v="Working in Store - Spotlight Essendon"/>
    <s v="Learning"/>
    <n v="1"/>
    <s v="Strathmore"/>
    <x v="0"/>
    <n v="1"/>
    <s v="S008"/>
    <x v="11"/>
    <x v="0"/>
    <x v="9"/>
    <s v="Q2, FY26"/>
  </r>
  <r>
    <n v="201015"/>
    <s v="Anita"/>
    <s v="Ali"/>
    <x v="3"/>
    <s v="Work in Store"/>
    <s v="Harris Scarfe Working in Store - Highpoint"/>
    <x v="0"/>
    <d v="2025-01-07T00:00:00"/>
    <d v="2025-11-13T00:00:00"/>
    <s v="Working in Store - Harris Scarfe Highpoint"/>
    <s v="Learning"/>
    <n v="2"/>
    <s v="Maribyrnong"/>
    <x v="0"/>
    <n v="0"/>
    <s v="HS2024"/>
    <x v="10"/>
    <x v="2"/>
    <x v="9"/>
    <s v="Q2, FY26"/>
  </r>
  <r>
    <n v="323134"/>
    <s v="Harsimar"/>
    <s v="Kaur"/>
    <x v="2"/>
    <s v="Work in Store"/>
    <s v="Working in Store - Spotlight Fountain Gate"/>
    <x v="0"/>
    <d v="2025-01-07T00:00:00"/>
    <d v="2025-03-27T00:00:00"/>
    <s v="Working in Store - Spotlight Fountain Gate"/>
    <s v="Learning"/>
    <n v="1"/>
    <s v="Fountain Gate"/>
    <x v="0"/>
    <n v="1"/>
    <s v="S070"/>
    <x v="0"/>
    <x v="0"/>
    <x v="5"/>
    <s v="Q3, FY25"/>
  </r>
  <r>
    <n v="203082"/>
    <s v="Nancy"/>
    <s v="Goegan"/>
    <x v="3"/>
    <s v="Work in Store"/>
    <s v="Working in Store - Spotlight Hoppers Crossing"/>
    <x v="0"/>
    <d v="2025-01-06T00:00:00"/>
    <d v="2025-09-02T00:00:00"/>
    <s v="Working in Store - Spotlight Hoppers Crossing"/>
    <s v="Learning"/>
    <n v="1"/>
    <s v="Hoppers Crossing"/>
    <x v="0"/>
    <n v="1"/>
    <s v="S034"/>
    <x v="7"/>
    <x v="0"/>
    <x v="3"/>
    <s v="Q1, FY26"/>
  </r>
  <r>
    <n v="325114"/>
    <s v="Susanty"/>
    <s v="Irawan"/>
    <x v="3"/>
    <s v="Work in Store"/>
    <s v="Working in Store - Spotlight Hoppers Crossing"/>
    <x v="0"/>
    <d v="2025-01-06T00:00:00"/>
    <d v="2025-08-21T00:00:00"/>
    <s v="Working in Store - Spotlight Hoppers Crossing"/>
    <s v="Learning"/>
    <n v="1"/>
    <s v="Hoppers Crossing"/>
    <x v="0"/>
    <n v="1"/>
    <s v="S034"/>
    <x v="7"/>
    <x v="0"/>
    <x v="2"/>
    <s v="Q1, FY26"/>
  </r>
  <r>
    <n v="302779"/>
    <s v="Shakira"/>
    <s v="Solis"/>
    <x v="3"/>
    <s v="Work in Store"/>
    <s v="Harris Scarfe Working in Stores - Tarneit"/>
    <x v="0"/>
    <d v="2025-01-06T00:00:00"/>
    <d v="2025-07-08T00:00:00"/>
    <s v="Working in Store - Harris Scarfe Tarneit"/>
    <s v="Learning"/>
    <n v="1"/>
    <s v="Tarneit"/>
    <x v="0"/>
    <n v="1"/>
    <s v="HS2048"/>
    <x v="35"/>
    <x v="2"/>
    <x v="10"/>
    <s v="Q1, FY26"/>
  </r>
  <r>
    <n v="325114"/>
    <s v="Susanty"/>
    <s v="Irawan"/>
    <x v="3"/>
    <s v="Work in Store"/>
    <s v="Harris Scarfe Working in Stores - Spencer Outlet"/>
    <x v="0"/>
    <d v="2025-01-06T00:00:00"/>
    <d v="2025-04-17T00:00:00"/>
    <s v="Working in Store - Harris Scarfe Spencer Outlet"/>
    <s v="Learning"/>
    <n v="1"/>
    <s v="Docklands"/>
    <x v="2"/>
    <n v="1"/>
    <s v="HS2016"/>
    <x v="16"/>
    <x v="2"/>
    <x v="4"/>
    <s v="Q4, FY25"/>
  </r>
  <r>
    <n v="203082"/>
    <s v="Nancy"/>
    <s v="Goegan"/>
    <x v="3"/>
    <s v="Work in Store"/>
    <s v="Harris Scarfe Working in Stores - Tarneit"/>
    <x v="0"/>
    <d v="2025-01-06T00:00:00"/>
    <d v="2025-04-01T00:00:00"/>
    <s v="Working in Store - Harris Scarfe Tarneit"/>
    <s v="Learning"/>
    <n v="1"/>
    <s v="Tarneit"/>
    <x v="0"/>
    <n v="1"/>
    <s v="HS2048"/>
    <x v="35"/>
    <x v="2"/>
    <x v="4"/>
    <s v="Q4, FY25"/>
  </r>
  <r>
    <n v="302779"/>
    <s v="Shakira"/>
    <s v="Solis"/>
    <x v="3"/>
    <s v="Work in Store"/>
    <s v="Working in Store - Spotlight Hoppers Crossing"/>
    <x v="0"/>
    <d v="2025-01-06T00:00:00"/>
    <d v="2025-03-25T00:00:00"/>
    <s v="Working in Store - Spotlight Hoppers Crossing"/>
    <s v="Learning"/>
    <n v="1"/>
    <s v="Hoppers Crossing"/>
    <x v="0"/>
    <n v="1"/>
    <s v="S034"/>
    <x v="7"/>
    <x v="0"/>
    <x v="5"/>
    <s v="Q3, FY25"/>
  </r>
  <r>
    <n v="205870"/>
    <s v="Joanne"/>
    <s v="Fatai"/>
    <x v="3"/>
    <s v="Work in Store"/>
    <s v="Harris Scarfe Working in Store - Highpoint"/>
    <x v="0"/>
    <d v="2025-01-03T00:00:00"/>
    <d v="2025-11-13T00:00:00"/>
    <s v="Working in Store - Harris Scarfe Highpoint"/>
    <s v="Learning"/>
    <n v="2"/>
    <s v="Maribyrnong"/>
    <x v="0"/>
    <n v="0"/>
    <s v="HS2024"/>
    <x v="10"/>
    <x v="2"/>
    <x v="9"/>
    <s v="Q2, FY26"/>
  </r>
  <r>
    <n v="320638"/>
    <s v="Marie"/>
    <s v="Uisa"/>
    <x v="8"/>
    <s v="Work in Store"/>
    <s v="Harris Scarfe Working in Stores - Tarneit"/>
    <x v="0"/>
    <d v="2024-12-16T00:00:00"/>
    <d v="2025-01-28T00:00:00"/>
    <s v="Working in Store - Harris Scarfe Tarneit"/>
    <s v="Learning"/>
    <n v="1"/>
    <s v="Tarneit"/>
    <x v="2"/>
    <n v="1"/>
    <s v="HS2048"/>
    <x v="35"/>
    <x v="2"/>
    <x v="6"/>
    <s v="Q3, FY25"/>
  </r>
  <r>
    <n v="334016"/>
    <s v="Leigh"/>
    <s v="Boyle"/>
    <x v="3"/>
    <s v="Work in Store"/>
    <s v="Anaconda Working in Stores - Hawthorn East"/>
    <x v="0"/>
    <d v="2024-12-13T00:00:00"/>
    <d v="2024-12-18T00:00:00"/>
    <s v="Working in Store - Anaconda Hawthorn East"/>
    <s v="Learning"/>
    <n v="2"/>
    <s v="Hawthorn East"/>
    <x v="2"/>
    <n v="0"/>
    <s v="A058"/>
    <x v="21"/>
    <x v="1"/>
    <x v="11"/>
    <s v="Q2, FY25"/>
  </r>
  <r>
    <n v="338177"/>
    <s v="Yulia"/>
    <s v="Bolton"/>
    <x v="5"/>
    <s v="Work in Store"/>
    <s v="Harris Scarfe Working in Stores - Spencer Outlet"/>
    <x v="0"/>
    <d v="2024-12-11T00:00:00"/>
    <d v="2024-12-20T00:00:00"/>
    <s v="Working in Store - Harris Scarfe Spencer Outlet"/>
    <s v="Learning"/>
    <n v="1"/>
    <s v="Docklands"/>
    <x v="2"/>
    <n v="1"/>
    <s v="HS2016"/>
    <x v="16"/>
    <x v="2"/>
    <x v="11"/>
    <s v="Q2, FY25"/>
  </r>
  <r>
    <n v="298748"/>
    <s v="Andre"/>
    <s v="Wilbraham"/>
    <x v="3"/>
    <s v="Work in Store"/>
    <s v="Anaconda Working in Stores - Hawthorn East"/>
    <x v="0"/>
    <d v="2024-12-10T00:00:00"/>
    <d v="2024-12-18T00:00:00"/>
    <s v="Working in Store - Anaconda Hawthorn East"/>
    <s v="Learning"/>
    <n v="2"/>
    <s v="Hawthorn East"/>
    <x v="2"/>
    <n v="0"/>
    <s v="A058"/>
    <x v="21"/>
    <x v="1"/>
    <x v="11"/>
    <s v="Q2, FY25"/>
  </r>
  <r>
    <n v="336791"/>
    <s v="Mikaylah"/>
    <s v="Witanga"/>
    <x v="7"/>
    <s v="Work in Store"/>
    <s v="Anaconda Working in Stores - Highett"/>
    <x v="0"/>
    <d v="2024-12-05T00:00:00"/>
    <d v="2024-12-18T00:00:00"/>
    <s v="Working in Store - Anaconda Highett"/>
    <s v="Learning"/>
    <n v="1"/>
    <s v="Highett"/>
    <x v="2"/>
    <n v="1"/>
    <s v="A039"/>
    <x v="18"/>
    <x v="1"/>
    <x v="11"/>
    <s v="Q2, FY25"/>
  </r>
  <r>
    <n v="314295"/>
    <s v="Fi"/>
    <s v="Cassidy"/>
    <x v="5"/>
    <s v="Work in Store"/>
    <s v="Working in Store - Spotlight Fountain Gate"/>
    <x v="0"/>
    <d v="2024-12-03T00:00:00"/>
    <d v="2024-12-13T00:00:00"/>
    <s v="Working in Store - Spotlight Fountain Gate"/>
    <s v="Learning"/>
    <n v="1"/>
    <s v="Fountain Gate"/>
    <x v="2"/>
    <n v="1"/>
    <s v="S070"/>
    <x v="0"/>
    <x v="0"/>
    <x v="11"/>
    <s v="Q2, FY25"/>
  </r>
  <r>
    <n v="331860"/>
    <s v="Dhinesh"/>
    <s v="Sabhapathi"/>
    <x v="8"/>
    <s v="Work in Store"/>
    <s v="Working in Store - Spotlight Hoppers Crossing"/>
    <x v="0"/>
    <d v="2024-12-03T00:00:00"/>
    <d v="2024-12-05T00:00:00"/>
    <s v="Working in Store - Spotlight Hoppers Crossing"/>
    <s v="Learning"/>
    <n v="1"/>
    <s v="Hoppers Crossing"/>
    <x v="2"/>
    <n v="1"/>
    <s v="S034"/>
    <x v="7"/>
    <x v="0"/>
    <x v="11"/>
    <s v="Q2, FY25"/>
  </r>
  <r>
    <n v="337294"/>
    <s v="Fiona Thornton"/>
    <s v="Thornton"/>
    <x v="0"/>
    <s v="Work in Store"/>
    <s v="Working in Store - Spotlight Box Hill"/>
    <x v="0"/>
    <d v="2024-12-02T00:00:00"/>
    <d v="2024-12-11T00:00:00"/>
    <s v="Working in Store - Spotlight Box Hill"/>
    <s v="Learning"/>
    <n v="1"/>
    <s v="Box Hill"/>
    <x v="2"/>
    <n v="1"/>
    <s v="S002"/>
    <x v="17"/>
    <x v="0"/>
    <x v="11"/>
    <s v="Q2, FY25"/>
  </r>
  <r>
    <n v="317309"/>
    <s v="Ash"/>
    <s v="Steers"/>
    <x v="2"/>
    <s v="Work in Store"/>
    <s v="Harris Scarfe Working in Store - Shepparton"/>
    <x v="0"/>
    <d v="2024-11-29T00:00:00"/>
    <d v="2025-01-17T00:00:00"/>
    <s v="Harris Scarfe Working in Store - Shepparton "/>
    <s v="Learning"/>
    <n v="1"/>
    <m/>
    <x v="2"/>
    <n v="1"/>
    <s v="HS2026"/>
    <x v="36"/>
    <x v="2"/>
    <x v="8"/>
    <s v="Q3, FY25"/>
  </r>
  <r>
    <n v="203286"/>
    <s v="Janeece"/>
    <s v="Race"/>
    <x v="4"/>
    <s v="Work in Store"/>
    <s v="Anaconda Working in Stores - Preston"/>
    <x v="0"/>
    <d v="2024-11-28T00:00:00"/>
    <d v="2024-11-29T00:00:00"/>
    <s v="Working in Store - Anaconda Preston"/>
    <s v="Learning"/>
    <n v="1"/>
    <s v="Preston"/>
    <x v="2"/>
    <n v="1"/>
    <s v="A020"/>
    <x v="19"/>
    <x v="1"/>
    <x v="12"/>
    <s v="Q2, FY25"/>
  </r>
  <r>
    <n v="335471"/>
    <s v="Imesha"/>
    <s v="Karunarathna"/>
    <x v="7"/>
    <s v="Work in Store"/>
    <s v="Anaconda Working in Stores - Springvale"/>
    <x v="0"/>
    <d v="2024-11-27T00:00:00"/>
    <d v="2024-12-13T00:00:00"/>
    <s v="Working in Store - Anaconda Springvale"/>
    <s v="Learning"/>
    <n v="1"/>
    <s v="Springvale"/>
    <x v="2"/>
    <n v="1"/>
    <s v="A026"/>
    <x v="3"/>
    <x v="1"/>
    <x v="11"/>
    <s v="Q2, FY25"/>
  </r>
  <r>
    <n v="327761"/>
    <s v="Alex"/>
    <s v="Fitzpatrick"/>
    <x v="7"/>
    <s v="Work in Store"/>
    <s v="Anaconda Working in Stores - Preston"/>
    <x v="0"/>
    <d v="2024-11-27T00:00:00"/>
    <d v="2024-12-05T00:00:00"/>
    <s v="Working in Store - Anaconda Preston"/>
    <s v="Learning"/>
    <n v="1"/>
    <s v="Preston"/>
    <x v="2"/>
    <n v="1"/>
    <s v="A020"/>
    <x v="19"/>
    <x v="1"/>
    <x v="11"/>
    <s v="Q2, FY25"/>
  </r>
  <r>
    <n v="335422"/>
    <s v="Kerry"/>
    <s v="Kempster"/>
    <x v="7"/>
    <s v="Work in Store"/>
    <s v="Anaconda Working in Stores - Narre Warren"/>
    <x v="0"/>
    <d v="2024-11-27T00:00:00"/>
    <d v="2024-12-05T00:00:00"/>
    <s v="Working in Store - Anaconda Narre Warren"/>
    <s v="Learning"/>
    <n v="1"/>
    <s v="Fountain Gate"/>
    <x v="2"/>
    <n v="1"/>
    <s v="A017"/>
    <x v="37"/>
    <x v="1"/>
    <x v="11"/>
    <s v="Q2, FY25"/>
  </r>
  <r>
    <n v="231957"/>
    <s v="Kevin"/>
    <s v="Huynh"/>
    <x v="2"/>
    <s v="Work in Store"/>
    <s v="Harris Scarfe Working in Store - Highpoint"/>
    <x v="0"/>
    <d v="2024-11-26T00:00:00"/>
    <d v="2025-02-27T00:00:00"/>
    <s v="Working in Store - Harris Scarfe Highpoint"/>
    <s v="Learning"/>
    <n v="2"/>
    <s v="Maribyrnong"/>
    <x v="2"/>
    <n v="0"/>
    <s v="HS2024"/>
    <x v="10"/>
    <x v="2"/>
    <x v="6"/>
    <s v="Q3, FY25"/>
  </r>
  <r>
    <n v="240305"/>
    <s v="Ansley"/>
    <s v="Lam"/>
    <x v="2"/>
    <s v="Work in Store"/>
    <s v="Harris Scarfe Working in Store - Highpoint"/>
    <x v="0"/>
    <d v="2024-11-26T00:00:00"/>
    <d v="2025-02-27T00:00:00"/>
    <s v="Working in Store - Harris Scarfe Highpoint"/>
    <s v="Learning"/>
    <n v="2"/>
    <s v="Maribyrnong"/>
    <x v="2"/>
    <n v="0"/>
    <s v="HS2024"/>
    <x v="10"/>
    <x v="2"/>
    <x v="6"/>
    <s v="Q3, FY25"/>
  </r>
  <r>
    <n v="320578"/>
    <s v="Michelle"/>
    <s v="Bowden"/>
    <x v="8"/>
    <s v="Work in Store"/>
    <s v="Harris Scarfe Working in Store - DC"/>
    <x v="0"/>
    <d v="2024-11-26T00:00:00"/>
    <d v="2024-12-02T00:00:00"/>
    <s v="HS Working in Stores - DC"/>
    <s v="Learning"/>
    <n v="2"/>
    <s v="laverton North"/>
    <x v="2"/>
    <n v="0"/>
    <s v="HS2057"/>
    <x v="38"/>
    <x v="2"/>
    <x v="11"/>
    <s v="Q2, FY25"/>
  </r>
  <r>
    <n v="229776"/>
    <s v="Chuin"/>
    <s v="Lee"/>
    <x v="2"/>
    <s v="Work in Store"/>
    <s v="Working in Store - Spotlight The Glen Creative"/>
    <x v="0"/>
    <d v="2024-11-25T00:00:00"/>
    <d v="2024-12-06T00:00:00"/>
    <s v="Working in Store - Spotlight The Glen Creative"/>
    <s v="Learning"/>
    <n v="1"/>
    <s v="Glen Waverley"/>
    <x v="2"/>
    <n v="1"/>
    <s v="S159"/>
    <x v="8"/>
    <x v="0"/>
    <x v="11"/>
    <s v="Q2, FY25"/>
  </r>
  <r>
    <n v="235543"/>
    <s v="Celeste"/>
    <s v="Burgess"/>
    <x v="1"/>
    <s v="Work in Store"/>
    <s v="Harris Scarfe Working in Stores - Spencer Outlet"/>
    <x v="0"/>
    <d v="2024-11-25T00:00:00"/>
    <d v="2024-12-06T00:00:00"/>
    <s v="Working in Store - Harris Scarfe Spencer Outlet"/>
    <s v="Learning"/>
    <n v="2"/>
    <s v="Docklands"/>
    <x v="2"/>
    <n v="0"/>
    <s v="HS2016"/>
    <x v="16"/>
    <x v="2"/>
    <x v="11"/>
    <s v="Q2, FY25"/>
  </r>
  <r>
    <n v="307502"/>
    <s v="Gill"/>
    <s v="Couper"/>
    <x v="1"/>
    <s v="Work in Store"/>
    <s v="Harris Scarfe Working in Stores - Spencer Outlet"/>
    <x v="0"/>
    <d v="2024-11-25T00:00:00"/>
    <d v="2024-12-06T00:00:00"/>
    <s v="Working in Store - Harris Scarfe Spencer Outlet"/>
    <s v="Learning"/>
    <n v="2"/>
    <s v="Docklands"/>
    <x v="2"/>
    <n v="0"/>
    <s v="HS2016"/>
    <x v="16"/>
    <x v="2"/>
    <x v="11"/>
    <s v="Q2, FY25"/>
  </r>
  <r>
    <n v="330636"/>
    <s v="Yusra"/>
    <s v="Tariq"/>
    <x v="7"/>
    <s v="Work in Store"/>
    <s v="Anaconda Working in Stores - Hoppers Crossing"/>
    <x v="0"/>
    <d v="2024-11-25T00:00:00"/>
    <d v="2024-12-06T00:00:00"/>
    <s v="Working in Store - Anaconda Hoppers Crossing"/>
    <s v="Learning"/>
    <n v="2"/>
    <s v="Hoppers Crossing"/>
    <x v="2"/>
    <n v="0"/>
    <s v="A030"/>
    <x v="39"/>
    <x v="1"/>
    <x v="11"/>
    <s v="Q2, FY25"/>
  </r>
  <r>
    <n v="229776"/>
    <s v="Chuin"/>
    <s v="Lee"/>
    <x v="2"/>
    <s v="Work in Store"/>
    <s v="Working in Store - Spotlight South Melbourne"/>
    <x v="0"/>
    <d v="2024-11-25T00:00:00"/>
    <d v="2024-12-04T00:00:00"/>
    <s v="Working in Store - Spotlight South Melbourne"/>
    <s v="Learning"/>
    <n v="1"/>
    <s v="South Melbourne"/>
    <x v="2"/>
    <n v="1"/>
    <s v="S027"/>
    <x v="13"/>
    <x v="0"/>
    <x v="11"/>
    <s v="Q2, FY25"/>
  </r>
  <r>
    <n v="236721"/>
    <s v="Lily"/>
    <s v="Muffet"/>
    <x v="7"/>
    <s v="Work in Store"/>
    <s v="Anaconda Working in Stores - Everton Park"/>
    <x v="0"/>
    <d v="2024-11-22T00:00:00"/>
    <d v="2024-12-12T00:00:00"/>
    <s v="Working in Store - Anaconda Everton Park"/>
    <s v="Learning"/>
    <n v="1"/>
    <s v="Everton Park"/>
    <x v="2"/>
    <n v="1"/>
    <s v="A004"/>
    <x v="40"/>
    <x v="1"/>
    <x v="11"/>
    <s v="Q2, FY25"/>
  </r>
  <r>
    <n v="298251"/>
    <s v="Hadgie"/>
    <s v="Tina"/>
    <x v="2"/>
    <s v="Work in Store"/>
    <s v="Anaconda Working in Stores - Modbury"/>
    <x v="0"/>
    <d v="2024-11-21T00:00:00"/>
    <d v="2024-12-03T00:00:00"/>
    <s v="Working in Store - Anaconda Modbury"/>
    <s v="Learning"/>
    <n v="1"/>
    <s v="Modbury"/>
    <x v="2"/>
    <n v="1"/>
    <s v="A032"/>
    <x v="41"/>
    <x v="1"/>
    <x v="11"/>
    <s v="Q2, FY25"/>
  </r>
  <r>
    <n v="298251"/>
    <s v="Hadgie"/>
    <s v="Tina"/>
    <x v="2"/>
    <s v="Work in Store"/>
    <s v="Anaconda Working in Stores - Gepps Cross"/>
    <x v="0"/>
    <d v="2024-11-21T00:00:00"/>
    <d v="2024-12-02T00:00:00"/>
    <s v="Anaconda Working in Stores - Gepps Cross"/>
    <s v="Learning"/>
    <n v="1"/>
    <s v="Gepps Cross"/>
    <x v="2"/>
    <n v="1"/>
    <s v="A069"/>
    <x v="42"/>
    <x v="1"/>
    <x v="11"/>
    <s v="Q2, FY25"/>
  </r>
  <r>
    <n v="298250"/>
    <s v="Pradip"/>
    <s v="Marek"/>
    <x v="2"/>
    <s v="Work in Store"/>
    <s v="Working in Store - Spotlight Clovercrest"/>
    <x v="0"/>
    <d v="2024-11-21T00:00:00"/>
    <d v="2024-11-28T00:00:00"/>
    <s v="Working in Store - Spotlight Clovercrest"/>
    <s v="Learning"/>
    <n v="1"/>
    <m/>
    <x v="2"/>
    <n v="1"/>
    <s v="S074"/>
    <x v="43"/>
    <x v="0"/>
    <x v="12"/>
    <s v="Q2, FY25"/>
  </r>
  <r>
    <n v="297922"/>
    <s v="Sebastian"/>
    <s v="Licciardi"/>
    <x v="3"/>
    <s v="Work in Store"/>
    <s v="Harris Scarfe Working in Stores - Airport West"/>
    <x v="0"/>
    <d v="2024-11-19T00:00:00"/>
    <d v="2024-11-27T00:00:00"/>
    <s v="Working in Store - Harris Scarfe Airport West"/>
    <s v="Learning"/>
    <n v="1"/>
    <s v="Airport West"/>
    <x v="2"/>
    <n v="1"/>
    <s v="HS2027"/>
    <x v="24"/>
    <x v="2"/>
    <x v="12"/>
    <s v="Q2, FY25"/>
  </r>
  <r>
    <n v="297922"/>
    <s v="Sebastian"/>
    <s v="Licciardi"/>
    <x v="3"/>
    <s v="Work in Store"/>
    <s v="Anaconda Working in Stores - Maribyrnong"/>
    <x v="0"/>
    <d v="2024-11-19T00:00:00"/>
    <d v="2024-11-22T00:00:00"/>
    <s v="Working in Store - Anaconda Maribyrnong"/>
    <s v="Learning"/>
    <n v="1"/>
    <s v="Maribyrnong"/>
    <x v="2"/>
    <n v="1"/>
    <s v="A042"/>
    <x v="32"/>
    <x v="1"/>
    <x v="12"/>
    <s v="Q2, FY25"/>
  </r>
  <r>
    <n v="300666"/>
    <s v="Kirsty"/>
    <s v="Booth"/>
    <x v="7"/>
    <s v="Work in Store"/>
    <s v="Anaconda Working in Stores - Preston"/>
    <x v="0"/>
    <d v="2024-11-18T00:00:00"/>
    <d v="2024-12-10T00:00:00"/>
    <s v="Working in Store - Anaconda Preston"/>
    <s v="Learning"/>
    <n v="2"/>
    <s v="Preston"/>
    <x v="2"/>
    <n v="0"/>
    <s v="A020"/>
    <x v="19"/>
    <x v="1"/>
    <x v="11"/>
    <s v="Q2, FY25"/>
  </r>
  <r>
    <n v="332540"/>
    <s v="George"/>
    <s v="Boussioutas"/>
    <x v="7"/>
    <s v="Work in Store"/>
    <s v="Anaconda Working in Stores - Preston"/>
    <x v="0"/>
    <d v="2024-11-18T00:00:00"/>
    <d v="2024-12-10T00:00:00"/>
    <s v="Working in Store - Anaconda Preston"/>
    <s v="Learning"/>
    <n v="2"/>
    <s v="Preston"/>
    <x v="2"/>
    <n v="0"/>
    <s v="A020"/>
    <x v="19"/>
    <x v="1"/>
    <x v="11"/>
    <s v="Q2, FY25"/>
  </r>
  <r>
    <n v="328420"/>
    <s v="Tiffany"/>
    <s v="Kwee"/>
    <x v="3"/>
    <s v="Work in Store"/>
    <s v="Harris Scarfe Working in Stores - Forest Hill"/>
    <x v="0"/>
    <d v="2024-11-18T00:00:00"/>
    <d v="2024-11-22T00:00:00"/>
    <s v="Working in Store - Harris Scarfe Forest Hill"/>
    <s v="Learning"/>
    <n v="1"/>
    <s v="Forest Hill"/>
    <x v="2"/>
    <n v="1"/>
    <s v="HS2020"/>
    <x v="44"/>
    <x v="2"/>
    <x v="12"/>
    <s v="Q2, FY25"/>
  </r>
  <r>
    <n v="298668"/>
    <s v="Michael"/>
    <s v="Johnson"/>
    <x v="3"/>
    <s v="Work in Store"/>
    <s v="Harris Scarfe Working in Store - Marion"/>
    <x v="0"/>
    <d v="2024-11-18T00:00:00"/>
    <d v="2024-11-21T00:00:00"/>
    <s v="Harris Scarfe Working in Store - Marion"/>
    <s v="Learning"/>
    <n v="1"/>
    <m/>
    <x v="2"/>
    <n v="1"/>
    <s v="HS1011"/>
    <x v="45"/>
    <x v="2"/>
    <x v="12"/>
    <s v="Q2, FY25"/>
  </r>
  <r>
    <n v="309806"/>
    <s v="Peter"/>
    <s v="Ristevski"/>
    <x v="7"/>
    <s v="Work in Store"/>
    <s v="Anaconda Working in Stores - Watergardens"/>
    <x v="0"/>
    <d v="2024-11-15T00:00:00"/>
    <d v="2024-12-10T00:00:00"/>
    <s v="Working in Store - Anaconda Watergardens"/>
    <s v="Learning"/>
    <n v="1"/>
    <s v="Taylors Lake"/>
    <x v="2"/>
    <n v="1"/>
    <s v="A040"/>
    <x v="6"/>
    <x v="1"/>
    <x v="11"/>
    <s v="Q2, FY25"/>
  </r>
  <r>
    <n v="326813"/>
    <s v="Luke"/>
    <s v="Mccredden"/>
    <x v="7"/>
    <s v="Work in Store"/>
    <s v="Anaconda Working in Stores - Geelong"/>
    <x v="0"/>
    <d v="2024-11-15T00:00:00"/>
    <d v="2024-12-10T00:00:00"/>
    <s v="Working in Store - Anaconda Geelong"/>
    <s v="Learning"/>
    <n v="1"/>
    <s v="Geelong"/>
    <x v="0"/>
    <n v="1"/>
    <s v="A009"/>
    <x v="46"/>
    <x v="1"/>
    <x v="11"/>
    <s v="Q2, FY25"/>
  </r>
  <r>
    <s v="HS335112"/>
    <s v="Djuma"/>
    <s v="Kibundila"/>
    <x v="9"/>
    <s v="Work in Store"/>
    <s v="Anaconda Working in Stores - Bendigo"/>
    <x v="0"/>
    <d v="2024-11-15T00:00:00"/>
    <d v="2024-12-10T00:00:00"/>
    <s v="Working in Store - Anaconda Bendigo"/>
    <s v="Learning"/>
    <n v="1"/>
    <s v="Bendigo"/>
    <x v="2"/>
    <n v="1"/>
    <s v="A021"/>
    <x v="30"/>
    <x v="1"/>
    <x v="11"/>
    <s v="Q2, FY25"/>
  </r>
  <r>
    <n v="308787"/>
    <s v="Brad"/>
    <s v="Sullivan"/>
    <x v="7"/>
    <s v="Work in Store"/>
    <s v="Anaconda Working in Stores - Epping"/>
    <x v="0"/>
    <d v="2024-11-15T00:00:00"/>
    <d v="2024-12-06T00:00:00"/>
    <s v="Working in Store - Anaconda Epping"/>
    <s v="Learning"/>
    <n v="1"/>
    <s v="Epping"/>
    <x v="2"/>
    <n v="1"/>
    <s v="A052"/>
    <x v="27"/>
    <x v="1"/>
    <x v="11"/>
    <s v="Q2, FY25"/>
  </r>
  <r>
    <n v="321421"/>
    <s v="May"/>
    <s v="Lam"/>
    <x v="0"/>
    <s v="Work in Store"/>
    <s v="Anaconda Working in Stores - Preston"/>
    <x v="0"/>
    <d v="2024-11-15T00:00:00"/>
    <d v="2024-12-03T00:00:00"/>
    <s v="Working in Store - Anaconda Preston"/>
    <s v="Learning"/>
    <n v="1"/>
    <s v="Preston"/>
    <x v="2"/>
    <n v="1"/>
    <s v="A020"/>
    <x v="19"/>
    <x v="1"/>
    <x v="11"/>
    <s v="Q2, FY25"/>
  </r>
  <r>
    <n v="298748"/>
    <s v="Andre"/>
    <s v="Wilbraham"/>
    <x v="3"/>
    <s v="Work in Store"/>
    <s v="Anaconda Working in Stores - Hawthorn East"/>
    <x v="0"/>
    <d v="2024-11-15T00:00:00"/>
    <d v="2024-11-29T00:00:00"/>
    <s v="Working in Store - Anaconda Hawthorn East"/>
    <s v="Learning"/>
    <n v="1"/>
    <s v="Hawthorn East"/>
    <x v="2"/>
    <n v="1"/>
    <s v="A058"/>
    <x v="21"/>
    <x v="1"/>
    <x v="12"/>
    <s v="Q2, FY25"/>
  </r>
  <r>
    <n v="322845"/>
    <s v="Ashlee"/>
    <s v="Russell"/>
    <x v="7"/>
    <s v="Work in Store"/>
    <s v="Anaconda Working in Stores - Geelong"/>
    <x v="0"/>
    <d v="2024-11-14T00:00:00"/>
    <d v="2024-12-13T00:00:00"/>
    <s v="Working in Store - Anaconda Geelong"/>
    <s v="Learning"/>
    <n v="1"/>
    <s v="Geelong"/>
    <x v="2"/>
    <n v="1"/>
    <s v="A009"/>
    <x v="46"/>
    <x v="1"/>
    <x v="11"/>
    <s v="Q2, FY25"/>
  </r>
  <r>
    <n v="229234"/>
    <s v="Scott"/>
    <s v="Woods"/>
    <x v="7"/>
    <s v="Work in Store"/>
    <s v="Anaconda Working in Stores - Hoppers Crossing"/>
    <x v="0"/>
    <d v="2024-11-14T00:00:00"/>
    <d v="2024-12-06T00:00:00"/>
    <s v="Working in Store - Anaconda Hoppers Crossing"/>
    <s v="Learning"/>
    <n v="2"/>
    <s v="Hoppers Crossing"/>
    <x v="2"/>
    <n v="0"/>
    <s v="A030"/>
    <x v="39"/>
    <x v="1"/>
    <x v="11"/>
    <s v="Q2, FY25"/>
  </r>
  <r>
    <n v="327036"/>
    <s v="Fotios"/>
    <s v="Viskas"/>
    <x v="2"/>
    <s v="Work in Store"/>
    <s v="Anaconda Working in Stores - Springvale"/>
    <x v="0"/>
    <d v="2024-11-14T00:00:00"/>
    <d v="2024-12-03T00:00:00"/>
    <s v="Working in Store - Anaconda Springvale"/>
    <s v="Learning"/>
    <n v="1"/>
    <s v="Springvale"/>
    <x v="2"/>
    <n v="1"/>
    <s v="A026"/>
    <x v="3"/>
    <x v="1"/>
    <x v="11"/>
    <s v="Q2, FY25"/>
  </r>
  <r>
    <n v="327036"/>
    <s v="Fotios"/>
    <s v="Viskas"/>
    <x v="2"/>
    <s v="Work in Store"/>
    <s v="Working in Store - Spotlight Sandown"/>
    <x v="0"/>
    <d v="2024-11-14T00:00:00"/>
    <d v="2024-11-26T00:00:00"/>
    <s v="Working in Store - Spotlight Sandown"/>
    <s v="Learning"/>
    <n v="1"/>
    <s v="SPRINGVALE"/>
    <x v="2"/>
    <n v="1"/>
    <s v="S005"/>
    <x v="31"/>
    <x v="0"/>
    <x v="12"/>
    <s v="Q2, FY25"/>
  </r>
  <r>
    <n v="291346"/>
    <s v="Myra"/>
    <s v="Watson"/>
    <x v="7"/>
    <s v="Work in Store"/>
    <s v="Anaconda Working in Stores - Preston"/>
    <x v="0"/>
    <d v="2024-11-13T00:00:00"/>
    <d v="2024-12-12T00:00:00"/>
    <s v="Working in Store - Anaconda Preston"/>
    <s v="Learning"/>
    <n v="2"/>
    <s v="Preston"/>
    <x v="2"/>
    <n v="0"/>
    <s v="A020"/>
    <x v="19"/>
    <x v="1"/>
    <x v="11"/>
    <s v="Q2, FY25"/>
  </r>
  <r>
    <n v="241029"/>
    <s v="Damian"/>
    <s v="Kennedy"/>
    <x v="7"/>
    <s v="Work in Store"/>
    <s v="Anaconda Working in Stores - North Lakes"/>
    <x v="0"/>
    <d v="2024-11-13T00:00:00"/>
    <d v="2024-12-06T00:00:00"/>
    <s v="Working in Store - Anaconda North Lakes"/>
    <s v="Learning"/>
    <n v="1"/>
    <s v="North Lakes"/>
    <x v="2"/>
    <n v="1"/>
    <s v="A047"/>
    <x v="47"/>
    <x v="1"/>
    <x v="11"/>
    <s v="Q2, FY25"/>
  </r>
  <r>
    <n v="336162"/>
    <s v="Nick"/>
    <s v="Hughes"/>
    <x v="7"/>
    <s v="Work in Store"/>
    <s v="Anaconda Working in Stores - Geelong"/>
    <x v="0"/>
    <d v="2024-11-13T00:00:00"/>
    <d v="2024-12-06T00:00:00"/>
    <s v="Working in Store - Anaconda Geelong"/>
    <s v="Learning"/>
    <n v="2"/>
    <s v="Geelong"/>
    <x v="2"/>
    <n v="0"/>
    <s v="A009"/>
    <x v="46"/>
    <x v="1"/>
    <x v="11"/>
    <s v="Q2, FY25"/>
  </r>
  <r>
    <n v="317485"/>
    <s v="Dylan"/>
    <s v="Fichera"/>
    <x v="7"/>
    <s v="Work in Store"/>
    <s v="Anaconda Working in Stores - Hawthorn East"/>
    <x v="0"/>
    <d v="2024-11-13T00:00:00"/>
    <d v="2024-12-05T00:00:00"/>
    <s v="Working in Store - Anaconda Hawthorn East"/>
    <s v="Learning"/>
    <n v="2"/>
    <s v="Hawthorn East"/>
    <x v="2"/>
    <n v="0"/>
    <s v="A058"/>
    <x v="21"/>
    <x v="1"/>
    <x v="11"/>
    <s v="Q2, FY25"/>
  </r>
  <r>
    <n v="322433"/>
    <s v="Mahum"/>
    <s v="Sana"/>
    <x v="7"/>
    <s v="Work in Store"/>
    <s v="Anaconda Working in Stores - Hawthorn East"/>
    <x v="0"/>
    <d v="2024-11-13T00:00:00"/>
    <d v="2024-12-05T00:00:00"/>
    <s v="Working in Store - Anaconda Hawthorn East"/>
    <s v="Learning"/>
    <n v="2"/>
    <s v="Hawthorn East"/>
    <x v="2"/>
    <n v="0"/>
    <s v="A058"/>
    <x v="21"/>
    <x v="1"/>
    <x v="11"/>
    <s v="Q2, FY25"/>
  </r>
  <r>
    <n v="334297"/>
    <s v="Caleb"/>
    <s v="Slater"/>
    <x v="7"/>
    <s v="Work in Store"/>
    <s v="Anaconda Working in Stores - Hawthorn East"/>
    <x v="0"/>
    <d v="2024-11-13T00:00:00"/>
    <d v="2024-12-03T00:00:00"/>
    <s v="Working in Store - Anaconda Hawthorn East"/>
    <s v="Learning"/>
    <n v="1"/>
    <s v="Hawthorn East"/>
    <x v="2"/>
    <n v="1"/>
    <s v="A058"/>
    <x v="21"/>
    <x v="1"/>
    <x v="11"/>
    <s v="Q2, FY25"/>
  </r>
  <r>
    <n v="328358"/>
    <s v="Declan"/>
    <s v="Welsh"/>
    <x v="2"/>
    <s v="Work in Store"/>
    <s v="Anaconda Working in Stores - Bayswater"/>
    <x v="0"/>
    <d v="2024-11-13T00:00:00"/>
    <d v="2024-11-14T00:00:00"/>
    <s v="Working in Store - Anaconda Bayswater"/>
    <s v="Learning"/>
    <n v="1"/>
    <s v="Bayswater"/>
    <x v="2"/>
    <n v="1"/>
    <s v="A001"/>
    <x v="2"/>
    <x v="1"/>
    <x v="12"/>
    <s v="Q2, FY25"/>
  </r>
  <r>
    <n v="333917"/>
    <s v="Andrew"/>
    <s v="Williams"/>
    <x v="7"/>
    <s v="Work in Store"/>
    <s v="Anaconda Working in Stores - Geelong"/>
    <x v="0"/>
    <d v="2024-11-12T00:00:00"/>
    <d v="2024-12-20T00:00:00"/>
    <s v="Working in Store - Anaconda Geelong"/>
    <s v="Learning"/>
    <n v="1"/>
    <s v="Geelong"/>
    <x v="2"/>
    <n v="1"/>
    <s v="A009"/>
    <x v="46"/>
    <x v="1"/>
    <x v="11"/>
    <s v="Q2, FY25"/>
  </r>
  <r>
    <n v="238998"/>
    <s v="Missy"/>
    <s v="Seymour"/>
    <x v="7"/>
    <s v="Work in Store"/>
    <s v="Anaconda Working in Stores - Albury"/>
    <x v="0"/>
    <d v="2024-11-12T00:00:00"/>
    <d v="2024-12-17T00:00:00"/>
    <s v="Working in Store - Anaconda Albury"/>
    <s v="Learning"/>
    <n v="1"/>
    <s v="Albury"/>
    <x v="0"/>
    <n v="1"/>
    <s v="A050"/>
    <x v="48"/>
    <x v="1"/>
    <x v="11"/>
    <s v="Q2, FY25"/>
  </r>
  <r>
    <n v="240839"/>
    <s v="Corey"/>
    <s v="Childs"/>
    <x v="7"/>
    <s v="Work in Store"/>
    <s v="Anaconda Working in Stores - North Lakes"/>
    <x v="0"/>
    <d v="2024-11-12T00:00:00"/>
    <d v="2024-12-16T00:00:00"/>
    <s v="Working in Store - Anaconda North Lakes"/>
    <s v="Learning"/>
    <n v="1"/>
    <s v="North Lakes"/>
    <x v="2"/>
    <n v="1"/>
    <s v="A047"/>
    <x v="47"/>
    <x v="1"/>
    <x v="11"/>
    <s v="Q2, FY25"/>
  </r>
  <r>
    <n v="324010"/>
    <s v="Lauren Moolman"/>
    <s v="Moolman"/>
    <x v="7"/>
    <s v="Work in Store"/>
    <s v="Anaconda Working in Stores - Hoppers Crossing"/>
    <x v="0"/>
    <d v="2024-11-12T00:00:00"/>
    <d v="2024-12-13T00:00:00"/>
    <s v="Working in Store - Anaconda Hoppers Crossing"/>
    <s v="Learning"/>
    <n v="1"/>
    <s v="Hoppers Crossing"/>
    <x v="2"/>
    <n v="1"/>
    <s v="A030"/>
    <x v="39"/>
    <x v="1"/>
    <x v="11"/>
    <s v="Q2, FY25"/>
  </r>
  <r>
    <n v="331737"/>
    <s v="Sean"/>
    <s v="Le Hunt"/>
    <x v="7"/>
    <s v="Work in Store"/>
    <s v="Anaconda Working in Stores - Bayswater"/>
    <x v="0"/>
    <d v="2024-11-12T00:00:00"/>
    <d v="2024-12-12T00:00:00"/>
    <s v="Working in Store - Anaconda Bayswater"/>
    <s v="Learning"/>
    <n v="1"/>
    <s v="Bayswater"/>
    <x v="2"/>
    <n v="1"/>
    <s v="A001"/>
    <x v="2"/>
    <x v="1"/>
    <x v="11"/>
    <s v="Q2, FY25"/>
  </r>
  <r>
    <n v="333889"/>
    <s v="Courtney"/>
    <s v="Mccoach"/>
    <x v="7"/>
    <s v="Work in Store"/>
    <s v="Anaconda Working in Stores - Preston"/>
    <x v="0"/>
    <d v="2024-11-12T00:00:00"/>
    <d v="2024-12-12T00:00:00"/>
    <s v="Working in Store - Anaconda Preston"/>
    <s v="Learning"/>
    <n v="2"/>
    <s v="Preston"/>
    <x v="2"/>
    <n v="0"/>
    <s v="A020"/>
    <x v="19"/>
    <x v="1"/>
    <x v="11"/>
    <s v="Q2, FY25"/>
  </r>
  <r>
    <n v="323122"/>
    <s v="Ben"/>
    <s v="Fisher"/>
    <x v="7"/>
    <s v="Work in Store"/>
    <s v="Anaconda Working in Stores - Preston"/>
    <x v="0"/>
    <d v="2024-11-12T00:00:00"/>
    <d v="2024-12-11T00:00:00"/>
    <s v="Working in Store - Anaconda Preston"/>
    <s v="Learning"/>
    <n v="1"/>
    <s v="Preston"/>
    <x v="2"/>
    <n v="1"/>
    <s v="A020"/>
    <x v="19"/>
    <x v="1"/>
    <x v="11"/>
    <s v="Q2, FY25"/>
  </r>
  <r>
    <n v="297859"/>
    <s v="George"/>
    <s v="Butler"/>
    <x v="7"/>
    <s v="Work in Store"/>
    <s v="Anaconda Working in Stores - Geelong"/>
    <x v="0"/>
    <d v="2024-11-12T00:00:00"/>
    <d v="2024-12-06T00:00:00"/>
    <s v="Working in Store - Anaconda Geelong"/>
    <s v="Learning"/>
    <n v="2"/>
    <s v="Geelong"/>
    <x v="2"/>
    <n v="0"/>
    <s v="A009"/>
    <x v="46"/>
    <x v="1"/>
    <x v="11"/>
    <s v="Q2, FY25"/>
  </r>
  <r>
    <n v="324368"/>
    <s v="Mads"/>
    <s v="Knight"/>
    <x v="7"/>
    <s v="Work in Store"/>
    <s v="Anaconda Working in Stores - Preston"/>
    <x v="0"/>
    <d v="2024-11-12T00:00:00"/>
    <d v="2024-12-06T00:00:00"/>
    <s v="Working in Store - Anaconda Preston"/>
    <s v="Learning"/>
    <n v="2"/>
    <s v="Preston"/>
    <x v="2"/>
    <n v="0"/>
    <s v="A020"/>
    <x v="19"/>
    <x v="1"/>
    <x v="11"/>
    <s v="Q2, FY25"/>
  </r>
  <r>
    <n v="333446"/>
    <s v="Jet"/>
    <s v="Darby"/>
    <x v="7"/>
    <s v="Work in Store"/>
    <s v="Anaconda Working in Stores - Preston"/>
    <x v="0"/>
    <d v="2024-11-12T00:00:00"/>
    <d v="2024-12-06T00:00:00"/>
    <s v="Working in Store - Anaconda Preston"/>
    <s v="Learning"/>
    <n v="2"/>
    <s v="Preston"/>
    <x v="2"/>
    <n v="0"/>
    <s v="A020"/>
    <x v="19"/>
    <x v="1"/>
    <x v="11"/>
    <s v="Q2, FY25"/>
  </r>
  <r>
    <n v="238012"/>
    <s v="Lawrence"/>
    <s v="Belajeff"/>
    <x v="7"/>
    <s v="Work in Store"/>
    <s v="Anaconda Working in Stores - Hoppers Crossing"/>
    <x v="0"/>
    <d v="2024-11-12T00:00:00"/>
    <d v="2024-12-05T00:00:00"/>
    <s v="Working in Store - Anaconda Hoppers Crossing"/>
    <s v="Learning"/>
    <n v="1"/>
    <s v="Hoppers Crossing"/>
    <x v="2"/>
    <n v="1"/>
    <s v="A030"/>
    <x v="39"/>
    <x v="1"/>
    <x v="11"/>
    <s v="Q2, FY25"/>
  </r>
  <r>
    <n v="329993"/>
    <s v="Tatiana"/>
    <s v="Ko"/>
    <x v="0"/>
    <s v="Work in Store"/>
    <s v="Harris Scarfe Working in Stores - Spencer Outlet"/>
    <x v="0"/>
    <d v="2024-11-12T00:00:00"/>
    <d v="2024-11-21T00:00:00"/>
    <s v="Working in Store - Harris Scarfe Spencer Outlet"/>
    <s v="Learning"/>
    <n v="1"/>
    <s v="Docklands"/>
    <x v="2"/>
    <n v="1"/>
    <s v="HS2016"/>
    <x v="16"/>
    <x v="2"/>
    <x v="12"/>
    <s v="Q2, FY25"/>
  </r>
  <r>
    <n v="334662"/>
    <s v="Hisham"/>
    <s v="Hassan"/>
    <x v="3"/>
    <s v="Work in Store"/>
    <s v="Anaconda Working in Stores - Preston"/>
    <x v="0"/>
    <d v="2024-11-07T00:00:00"/>
    <d v="2024-11-13T00:00:00"/>
    <s v="Working in Store - Anaconda Preston"/>
    <s v="Learning"/>
    <n v="1"/>
    <s v="Preston"/>
    <x v="2"/>
    <n v="1"/>
    <s v="A020"/>
    <x v="19"/>
    <x v="1"/>
    <x v="12"/>
    <s v="Q2, FY25"/>
  </r>
  <r>
    <n v="330054"/>
    <s v="Afnan"/>
    <s v="Idrees"/>
    <x v="0"/>
    <s v="Work in Store"/>
    <s v="Harris Scarfe Working in Stores - Woodgrove"/>
    <x v="0"/>
    <d v="2024-11-06T00:00:00"/>
    <d v="2024-12-12T00:00:00"/>
    <s v="Working in Store - Harris Scarfe Woodgrove"/>
    <s v="Learning"/>
    <n v="1"/>
    <s v="Melton"/>
    <x v="2"/>
    <n v="1"/>
    <s v="HS2017"/>
    <x v="34"/>
    <x v="2"/>
    <x v="11"/>
    <s v="Q2, FY25"/>
  </r>
  <r>
    <n v="326780"/>
    <s v="Bryan"/>
    <s v="Richardson"/>
    <x v="0"/>
    <s v="Work in Store"/>
    <s v="Working in Store - Spotlight Carnegie"/>
    <x v="0"/>
    <d v="2024-10-30T00:00:00"/>
    <d v="2024-11-19T00:00:00"/>
    <s v="Working in Store- Spotlight Cranegie"/>
    <s v="Learning"/>
    <n v="1"/>
    <s v="Carnegie"/>
    <x v="2"/>
    <n v="1"/>
    <s v="S114"/>
    <x v="5"/>
    <x v="0"/>
    <x v="12"/>
    <s v="Q2, FY25"/>
  </r>
  <r>
    <n v="328358"/>
    <s v="Declan"/>
    <s v="Welsh"/>
    <x v="2"/>
    <s v="Work in Store"/>
    <s v="Working in Stores - Spotlight Bayswater"/>
    <x v="0"/>
    <d v="2024-10-29T00:00:00"/>
    <d v="2024-10-30T00:00:00"/>
    <s v="Working in Store - Spotlight Bayswater"/>
    <s v="Learning"/>
    <n v="1"/>
    <s v="Bayswater"/>
    <x v="2"/>
    <n v="1"/>
    <s v="S014"/>
    <x v="15"/>
    <x v="0"/>
    <x v="12"/>
    <s v="Q2, FY25"/>
  </r>
  <r>
    <n v="298250"/>
    <s v="Pradip"/>
    <s v="Marek"/>
    <x v="2"/>
    <s v="Work in Store"/>
    <s v="Anaconda Working in Stores - Gepps Cross"/>
    <x v="0"/>
    <d v="2024-10-28T00:00:00"/>
    <d v="2024-11-21T00:00:00"/>
    <s v="Anaconda Working in Stores - Gepps Cross"/>
    <s v="Learning"/>
    <n v="1"/>
    <s v="Gepps Cross"/>
    <x v="2"/>
    <n v="1"/>
    <s v="A069"/>
    <x v="42"/>
    <x v="1"/>
    <x v="12"/>
    <s v="Q2, FY25"/>
  </r>
  <r>
    <n v="317493"/>
    <s v="Nadav"/>
    <s v="Greenberger"/>
    <x v="3"/>
    <s v="Work in Store"/>
    <s v="Working in Store - Spotlight Carnegie"/>
    <x v="0"/>
    <d v="2024-10-28T00:00:00"/>
    <d v="2024-11-15T00:00:00"/>
    <s v="Working in Store- Spotlight Cranegie"/>
    <s v="Learning"/>
    <n v="1"/>
    <s v="Carnegie"/>
    <x v="2"/>
    <n v="1"/>
    <s v="S114"/>
    <x v="5"/>
    <x v="0"/>
    <x v="12"/>
    <s v="Q2, FY25"/>
  </r>
  <r>
    <n v="312716"/>
    <s v="Luka"/>
    <s v="Licandro"/>
    <x v="0"/>
    <s v="Work in Store"/>
    <s v="Working in Store - Spotlight Maribyrnong"/>
    <x v="0"/>
    <d v="2024-10-28T00:00:00"/>
    <d v="2024-11-14T00:00:00"/>
    <s v="Working in Store - Spotlight Maribyrnong"/>
    <s v="Learning"/>
    <n v="1"/>
    <s v="Maribyrnong"/>
    <x v="2"/>
    <n v="1"/>
    <s v="S010"/>
    <x v="33"/>
    <x v="0"/>
    <x v="12"/>
    <s v="Q2, FY25"/>
  </r>
  <r>
    <n v="329636"/>
    <s v="Anna"/>
    <s v="Quin"/>
    <x v="0"/>
    <s v="Work in Store"/>
    <s v="Working in Store - Spotlight Box Hill"/>
    <x v="0"/>
    <d v="2024-10-28T00:00:00"/>
    <d v="2024-11-14T00:00:00"/>
    <s v="Working in Store - Spotlight Box Hill"/>
    <s v="Learning"/>
    <n v="1"/>
    <s v="Box Hill"/>
    <x v="2"/>
    <n v="1"/>
    <s v="S002"/>
    <x v="17"/>
    <x v="0"/>
    <x v="12"/>
    <s v="Q2, FY25"/>
  </r>
  <r>
    <n v="329993"/>
    <s v="Tatiana"/>
    <s v="Ko"/>
    <x v="0"/>
    <s v="Work in Store"/>
    <s v="Anaconda Working in Stores - Preston"/>
    <x v="0"/>
    <d v="2024-10-28T00:00:00"/>
    <d v="2024-11-14T00:00:00"/>
    <s v="Working in Store - Anaconda Preston"/>
    <s v="Learning"/>
    <n v="1"/>
    <s v="Preston"/>
    <x v="2"/>
    <n v="1"/>
    <s v="A020"/>
    <x v="19"/>
    <x v="1"/>
    <x v="12"/>
    <s v="Q2, FY25"/>
  </r>
  <r>
    <n v="329628"/>
    <s v="Satish"/>
    <s v="Muthuarumugam"/>
    <x v="0"/>
    <s v="Work in Store"/>
    <s v="Anaconda Working in Stores - Preston"/>
    <x v="0"/>
    <d v="2024-10-28T00:00:00"/>
    <d v="2024-11-12T00:00:00"/>
    <s v="Working in Store - Anaconda Preston"/>
    <s v="Learning"/>
    <n v="1"/>
    <s v="Preston"/>
    <x v="2"/>
    <n v="1"/>
    <s v="A020"/>
    <x v="19"/>
    <x v="1"/>
    <x v="12"/>
    <s v="Q2, FY25"/>
  </r>
  <r>
    <n v="317493"/>
    <s v="Nadav"/>
    <s v="Greenberger"/>
    <x v="3"/>
    <s v="Work in Store"/>
    <s v="Anaconda Working in Stores - Hawthorn East"/>
    <x v="0"/>
    <d v="2024-10-28T00:00:00"/>
    <d v="2024-11-08T00:00:00"/>
    <s v="Working in Store - Anaconda Hawthorn East"/>
    <s v="Learning"/>
    <n v="1"/>
    <s v="Hawthorn East"/>
    <x v="2"/>
    <n v="1"/>
    <s v="A058"/>
    <x v="21"/>
    <x v="1"/>
    <x v="12"/>
    <s v="Q2, FY25"/>
  </r>
  <r>
    <n v="332842"/>
    <s v="Kristian"/>
    <s v="Thomas"/>
    <x v="0"/>
    <s v="Work in Store"/>
    <s v="Anaconda Working in Stores - Narre Warren"/>
    <x v="0"/>
    <d v="2024-10-24T00:00:00"/>
    <d v="2024-11-07T00:00:00"/>
    <s v="Working in Store - Anaconda Narre Warren"/>
    <s v="Learning"/>
    <n v="1"/>
    <s v="Fountain Gate"/>
    <x v="2"/>
    <n v="1"/>
    <s v="A017"/>
    <x v="37"/>
    <x v="1"/>
    <x v="12"/>
    <s v="Q2, FY25"/>
  </r>
  <r>
    <n v="313085"/>
    <s v="Arlyn"/>
    <s v="Abaldonado"/>
    <x v="8"/>
    <s v="Work in Store"/>
    <s v="Harris Scarfe Working in Store - DC"/>
    <x v="0"/>
    <d v="2024-10-23T00:00:00"/>
    <d v="2024-12-02T00:00:00"/>
    <s v="HS Working in Stores - DC"/>
    <s v="Learning"/>
    <n v="2"/>
    <s v="laverton North"/>
    <x v="2"/>
    <n v="0"/>
    <s v="HS2057"/>
    <x v="38"/>
    <x v="2"/>
    <x v="11"/>
    <s v="Q2, FY25"/>
  </r>
  <r>
    <n v="320578"/>
    <s v="Michelle"/>
    <s v="Bowden"/>
    <x v="8"/>
    <s v="Work in Store"/>
    <s v="Harris Scarfe Working in Store - DC"/>
    <x v="0"/>
    <d v="2024-10-23T00:00:00"/>
    <d v="2024-11-25T00:00:00"/>
    <s v="HS Working in Stores - DC"/>
    <s v="Learning"/>
    <n v="1"/>
    <s v="laverton North"/>
    <x v="2"/>
    <n v="1"/>
    <s v="HS2057"/>
    <x v="38"/>
    <x v="2"/>
    <x v="12"/>
    <s v="Q2, FY25"/>
  </r>
  <r>
    <n v="336128"/>
    <s v="Dee"/>
    <s v="Iddamalgoda"/>
    <x v="0"/>
    <s v="Work in Store"/>
    <s v="Anaconda Working in Stores - Watergardens"/>
    <x v="0"/>
    <d v="2024-10-23T00:00:00"/>
    <d v="2024-11-08T00:00:00"/>
    <s v="Working in Store - Anaconda Watergardens"/>
    <s v="Learning"/>
    <n v="1"/>
    <s v="Taylors Lake"/>
    <x v="2"/>
    <n v="1"/>
    <s v="A040"/>
    <x v="6"/>
    <x v="1"/>
    <x v="12"/>
    <s v="Q2, FY25"/>
  </r>
  <r>
    <n v="239766"/>
    <s v="Vanessa"/>
    <s v="Mccandlish"/>
    <x v="5"/>
    <s v="Work in Store"/>
    <s v="Working in Store - Spotlight South Melbourne"/>
    <x v="0"/>
    <d v="2024-10-17T00:00:00"/>
    <d v="2024-11-19T00:00:00"/>
    <s v="Working in Store - Spotlight South Melbourne"/>
    <s v="Learning"/>
    <n v="1"/>
    <s v="South Melbourne"/>
    <x v="2"/>
    <n v="1"/>
    <s v="S027"/>
    <x v="13"/>
    <x v="0"/>
    <x v="12"/>
    <s v="Q2, FY25"/>
  </r>
  <r>
    <n v="329850"/>
    <s v="Sheldon"/>
    <s v="Phulpagar"/>
    <x v="0"/>
    <s v="Work in Store"/>
    <s v="Working in Store - Spotlight Carnegie"/>
    <x v="0"/>
    <d v="2024-10-17T00:00:00"/>
    <d v="2024-11-06T00:00:00"/>
    <s v="Working in Store- Spotlight Cranegie"/>
    <s v="Learning"/>
    <n v="1"/>
    <s v="Carnegie"/>
    <x v="2"/>
    <n v="1"/>
    <s v="S114"/>
    <x v="5"/>
    <x v="0"/>
    <x v="12"/>
    <s v="Q2, FY25"/>
  </r>
  <r>
    <n v="333614"/>
    <s v="Josie"/>
    <s v="Summers"/>
    <x v="0"/>
    <s v="Work in Store"/>
    <s v="Harris Scarfe Working in Stores - Frankston"/>
    <x v="0"/>
    <d v="2024-10-11T00:00:00"/>
    <d v="2024-10-31T00:00:00"/>
    <s v="Working in Store - Harris Scarfe Frankston"/>
    <s v="Learning"/>
    <n v="1"/>
    <s v="Frankston"/>
    <x v="2"/>
    <n v="1"/>
    <s v="HS2045"/>
    <x v="49"/>
    <x v="2"/>
    <x v="12"/>
    <s v="Q2, FY25"/>
  </r>
  <r>
    <n v="314085"/>
    <s v="Sumitha"/>
    <s v="Johnsilas"/>
    <x v="3"/>
    <s v="Work in Store"/>
    <s v="Working in Store - Spotlight Sandown"/>
    <x v="0"/>
    <d v="2024-10-10T00:00:00"/>
    <d v="2024-11-12T00:00:00"/>
    <s v="Working in Store - Spotlight Sandown"/>
    <s v="Learning"/>
    <n v="1"/>
    <s v="SPRINGVALE"/>
    <x v="2"/>
    <n v="1"/>
    <s v="S005"/>
    <x v="31"/>
    <x v="0"/>
    <x v="12"/>
    <s v="Q2, FY25"/>
  </r>
  <r>
    <n v="314085"/>
    <s v="Sumitha"/>
    <s v="Johnsilas"/>
    <x v="3"/>
    <s v="Work in Store"/>
    <s v="Anaconda Working in Stores - Springvale"/>
    <x v="0"/>
    <d v="2024-10-10T00:00:00"/>
    <d v="2024-10-24T00:00:00"/>
    <s v="Working in Store - Anaconda Springvale"/>
    <s v="Learning"/>
    <n v="1"/>
    <s v="Springvale"/>
    <x v="2"/>
    <n v="1"/>
    <s v="A026"/>
    <x v="3"/>
    <x v="1"/>
    <x v="13"/>
    <s v="Q2, FY25"/>
  </r>
  <r>
    <n v="323017"/>
    <s v="Justin"/>
    <s v="Scollo"/>
    <x v="2"/>
    <s v="Work in Store"/>
    <s v="Working in Store - Spotlight Burnside"/>
    <x v="0"/>
    <d v="2024-09-20T00:00:00"/>
    <d v="2024-10-09T00:00:00"/>
    <s v="Working in Store - Spotlight Burnside"/>
    <s v="Learning"/>
    <n v="1"/>
    <s v="Caroline Springs"/>
    <x v="2"/>
    <n v="1"/>
    <s v="S098"/>
    <x v="26"/>
    <x v="0"/>
    <x v="13"/>
    <s v="Q2, FY25"/>
  </r>
  <r>
    <n v="326463"/>
    <s v="Ash"/>
    <s v="Bhandari"/>
    <x v="5"/>
    <s v="Work in Store"/>
    <s v="Working in Store - Spotlight Hoppers Crossing"/>
    <x v="0"/>
    <d v="2024-09-20T00:00:00"/>
    <d v="2024-10-03T00:00:00"/>
    <s v="Working in Store - Spotlight Hoppers Crossing"/>
    <s v="Learning"/>
    <n v="1"/>
    <s v="Hoppers Crossing"/>
    <x v="2"/>
    <n v="1"/>
    <s v="S034"/>
    <x v="7"/>
    <x v="0"/>
    <x v="13"/>
    <s v="Q2, FY25"/>
  </r>
  <r>
    <n v="231160"/>
    <s v="Frank"/>
    <s v="Dalupang"/>
    <x v="3"/>
    <s v="Work in Store"/>
    <s v="Working in Store - Spotlight Burnside"/>
    <x v="0"/>
    <d v="2024-09-16T00:00:00"/>
    <d v="2024-12-20T00:00:00"/>
    <s v="Working in Store - Spotlight Burnside"/>
    <s v="Learning"/>
    <n v="1"/>
    <s v="Caroline Springs"/>
    <x v="2"/>
    <n v="1"/>
    <s v="S098"/>
    <x v="26"/>
    <x v="0"/>
    <x v="11"/>
    <s v="Q2, FY25"/>
  </r>
  <r>
    <n v="323469"/>
    <s v="Tara"/>
    <s v="Saltzman"/>
    <x v="0"/>
    <s v="Work in Store"/>
    <s v="Working in Store - Spotlight Maribyrnong"/>
    <x v="0"/>
    <d v="2024-09-12T00:00:00"/>
    <d v="2024-10-11T00:00:00"/>
    <s v="Working in Store - Spotlight Maribyrnong"/>
    <s v="Learning"/>
    <n v="1"/>
    <s v="Maribyrnong"/>
    <x v="2"/>
    <n v="1"/>
    <s v="S010"/>
    <x v="33"/>
    <x v="0"/>
    <x v="13"/>
    <s v="Q2, FY25"/>
  </r>
  <r>
    <n v="323469"/>
    <s v="Tara"/>
    <s v="Saltzman"/>
    <x v="0"/>
    <s v="Work in Store"/>
    <s v="Harris Scarfe Working in Store - Highpoint"/>
    <x v="0"/>
    <d v="2024-09-12T00:00:00"/>
    <d v="2024-10-10T00:00:00"/>
    <s v="Working in Store - Harris Scarfe Highpoint"/>
    <s v="Learning"/>
    <n v="1"/>
    <s v="Maribyrnong"/>
    <x v="2"/>
    <n v="1"/>
    <s v="HS2024"/>
    <x v="10"/>
    <x v="2"/>
    <x v="13"/>
    <s v="Q2, FY25"/>
  </r>
  <r>
    <n v="123670"/>
    <s v="Jing Ying"/>
    <s v="Low"/>
    <x v="10"/>
    <s v="Work in Store"/>
    <s v="Exemption - Working in Store"/>
    <x v="0"/>
    <d v="2024-09-09T00:00:00"/>
    <d v="2024-12-31T00:00:00"/>
    <s v="Working In Store Exemption 2025"/>
    <s v="Learning"/>
    <n v="3"/>
    <m/>
    <x v="2"/>
    <n v="97"/>
    <s v="Exempt"/>
    <x v="50"/>
    <x v="3"/>
    <x v="8"/>
    <s v="Q3, FY25"/>
  </r>
  <r>
    <n v="327402"/>
    <s v="Sal"/>
    <s v="Vitiello"/>
    <x v="2"/>
    <s v="Work in Store"/>
    <s v="Anaconda Working in Stores - Maribyrnong"/>
    <x v="0"/>
    <d v="2024-09-06T00:00:00"/>
    <d v="2024-09-25T00:00:00"/>
    <s v="Working in Store - Anaconda Maribyrnong"/>
    <s v="Learning"/>
    <n v="1"/>
    <s v="Maribyrnong"/>
    <x v="2"/>
    <n v="1"/>
    <s v="A042"/>
    <x v="32"/>
    <x v="1"/>
    <x v="14"/>
    <s v="Q1, FY25"/>
  </r>
  <r>
    <n v="231957"/>
    <s v="Kevin"/>
    <s v="Huynh"/>
    <x v="2"/>
    <s v="Work in Store"/>
    <s v="Anaconda Working in Stores - Maribyrnong"/>
    <x v="0"/>
    <d v="2024-09-04T00:00:00"/>
    <d v="2024-09-19T00:00:00"/>
    <s v="Working in Store - Anaconda Maribyrnong"/>
    <s v="Learning"/>
    <n v="2"/>
    <s v="Maribyrnong"/>
    <x v="2"/>
    <n v="0"/>
    <s v="A042"/>
    <x v="32"/>
    <x v="1"/>
    <x v="14"/>
    <s v="Q1, FY25"/>
  </r>
  <r>
    <n v="240305"/>
    <s v="Ansley"/>
    <s v="Lam"/>
    <x v="2"/>
    <s v="Work in Store"/>
    <s v="Anaconda Working in Stores - Maribyrnong"/>
    <x v="0"/>
    <d v="2024-09-04T00:00:00"/>
    <d v="2024-09-19T00:00:00"/>
    <s v="Working in Store - Anaconda Maribyrnong"/>
    <s v="Learning"/>
    <n v="2"/>
    <s v="Maribyrnong"/>
    <x v="2"/>
    <n v="0"/>
    <s v="A042"/>
    <x v="32"/>
    <x v="1"/>
    <x v="14"/>
    <s v="Q1, FY25"/>
  </r>
  <r>
    <n v="335621"/>
    <s v="Lisa Giang"/>
    <s v="Giang"/>
    <x v="4"/>
    <s v="Work in Store"/>
    <s v="Working in Store - Spotlight Burnside"/>
    <x v="0"/>
    <d v="2024-09-04T00:00:00"/>
    <d v="2024-09-13T00:00:00"/>
    <s v="Working in Store - Spotlight Burnside"/>
    <s v="Learning"/>
    <n v="1"/>
    <s v="Caroline Springs"/>
    <x v="2"/>
    <n v="1"/>
    <s v="S098"/>
    <x v="26"/>
    <x v="0"/>
    <x v="14"/>
    <s v="Q1, FY25"/>
  </r>
  <r>
    <n v="329837"/>
    <s v="Anirudh Singh"/>
    <s v="Singh"/>
    <x v="2"/>
    <s v="Work in Store"/>
    <s v="Harris Scarfe Working in Stores - Tarneit"/>
    <x v="0"/>
    <d v="2024-09-03T00:00:00"/>
    <d v="2024-10-10T00:00:00"/>
    <s v="Working in Store - Harris Scarfe Tarneit"/>
    <s v="Learning"/>
    <n v="1"/>
    <s v="Tarneit"/>
    <x v="2"/>
    <n v="1"/>
    <s v="HS2048"/>
    <x v="35"/>
    <x v="2"/>
    <x v="13"/>
    <s v="Q2, FY25"/>
  </r>
  <r>
    <n v="235135"/>
    <s v="Penny"/>
    <s v="Robin"/>
    <x v="2"/>
    <s v="Work in Store"/>
    <s v="Anaconda Working in Stores - Highett"/>
    <x v="0"/>
    <d v="2024-09-03T00:00:00"/>
    <d v="2024-09-10T00:00:00"/>
    <s v="Working in Store - Anaconda Highett"/>
    <s v="Learning"/>
    <n v="2"/>
    <s v="Highett"/>
    <x v="2"/>
    <n v="0"/>
    <s v="A039"/>
    <x v="18"/>
    <x v="1"/>
    <x v="14"/>
    <s v="Q1, FY25"/>
  </r>
  <r>
    <n v="321433"/>
    <s v="Bec"/>
    <s v="Luong"/>
    <x v="0"/>
    <s v="Work in Store"/>
    <s v="Anaconda Working in Stores - Highett"/>
    <x v="0"/>
    <d v="2024-09-03T00:00:00"/>
    <d v="2024-09-10T00:00:00"/>
    <s v="Working in Store - Anaconda Highett"/>
    <s v="Learning"/>
    <n v="2"/>
    <s v="Highett"/>
    <x v="2"/>
    <n v="0"/>
    <s v="A039"/>
    <x v="18"/>
    <x v="1"/>
    <x v="14"/>
    <s v="Q1, FY25"/>
  </r>
  <r>
    <n v="316506"/>
    <s v="Matt"/>
    <s v="Demarco"/>
    <x v="0"/>
    <s v="Work in Store"/>
    <s v="Anaconda Working in Stores - Hoppers Crossing"/>
    <x v="0"/>
    <d v="2024-09-02T00:00:00"/>
    <d v="2024-11-08T00:00:00"/>
    <s v="Working in Store - Anaconda Hoppers Crossing"/>
    <s v="Learning"/>
    <n v="1"/>
    <s v="Hoppers Crossing"/>
    <x v="2"/>
    <n v="1"/>
    <s v="A030"/>
    <x v="39"/>
    <x v="1"/>
    <x v="12"/>
    <s v="Q2, FY25"/>
  </r>
  <r>
    <n v="335714"/>
    <s v="Soraya"/>
    <s v="Franklin"/>
    <x v="5"/>
    <s v="Work in Store"/>
    <s v="Working in Store - Spotlight Hoppers Crossing"/>
    <x v="0"/>
    <d v="2024-09-02T00:00:00"/>
    <d v="2024-09-06T00:00:00"/>
    <s v="Working in Store - Spotlight Hoppers Crossing"/>
    <s v="Learning"/>
    <n v="1"/>
    <s v="Hoppers Crossing"/>
    <x v="2"/>
    <n v="1"/>
    <s v="S034"/>
    <x v="7"/>
    <x v="0"/>
    <x v="14"/>
    <s v="Q1, FY25"/>
  </r>
  <r>
    <n v="324851"/>
    <s v="Aleecia"/>
    <s v="Rae"/>
    <x v="0"/>
    <s v="Work in Store"/>
    <s v="Working in Store - Spotlight South Morang"/>
    <x v="0"/>
    <d v="2024-08-30T00:00:00"/>
    <d v="2024-09-03T00:00:00"/>
    <s v="Working in Store - Spotlight South Morang"/>
    <s v="Learning"/>
    <n v="1"/>
    <s v="South Morang"/>
    <x v="2"/>
    <n v="1"/>
    <s v="S113"/>
    <x v="51"/>
    <x v="0"/>
    <x v="14"/>
    <s v="Q1, FY25"/>
  </r>
  <r>
    <n v="313819"/>
    <s v="Sai Kavya"/>
    <s v="Koppolu"/>
    <x v="5"/>
    <s v="Work in Store"/>
    <s v="Working in Store - Spotlight Hoppers Crossing"/>
    <x v="0"/>
    <d v="2024-08-29T00:00:00"/>
    <d v="2024-11-05T00:00:00"/>
    <s v="Working in Store - Spotlight Hoppers Crossing"/>
    <s v="Learning"/>
    <n v="1"/>
    <s v="Hoppers Crossing"/>
    <x v="2"/>
    <n v="1"/>
    <s v="S034"/>
    <x v="7"/>
    <x v="0"/>
    <x v="12"/>
    <s v="Q2, FY25"/>
  </r>
  <r>
    <n v="323017"/>
    <s v="Justin"/>
    <s v="Scollo"/>
    <x v="2"/>
    <s v="Work in Store"/>
    <s v="Harris Scarfe Working in Stores - Woodgrove"/>
    <x v="0"/>
    <d v="2024-08-28T00:00:00"/>
    <d v="2024-10-10T00:00:00"/>
    <s v="Working in Store - Harris Scarfe Woodgrove"/>
    <s v="Learning"/>
    <n v="1"/>
    <s v="Melton"/>
    <x v="2"/>
    <n v="1"/>
    <s v="HS2017"/>
    <x v="34"/>
    <x v="2"/>
    <x v="13"/>
    <s v="Q2, FY25"/>
  </r>
  <r>
    <n v="321839"/>
    <s v="Harveen"/>
    <s v="Puri"/>
    <x v="0"/>
    <s v="Work in Store"/>
    <s v="Working in Store - Spotlight Box Hill"/>
    <x v="0"/>
    <d v="2024-08-28T00:00:00"/>
    <d v="2024-09-26T00:00:00"/>
    <s v="Working in Store - Spotlight Box Hill"/>
    <s v="Learning"/>
    <n v="1"/>
    <s v="Box Hill"/>
    <x v="2"/>
    <n v="1"/>
    <s v="S002"/>
    <x v="17"/>
    <x v="0"/>
    <x v="14"/>
    <s v="Q1, FY25"/>
  </r>
  <r>
    <n v="314778"/>
    <s v="Gabrielle"/>
    <s v="Xu"/>
    <x v="5"/>
    <s v="Work in Store"/>
    <s v="Anaconda Working in Stores - Box Hill"/>
    <x v="0"/>
    <d v="2024-08-26T00:00:00"/>
    <d v="2024-11-15T00:00:00"/>
    <s v="Working in Store - Anaconda Box Hill"/>
    <s v="Learning"/>
    <n v="1"/>
    <s v="Box Hill"/>
    <x v="2"/>
    <n v="1"/>
    <s v="A041"/>
    <x v="4"/>
    <x v="1"/>
    <x v="12"/>
    <s v="Q2, FY25"/>
  </r>
  <r>
    <n v="201015"/>
    <s v="Anita"/>
    <s v="Ali"/>
    <x v="3"/>
    <s v="Work in Store"/>
    <s v="Harris Scarfe Working in Stores - Airport West"/>
    <x v="0"/>
    <d v="2024-08-26T00:00:00"/>
    <d v="2024-09-26T00:00:00"/>
    <s v="Working in Store - Harris Scarfe Airport West"/>
    <s v="Learning"/>
    <n v="2"/>
    <s v="Airport West"/>
    <x v="2"/>
    <n v="0"/>
    <s v="HS2027"/>
    <x v="24"/>
    <x v="2"/>
    <x v="14"/>
    <s v="Q1, FY25"/>
  </r>
  <r>
    <n v="205870"/>
    <s v="Joanne"/>
    <s v="Fatai"/>
    <x v="3"/>
    <s v="Work in Store"/>
    <s v="Harris Scarfe Working in Stores - Airport West"/>
    <x v="0"/>
    <d v="2024-08-26T00:00:00"/>
    <d v="2024-09-26T00:00:00"/>
    <s v="Working in Store - Harris Scarfe Airport West"/>
    <s v="Learning"/>
    <n v="2"/>
    <s v="Airport West"/>
    <x v="2"/>
    <n v="0"/>
    <s v="HS2027"/>
    <x v="24"/>
    <x v="2"/>
    <x v="14"/>
    <s v="Q1, FY25"/>
  </r>
  <r>
    <n v="328927"/>
    <s v="Lucy"/>
    <s v="Lu"/>
    <x v="5"/>
    <s v="Work in Store"/>
    <s v="Anaconda Working in Stores - Springvale"/>
    <x v="0"/>
    <d v="2024-08-23T00:00:00"/>
    <d v="2024-11-22T00:00:00"/>
    <s v="Working in Store - Anaconda Springvale"/>
    <s v="Learning"/>
    <n v="1"/>
    <s v="Springvale"/>
    <x v="2"/>
    <n v="1"/>
    <s v="A026"/>
    <x v="3"/>
    <x v="1"/>
    <x v="12"/>
    <s v="Q2, FY25"/>
  </r>
  <r>
    <n v="321483"/>
    <s v="Vinchi"/>
    <s v="Chan"/>
    <x v="5"/>
    <s v="Work in Store"/>
    <s v="Working in Store - Spotlight South Melbourne"/>
    <x v="0"/>
    <d v="2024-08-23T00:00:00"/>
    <d v="2024-09-19T00:00:00"/>
    <s v="Working in Store - Spotlight South Melbourne"/>
    <s v="Learning"/>
    <n v="1"/>
    <s v="South Melbourne"/>
    <x v="2"/>
    <n v="1"/>
    <s v="S027"/>
    <x v="13"/>
    <x v="0"/>
    <x v="14"/>
    <s v="Q1, FY25"/>
  </r>
  <r>
    <n v="316449"/>
    <s v="Benjamin"/>
    <s v="Hayes"/>
    <x v="5"/>
    <s v="Work in Store"/>
    <s v="Anaconda Working in Stores - Hoppers Crossing"/>
    <x v="0"/>
    <d v="2024-08-23T00:00:00"/>
    <d v="2024-08-27T00:00:00"/>
    <s v="Working in Store - Anaconda Hoppers Crossing"/>
    <s v="Learning"/>
    <n v="1"/>
    <s v="Hoppers Crossing"/>
    <x v="2"/>
    <n v="1"/>
    <s v="A030"/>
    <x v="39"/>
    <x v="1"/>
    <x v="15"/>
    <s v="Q1, FY25"/>
  </r>
  <r>
    <n v="335473"/>
    <s v="Chantelle"/>
    <s v="Platt"/>
    <x v="5"/>
    <s v="Work in Store"/>
    <s v="Working in Store - Spotlight South Melbourne"/>
    <x v="0"/>
    <d v="2024-08-21T00:00:00"/>
    <d v="2024-08-29T00:00:00"/>
    <s v="Working in Store - Spotlight South Melbourne"/>
    <s v="Learning"/>
    <n v="1"/>
    <s v="South Melbourne"/>
    <x v="2"/>
    <n v="1"/>
    <s v="S027"/>
    <x v="13"/>
    <x v="0"/>
    <x v="15"/>
    <s v="Q1, FY25"/>
  </r>
  <r>
    <n v="297893"/>
    <s v="Kathryn"/>
    <s v="Buchanan"/>
    <x v="5"/>
    <s v="Work in Store"/>
    <s v="Working in Stores - Anaconda Launceston"/>
    <x v="0"/>
    <d v="2024-08-19T00:00:00"/>
    <d v="2024-09-26T00:00:00"/>
    <s v="Working in Stores - Anaconda Launceston"/>
    <s v="Learning"/>
    <n v="1"/>
    <m/>
    <x v="2"/>
    <n v="1"/>
    <s v="A028"/>
    <x v="52"/>
    <x v="1"/>
    <x v="14"/>
    <s v="Q1, FY25"/>
  </r>
  <r>
    <n v="335235"/>
    <s v="Ethan"/>
    <s v="Perry"/>
    <x v="0"/>
    <s v="Work in Store"/>
    <s v="Anaconda Working in Stores - Hawthorn East"/>
    <x v="0"/>
    <d v="2024-08-19T00:00:00"/>
    <d v="2024-08-29T00:00:00"/>
    <s v="Working in Store - Anaconda Hawthorn East"/>
    <s v="Learning"/>
    <n v="1"/>
    <s v="Hawthorn East"/>
    <x v="2"/>
    <n v="1"/>
    <s v="A058"/>
    <x v="21"/>
    <x v="1"/>
    <x v="15"/>
    <s v="Q1, FY25"/>
  </r>
  <r>
    <n v="240591"/>
    <s v="Escarlett"/>
    <s v="Patriarca"/>
    <x v="1"/>
    <s v="Work in Store"/>
    <s v="Harris Scarfe Working in Stores - Woodgrove"/>
    <x v="0"/>
    <d v="2024-08-15T00:00:00"/>
    <d v="2024-08-22T00:00:00"/>
    <s v="Working in Store - Harris Scarfe Woodgrove"/>
    <s v="Learning"/>
    <n v="1"/>
    <s v="Melton"/>
    <x v="2"/>
    <n v="1"/>
    <s v="HS2017"/>
    <x v="34"/>
    <x v="2"/>
    <x v="15"/>
    <s v="Q1, FY25"/>
  </r>
  <r>
    <n v="328358"/>
    <s v="Declan"/>
    <s v="Welsh"/>
    <x v="2"/>
    <s v="Work in Store"/>
    <s v="Anaconda Working in Stores - Preston"/>
    <x v="0"/>
    <d v="2024-08-15T00:00:00"/>
    <d v="2024-08-16T00:00:00"/>
    <s v="Working in Store - Anaconda Preston"/>
    <s v="Learning"/>
    <n v="1"/>
    <s v="Preston"/>
    <x v="2"/>
    <n v="1"/>
    <s v="A020"/>
    <x v="19"/>
    <x v="1"/>
    <x v="15"/>
    <s v="Q1, FY25"/>
  </r>
  <r>
    <n v="323623"/>
    <s v="Julie"/>
    <s v="Huang"/>
    <x v="5"/>
    <s v="Work in Store"/>
    <s v="Working in Store - Spotlight Box Hill"/>
    <x v="0"/>
    <d v="2024-08-07T00:00:00"/>
    <d v="2024-10-04T00:00:00"/>
    <s v="Working in Store - Spotlight Box Hill"/>
    <s v="Learning"/>
    <n v="2"/>
    <s v="Box Hill"/>
    <x v="2"/>
    <n v="0"/>
    <s v="S002"/>
    <x v="17"/>
    <x v="0"/>
    <x v="13"/>
    <s v="Q2, FY25"/>
  </r>
  <r>
    <n v="328014"/>
    <s v="Yuan"/>
    <s v="Jiang"/>
    <x v="5"/>
    <s v="Work in Store"/>
    <s v="Working in Store - Spotlight Box Hill"/>
    <x v="0"/>
    <d v="2024-08-07T00:00:00"/>
    <d v="2024-10-04T00:00:00"/>
    <s v="Working in Store - Spotlight Box Hill"/>
    <s v="Learning"/>
    <n v="2"/>
    <s v="Box Hill"/>
    <x v="2"/>
    <n v="0"/>
    <s v="S002"/>
    <x v="17"/>
    <x v="0"/>
    <x v="13"/>
    <s v="Q2, FY25"/>
  </r>
  <r>
    <n v="335130"/>
    <s v="Angela"/>
    <s v="Georgieska"/>
    <x v="5"/>
    <s v="Work in Store"/>
    <s v="Working in Store - Spotlight Hoppers Crossing"/>
    <x v="0"/>
    <d v="2024-08-02T00:00:00"/>
    <d v="2024-08-28T00:00:00"/>
    <s v="Working in Store - Spotlight Hoppers Crossing"/>
    <s v="Learning"/>
    <n v="1"/>
    <s v="Hoppers Crossing"/>
    <x v="2"/>
    <n v="1"/>
    <s v="S034"/>
    <x v="7"/>
    <x v="0"/>
    <x v="15"/>
    <s v="Q1, FY25"/>
  </r>
  <r>
    <n v="335130"/>
    <s v="Angela"/>
    <s v="Georgieska"/>
    <x v="5"/>
    <s v="Work in Store"/>
    <s v="Anaconda Working in Stores - Watergardens"/>
    <x v="0"/>
    <d v="2024-08-02T00:00:00"/>
    <d v="2024-08-21T00:00:00"/>
    <s v="Working in Store - Anaconda Watergardens"/>
    <s v="Learning"/>
    <n v="1"/>
    <s v="Taylors Lake"/>
    <x v="2"/>
    <n v="1"/>
    <s v="A040"/>
    <x v="6"/>
    <x v="1"/>
    <x v="15"/>
    <s v="Q1, FY25"/>
  </r>
  <r>
    <n v="335130"/>
    <s v="Angela"/>
    <s v="Georgieska"/>
    <x v="5"/>
    <s v="Work in Store"/>
    <s v="Harris Scarfe Working in Stores - Tarneit"/>
    <x v="0"/>
    <d v="2024-08-02T00:00:00"/>
    <d v="2024-08-14T00:00:00"/>
    <s v="Working in Store - Harris Scarfe Tarneit"/>
    <s v="Learning"/>
    <n v="1"/>
    <s v="Tarneit"/>
    <x v="2"/>
    <n v="1"/>
    <s v="HS2048"/>
    <x v="35"/>
    <x v="2"/>
    <x v="15"/>
    <s v="Q1, FY25"/>
  </r>
  <r>
    <n v="334546"/>
    <s v="Sam"/>
    <s v="Samreth"/>
    <x v="1"/>
    <s v="Work in Store"/>
    <s v="Working in Store - Spotlight Cranbourne"/>
    <x v="0"/>
    <d v="2024-07-30T00:00:00"/>
    <d v="2024-08-08T00:00:00"/>
    <s v="Working in Store - Spotlight Cranbourne"/>
    <s v="Learning"/>
    <n v="1"/>
    <s v="Cranbourne"/>
    <x v="2"/>
    <n v="1"/>
    <s v="S135"/>
    <x v="53"/>
    <x v="0"/>
    <x v="15"/>
    <s v="Q1, FY25"/>
  </r>
  <r>
    <n v="326563"/>
    <s v="Naveen"/>
    <s v="Prakash"/>
    <x v="2"/>
    <s v="Work in Store"/>
    <s v="Anaconda Working in Stores - Preston"/>
    <x v="0"/>
    <d v="2024-07-24T00:00:00"/>
    <d v="2024-08-07T00:00:00"/>
    <s v="Working in Store - Anaconda Preston"/>
    <s v="Learning"/>
    <n v="1"/>
    <s v="Preston"/>
    <x v="2"/>
    <n v="1"/>
    <s v="A020"/>
    <x v="19"/>
    <x v="1"/>
    <x v="15"/>
    <s v="Q1, FY25"/>
  </r>
  <r>
    <n v="329334"/>
    <s v="Ankit"/>
    <s v="Bansal"/>
    <x v="2"/>
    <s v="Work in Store"/>
    <s v="Anaconda Working in Stores - Hoppers Crossing"/>
    <x v="0"/>
    <d v="2024-07-15T00:00:00"/>
    <d v="2024-08-20T00:00:00"/>
    <s v="Working in Store - Anaconda Hoppers Crossing"/>
    <s v="Learning"/>
    <n v="1"/>
    <s v="Hoppers Crossing"/>
    <x v="2"/>
    <n v="1"/>
    <s v="A030"/>
    <x v="39"/>
    <x v="1"/>
    <x v="15"/>
    <s v="Q1, FY25"/>
  </r>
  <r>
    <n v="333337"/>
    <s v="Rio"/>
    <s v="Xu"/>
    <x v="2"/>
    <s v="Work in Store"/>
    <s v="Anaconda Working in Stores - Springvale"/>
    <x v="0"/>
    <d v="2024-07-04T00:00:00"/>
    <d v="2024-07-05T00:00:00"/>
    <s v="Working in Store - Anaconda Springvale"/>
    <s v="Learning"/>
    <n v="1"/>
    <s v="Springvale"/>
    <x v="2"/>
    <n v="1"/>
    <s v="A026"/>
    <x v="3"/>
    <x v="1"/>
    <x v="16"/>
    <s v="Q1, FY25"/>
  </r>
  <r>
    <n v="305409"/>
    <s v="Jose"/>
    <s v="Rivera Cordoba"/>
    <x v="2"/>
    <s v="Work in Store"/>
    <s v="Harris Scarfe Working in Stores - Tarneit"/>
    <x v="0"/>
    <d v="2024-07-01T00:00:00"/>
    <d v="2024-07-02T00:00:00"/>
    <s v="Working in Store - Harris Scarfe Tarneit"/>
    <s v="Learning"/>
    <n v="1"/>
    <s v="Tarneit"/>
    <x v="2"/>
    <n v="1"/>
    <s v="HS2048"/>
    <x v="35"/>
    <x v="2"/>
    <x v="16"/>
    <s v="Q1, FY25"/>
  </r>
  <r>
    <n v="203082"/>
    <s v="Nancy"/>
    <s v="Goegan"/>
    <x v="3"/>
    <s v="Work in Store"/>
    <s v="Harris Scarfe Working in Stores - Tarneit"/>
    <x v="0"/>
    <d v="2024-06-17T00:00:00"/>
    <d v="2024-10-01T00:00:00"/>
    <s v="Working in Store - Harris Scarfe Tarneit"/>
    <s v="Learning"/>
    <n v="1"/>
    <s v="Tarneit"/>
    <x v="2"/>
    <n v="1"/>
    <s v="HS2048"/>
    <x v="35"/>
    <x v="2"/>
    <x v="13"/>
    <s v="Q2, FY25"/>
  </r>
  <r>
    <n v="203082"/>
    <s v="Nancy"/>
    <s v="Goegan"/>
    <x v="3"/>
    <s v="Work in Store"/>
    <s v="Anaconda Working in Stores - Hoppers Crossing"/>
    <x v="0"/>
    <d v="2024-06-17T00:00:00"/>
    <d v="2024-07-11T00:00:00"/>
    <s v="Working in Store - Anaconda Hoppers Crossing"/>
    <s v="Learning"/>
    <n v="1"/>
    <s v="Hoppers Crossing"/>
    <x v="2"/>
    <n v="1"/>
    <s v="A030"/>
    <x v="39"/>
    <x v="1"/>
    <x v="16"/>
    <s v="Q1, FY25"/>
  </r>
  <r>
    <n v="314741"/>
    <s v="Alex"/>
    <s v="James"/>
    <x v="2"/>
    <s v="Work in Store"/>
    <s v="Working in Store - Spotlight South Melbourne"/>
    <x v="0"/>
    <d v="2024-06-14T00:00:00"/>
    <d v="2024-08-21T00:00:00"/>
    <s v="Working in Store - Spotlight South Melbourne"/>
    <s v="Learning"/>
    <n v="1"/>
    <s v="South Melbourne"/>
    <x v="2"/>
    <n v="1"/>
    <s v="S027"/>
    <x v="13"/>
    <x v="0"/>
    <x v="15"/>
    <s v="Q1, FY25"/>
  </r>
  <r>
    <n v="325030"/>
    <s v="Tarryn"/>
    <s v="Eddy"/>
    <x v="5"/>
    <s v="Work in Store"/>
    <s v="Anaconda Working in Stores - Bayswater"/>
    <x v="0"/>
    <d v="2024-06-14T00:00:00"/>
    <d v="2024-07-25T00:00:00"/>
    <s v="Working in Store - Anaconda Bayswater"/>
    <s v="Learning"/>
    <n v="1"/>
    <s v="Bayswater"/>
    <x v="2"/>
    <n v="1"/>
    <s v="A001"/>
    <x v="2"/>
    <x v="1"/>
    <x v="16"/>
    <s v="Q1, FY25"/>
  </r>
  <r>
    <n v="230709"/>
    <s v="Anh"/>
    <s v="Truong"/>
    <x v="2"/>
    <s v="Work in Store"/>
    <s v="Harris Scarfe Working in Stores - Tarneit"/>
    <x v="0"/>
    <d v="2024-06-12T00:00:00"/>
    <d v="2024-06-13T00:00:00"/>
    <s v="Working in Store - Harris Scarfe Tarneit"/>
    <s v="Learning"/>
    <n v="1"/>
    <s v="Tarneit"/>
    <x v="2"/>
    <n v="1"/>
    <s v="HS2048"/>
    <x v="35"/>
    <x v="2"/>
    <x v="17"/>
    <s v="Q4, FY24"/>
  </r>
  <r>
    <n v="239689"/>
    <s v="Wi"/>
    <s v="Tanto"/>
    <x v="2"/>
    <s v="Work in Store"/>
    <s v="Harris Scarfe Working in Stores - Fountain Gate"/>
    <x v="0"/>
    <d v="2024-06-06T00:00:00"/>
    <d v="2024-06-11T00:00:00"/>
    <s v="Working in Store - Harris Scarfe Fountain Gate"/>
    <s v="Learning"/>
    <n v="1"/>
    <s v="Fountain Gate"/>
    <x v="2"/>
    <n v="1"/>
    <s v="HS2039"/>
    <x v="54"/>
    <x v="2"/>
    <x v="17"/>
    <s v="Q4, FY24"/>
  </r>
  <r>
    <n v="317563"/>
    <s v="Luke"/>
    <s v="Carbone"/>
    <x v="2"/>
    <s v="Work in Store"/>
    <s v="Harris Scarfe Working in Store - Highpoint"/>
    <x v="0"/>
    <d v="2024-06-05T00:00:00"/>
    <d v="2024-06-06T00:00:00"/>
    <s v="Working in Store - Harris Scarfe Highpoint"/>
    <s v="Learning"/>
    <n v="1"/>
    <s v="Maribyrnong"/>
    <x v="2"/>
    <n v="1"/>
    <s v="HS2024"/>
    <x v="10"/>
    <x v="2"/>
    <x v="17"/>
    <s v="Q4, FY24"/>
  </r>
  <r>
    <n v="298244"/>
    <s v="Jack"/>
    <s v="Gibbs"/>
    <x v="2"/>
    <s v="Work in Store"/>
    <s v="Harris Scarfe Working in Stores - Sunbury"/>
    <x v="0"/>
    <d v="2024-05-27T00:00:00"/>
    <d v="2024-06-18T00:00:00"/>
    <s v="Working in Store - Harris Scarfe Sunbury"/>
    <s v="Learning"/>
    <n v="2"/>
    <s v="Sunbury"/>
    <x v="2"/>
    <n v="0"/>
    <s v="HS2031"/>
    <x v="20"/>
    <x v="2"/>
    <x v="17"/>
    <s v="Q4, FY24"/>
  </r>
  <r>
    <n v="331287"/>
    <s v="Sam"/>
    <s v="Barclay"/>
    <x v="2"/>
    <s v="Work in Store"/>
    <s v="Harris Scarfe Working in Stores - Sunbury"/>
    <x v="0"/>
    <d v="2024-05-27T00:00:00"/>
    <d v="2024-06-18T00:00:00"/>
    <s v="Working in Store - Harris Scarfe Sunbury"/>
    <s v="Learning"/>
    <n v="2"/>
    <s v="Sunbury"/>
    <x v="2"/>
    <n v="0"/>
    <s v="HS2031"/>
    <x v="20"/>
    <x v="2"/>
    <x v="17"/>
    <s v="Q4, FY24"/>
  </r>
  <r>
    <n v="316449"/>
    <s v="Benjamin"/>
    <s v="Hayes"/>
    <x v="5"/>
    <s v="Work in Store"/>
    <s v="Anaconda Working in Stores - Hoppers Crossing"/>
    <x v="0"/>
    <d v="2024-05-17T00:00:00"/>
    <d v="2024-05-29T00:00:00"/>
    <s v="Working in Store - Anaconda Hoppers Crossing"/>
    <s v="Learning"/>
    <n v="1"/>
    <s v="Hoppers Crossing"/>
    <x v="2"/>
    <n v="1"/>
    <s v="A030"/>
    <x v="39"/>
    <x v="1"/>
    <x v="17"/>
    <s v="Q4, FY24"/>
  </r>
  <r>
    <n v="326463"/>
    <s v="Ash"/>
    <s v="Bhandari"/>
    <x v="5"/>
    <s v="Work in Store"/>
    <s v="Working in Store - Spotlight Hoppers Crossing"/>
    <x v="0"/>
    <d v="2024-05-17T00:00:00"/>
    <d v="2024-05-21T00:00:00"/>
    <s v="Working in Store - Spotlight Hoppers Crossing"/>
    <s v="Learning"/>
    <n v="1"/>
    <s v="Hoppers Crossing"/>
    <x v="2"/>
    <n v="1"/>
    <s v="S034"/>
    <x v="7"/>
    <x v="0"/>
    <x v="18"/>
    <s v="Q4, FY24"/>
  </r>
  <r>
    <n v="225218"/>
    <s v="Carol"/>
    <s v="Brown"/>
    <x v="1"/>
    <s v="Work in Store"/>
    <s v="Exemption - Working in Store"/>
    <x v="0"/>
    <d v="2024-05-07T00:00:00"/>
    <d v="2024-12-31T00:00:00"/>
    <s v="Working In Store Exemption 2025"/>
    <s v="Learning"/>
    <n v="3"/>
    <m/>
    <x v="2"/>
    <n v="97"/>
    <s v="Exempt"/>
    <x v="50"/>
    <x v="3"/>
    <x v="8"/>
    <s v="Q3, FY25"/>
  </r>
  <r>
    <n v="321626"/>
    <s v="Josie"/>
    <s v="Gonzalez"/>
    <x v="1"/>
    <s v="Work in Store"/>
    <s v="Exemption - Working in Store"/>
    <x v="0"/>
    <d v="2024-05-07T00:00:00"/>
    <d v="2024-12-31T00:00:00"/>
    <s v="Working In Store Exemption 2025"/>
    <s v="Learning"/>
    <n v="3"/>
    <m/>
    <x v="2"/>
    <n v="97"/>
    <s v="Exempt"/>
    <x v="50"/>
    <x v="3"/>
    <x v="8"/>
    <s v="Q3, FY25"/>
  </r>
  <r>
    <n v="208565"/>
    <s v="Helen"/>
    <s v="Athanasakopoulos"/>
    <x v="3"/>
    <s v="Work in Store"/>
    <s v="Harris Scarfe Working in Stores - Spencer Outlet"/>
    <x v="0"/>
    <d v="2024-05-07T00:00:00"/>
    <d v="2024-11-12T00:00:00"/>
    <s v="Working in Store - Harris Scarfe Spencer Outlet"/>
    <s v="Learning"/>
    <n v="1"/>
    <s v="Docklands"/>
    <x v="2"/>
    <n v="1"/>
    <s v="HS2016"/>
    <x v="16"/>
    <x v="2"/>
    <x v="12"/>
    <s v="Q2, FY25"/>
  </r>
  <r>
    <n v="201015"/>
    <s v="Anita"/>
    <s v="Ali"/>
    <x v="3"/>
    <s v="Work in Store"/>
    <s v="Harris Scarfe Working in Store - Highpoint"/>
    <x v="0"/>
    <d v="2024-05-06T00:00:00"/>
    <d v="2024-11-26T00:00:00"/>
    <s v="Working in Store - Harris Scarfe Highpoint"/>
    <s v="Learning"/>
    <n v="2"/>
    <s v="Maribyrnong"/>
    <x v="2"/>
    <n v="0"/>
    <s v="HS2024"/>
    <x v="10"/>
    <x v="2"/>
    <x v="12"/>
    <s v="Q2, FY25"/>
  </r>
  <r>
    <n v="205870"/>
    <s v="Joanne"/>
    <s v="Fatai"/>
    <x v="3"/>
    <s v="Work in Store"/>
    <s v="Harris Scarfe Working in Store - Highpoint"/>
    <x v="0"/>
    <d v="2024-05-06T00:00:00"/>
    <d v="2024-11-26T00:00:00"/>
    <s v="Working in Store - Harris Scarfe Highpoint"/>
    <s v="Learning"/>
    <n v="2"/>
    <s v="Maribyrnong"/>
    <x v="2"/>
    <n v="0"/>
    <s v="HS2024"/>
    <x v="10"/>
    <x v="2"/>
    <x v="12"/>
    <s v="Q2, FY25"/>
  </r>
  <r>
    <n v="325114"/>
    <s v="Susanty"/>
    <s v="Irawan"/>
    <x v="3"/>
    <s v="Work in Store"/>
    <s v="Harris Scarfe Working in Store - Highpoint"/>
    <x v="0"/>
    <d v="2024-05-06T00:00:00"/>
    <d v="2024-11-01T00:00:00"/>
    <s v="Working in Store - Harris Scarfe Highpoint"/>
    <s v="Learning"/>
    <n v="1"/>
    <s v="Maribyrnong"/>
    <x v="2"/>
    <n v="1"/>
    <s v="HS2024"/>
    <x v="10"/>
    <x v="2"/>
    <x v="12"/>
    <s v="Q2, FY25"/>
  </r>
  <r>
    <n v="328420"/>
    <s v="Tiffany"/>
    <s v="Kwee"/>
    <x v="3"/>
    <s v="Work in Store"/>
    <s v="Anaconda Working in Stores - Springvale"/>
    <x v="0"/>
    <d v="2024-05-06T00:00:00"/>
    <d v="2024-09-10T00:00:00"/>
    <s v="Working in Store - Anaconda Springvale"/>
    <s v="Learning"/>
    <n v="1"/>
    <s v="Springvale"/>
    <x v="2"/>
    <n v="1"/>
    <s v="A026"/>
    <x v="3"/>
    <x v="1"/>
    <x v="14"/>
    <s v="Q1, FY25"/>
  </r>
  <r>
    <n v="325114"/>
    <s v="Susanty"/>
    <s v="Irawan"/>
    <x v="3"/>
    <s v="Work in Store"/>
    <s v="Harris Scarfe Working in Stores - Tarneit"/>
    <x v="0"/>
    <d v="2024-05-06T00:00:00"/>
    <d v="2024-09-06T00:00:00"/>
    <s v="Working in Store - Harris Scarfe Tarneit"/>
    <s v="Learning"/>
    <n v="1"/>
    <s v="Tarneit"/>
    <x v="2"/>
    <n v="1"/>
    <s v="HS2048"/>
    <x v="35"/>
    <x v="2"/>
    <x v="14"/>
    <s v="Q1, FY25"/>
  </r>
  <r>
    <n v="326639"/>
    <s v="Sam"/>
    <s v="Goel"/>
    <x v="1"/>
    <s v="Work in Store"/>
    <s v="Working in Stores - Spotlight Bayswater"/>
    <x v="0"/>
    <d v="2024-05-02T00:00:00"/>
    <d v="2024-11-21T00:00:00"/>
    <s v="Working in Store - Spotlight Bayswater"/>
    <s v="Learning"/>
    <n v="1"/>
    <s v="Bayswater"/>
    <x v="2"/>
    <n v="1"/>
    <s v="S014"/>
    <x v="15"/>
    <x v="0"/>
    <x v="12"/>
    <s v="Q2, FY25"/>
  </r>
  <r>
    <n v="302779"/>
    <s v="Shakira"/>
    <s v="Solis"/>
    <x v="3"/>
    <s v="Work in Store"/>
    <s v="Working in Store - Spotlight Hoppers Crossing"/>
    <x v="0"/>
    <d v="2024-05-02T00:00:00"/>
    <d v="2024-11-08T00:00:00"/>
    <s v="Working in Store - Spotlight Hoppers Crossing"/>
    <s v="Learning"/>
    <n v="1"/>
    <s v="Hoppers Crossing"/>
    <x v="2"/>
    <n v="1"/>
    <s v="S034"/>
    <x v="7"/>
    <x v="0"/>
    <x v="12"/>
    <s v="Q2, FY25"/>
  </r>
  <r>
    <n v="208565"/>
    <s v="Helen"/>
    <s v="Athanasakopoulos"/>
    <x v="3"/>
    <s v="Work in Store"/>
    <s v="Anaconda Working in Stores - Watergardens"/>
    <x v="0"/>
    <d v="2024-05-01T00:00:00"/>
    <d v="2024-10-01T00:00:00"/>
    <s v="Working in Store - Anaconda Watergardens"/>
    <s v="Learning"/>
    <n v="1"/>
    <s v="Taylors Lake"/>
    <x v="2"/>
    <n v="1"/>
    <s v="A040"/>
    <x v="6"/>
    <x v="1"/>
    <x v="13"/>
    <s v="Q2, FY25"/>
  </r>
  <r>
    <n v="302779"/>
    <s v="Shakira"/>
    <s v="Solis"/>
    <x v="3"/>
    <s v="Work in Store"/>
    <s v="Harris Scarfe Working in Stores - Tarneit"/>
    <x v="0"/>
    <d v="2024-05-01T00:00:00"/>
    <d v="2024-08-22T00:00:00"/>
    <s v="Working in Store - Harris Scarfe Tarneit"/>
    <s v="Learning"/>
    <n v="1"/>
    <s v="Tarneit"/>
    <x v="2"/>
    <n v="1"/>
    <s v="HS2048"/>
    <x v="35"/>
    <x v="2"/>
    <x v="15"/>
    <s v="Q1, FY25"/>
  </r>
  <r>
    <n v="311842"/>
    <s v="Sneha"/>
    <s v="Bhegade"/>
    <x v="2"/>
    <s v="Work in Store"/>
    <s v="Working in Store - Spotlight Hoppers Crossing"/>
    <x v="0"/>
    <d v="2024-04-29T00:00:00"/>
    <d v="2024-05-09T00:00:00"/>
    <s v="Working in Store - Spotlight Hoppers Crossing"/>
    <s v="Learning"/>
    <n v="1"/>
    <s v="Hoppers Crossing"/>
    <x v="2"/>
    <n v="1"/>
    <s v="S034"/>
    <x v="7"/>
    <x v="0"/>
    <x v="18"/>
    <s v="Q4, FY24"/>
  </r>
  <r>
    <n v="333888"/>
    <s v="Skip"/>
    <s v="Foster"/>
    <x v="1"/>
    <s v="Work in Store"/>
    <s v="Working in Store - Spotlight South Melbourne"/>
    <x v="0"/>
    <d v="2024-04-29T00:00:00"/>
    <d v="2024-05-03T00:00:00"/>
    <s v="Working in Store - Spotlight South Melbourne"/>
    <s v="Learning"/>
    <n v="2"/>
    <s v="South Melbourne"/>
    <x v="2"/>
    <n v="0"/>
    <s v="S027"/>
    <x v="13"/>
    <x v="0"/>
    <x v="18"/>
    <s v="Q4, FY24"/>
  </r>
  <r>
    <n v="321483"/>
    <s v="Vinchi"/>
    <s v="Chan"/>
    <x v="5"/>
    <s v="Work in Store"/>
    <s v="Working in Store - Spotlight South Melbourne"/>
    <x v="0"/>
    <d v="2024-04-24T00:00:00"/>
    <d v="2024-05-03T00:00:00"/>
    <s v="Working in Store - Spotlight South Melbourne"/>
    <s v="Learning"/>
    <n v="2"/>
    <s v="South Melbourne"/>
    <x v="2"/>
    <n v="0"/>
    <s v="S027"/>
    <x v="13"/>
    <x v="0"/>
    <x v="18"/>
    <s v="Q4, FY24"/>
  </r>
  <r>
    <n v="333888"/>
    <s v="Skip"/>
    <s v="Foster"/>
    <x v="1"/>
    <s v="Work in Store"/>
    <s v="Working in Store - Spotlight South Melbourne"/>
    <x v="0"/>
    <d v="2024-04-22T00:00:00"/>
    <d v="2024-04-26T00:00:00"/>
    <s v="Working in Store - Spotlight South Melbourne"/>
    <s v="Learning"/>
    <n v="1"/>
    <s v="South Melbourne"/>
    <x v="2"/>
    <n v="1"/>
    <s v="S027"/>
    <x v="13"/>
    <x v="0"/>
    <x v="18"/>
    <s v="Q4, FY24"/>
  </r>
  <r>
    <n v="327843"/>
    <s v="Priya"/>
    <s v="Parthasarathy"/>
    <x v="1"/>
    <s v="Work in Store"/>
    <s v="Working in Store - Spotlight Hoppers Crossing"/>
    <x v="0"/>
    <d v="2024-04-09T00:00:00"/>
    <d v="2024-07-17T00:00:00"/>
    <s v="Working in Store - Spotlight Hoppers Crossing"/>
    <s v="Learning"/>
    <n v="1"/>
    <s v="Hoppers Crossing"/>
    <x v="2"/>
    <n v="1"/>
    <s v="S034"/>
    <x v="7"/>
    <x v="0"/>
    <x v="16"/>
    <s v="Q1, FY25"/>
  </r>
  <r>
    <n v="225218"/>
    <s v="Carol"/>
    <s v="Brown"/>
    <x v="1"/>
    <s v="Work in Store"/>
    <s v="Working in Store - Spotlight Carnegie"/>
    <x v="0"/>
    <d v="2024-04-02T00:00:00"/>
    <d v="2024-10-25T00:00:00"/>
    <s v="Working in Store- Spotlight Cranegie"/>
    <s v="Learning"/>
    <n v="1"/>
    <s v="Carnegie"/>
    <x v="2"/>
    <n v="1"/>
    <s v="S114"/>
    <x v="5"/>
    <x v="0"/>
    <x v="13"/>
    <s v="Q2, FY25"/>
  </r>
  <r>
    <n v="235543"/>
    <s v="Celeste"/>
    <s v="Burgess"/>
    <x v="1"/>
    <s v="Work in Store"/>
    <s v="Harris Scarfe Working in Stores - Spencer Outlet"/>
    <x v="0"/>
    <d v="2024-04-02T00:00:00"/>
    <d v="2024-05-03T00:00:00"/>
    <s v="Working in Store - Harris Scarfe Spencer Outlet"/>
    <s v="Learning"/>
    <n v="2"/>
    <s v="Docklands"/>
    <x v="2"/>
    <n v="0"/>
    <s v="HS2016"/>
    <x v="16"/>
    <x v="2"/>
    <x v="18"/>
    <s v="Q4, FY24"/>
  </r>
  <r>
    <n v="307502"/>
    <s v="Gill"/>
    <s v="Couper"/>
    <x v="1"/>
    <s v="Work in Store"/>
    <s v="Harris Scarfe Working in Stores - Spencer Outlet"/>
    <x v="0"/>
    <d v="2024-04-02T00:00:00"/>
    <d v="2024-05-03T00:00:00"/>
    <s v="Working in Store - Harris Scarfe Spencer Outlet"/>
    <s v="Learning"/>
    <n v="2"/>
    <s v="Docklands"/>
    <x v="2"/>
    <n v="0"/>
    <s v="HS2016"/>
    <x v="16"/>
    <x v="2"/>
    <x v="18"/>
    <s v="Q4, FY24"/>
  </r>
  <r>
    <n v="297887"/>
    <s v="Manel"/>
    <s v="David"/>
    <x v="0"/>
    <s v="Work in Store"/>
    <s v="Anaconda Working in Stores - Hawthorn East"/>
    <x v="0"/>
    <d v="2024-03-28T00:00:00"/>
    <d v="2024-10-16T00:00:00"/>
    <s v="Working in Store - Anaconda Hawthorn East"/>
    <s v="Learning"/>
    <n v="1"/>
    <s v="Hawthorn East"/>
    <x v="2"/>
    <n v="1"/>
    <s v="A058"/>
    <x v="21"/>
    <x v="1"/>
    <x v="13"/>
    <s v="Q2, FY25"/>
  </r>
  <r>
    <n v="317899"/>
    <s v="Dean"/>
    <s v="Gerst"/>
    <x v="0"/>
    <s v="Work in Store"/>
    <s v="Working in Store - Spotlight South Melbourne"/>
    <x v="0"/>
    <d v="2024-03-27T00:00:00"/>
    <d v="2024-04-24T00:00:00"/>
    <s v="Working in Store - Spotlight South Melbourne"/>
    <s v="Learning"/>
    <n v="1"/>
    <s v="South Melbourne"/>
    <x v="2"/>
    <n v="1"/>
    <s v="S027"/>
    <x v="13"/>
    <x v="0"/>
    <x v="18"/>
    <s v="Q4, FY24"/>
  </r>
  <r>
    <n v="297887"/>
    <s v="Manel"/>
    <s v="David"/>
    <x v="0"/>
    <s v="Work in Store"/>
    <s v="Harris Scarfe Working in Stores - Spencer Outlet"/>
    <x v="0"/>
    <d v="2024-03-26T00:00:00"/>
    <d v="2024-07-17T00:00:00"/>
    <s v="Working in Store - Harris Scarfe Spencer Outlet"/>
    <s v="Learning"/>
    <n v="1"/>
    <s v="Docklands"/>
    <x v="2"/>
    <n v="1"/>
    <s v="HS2016"/>
    <x v="16"/>
    <x v="2"/>
    <x v="16"/>
    <s v="Q1, FY25"/>
  </r>
  <r>
    <n v="299399"/>
    <s v="Haneen"/>
    <s v="Al Khamas"/>
    <x v="1"/>
    <s v="Work in Store"/>
    <s v="Anaconda Working in Stores - Epping"/>
    <x v="0"/>
    <d v="2024-03-19T00:00:00"/>
    <d v="2024-03-28T00:00:00"/>
    <s v="Working in Store - Anaconda Epping"/>
    <s v="Learning"/>
    <n v="1"/>
    <s v="Epping"/>
    <x v="2"/>
    <n v="1"/>
    <s v="A052"/>
    <x v="27"/>
    <x v="1"/>
    <x v="19"/>
    <s v="Q4, FY24"/>
  </r>
  <r>
    <n v="312762"/>
    <s v="Andrew"/>
    <s v="Fountain"/>
    <x v="2"/>
    <s v="Work in Store"/>
    <s v="Anaconda Working in Stores - Geelong"/>
    <x v="0"/>
    <d v="2024-03-18T00:00:00"/>
    <d v="2024-04-18T00:00:00"/>
    <s v="Working in Store - Anaconda Geelong"/>
    <s v="Learning"/>
    <n v="1"/>
    <s v="Geelong"/>
    <x v="2"/>
    <n v="1"/>
    <s v="A009"/>
    <x v="46"/>
    <x v="1"/>
    <x v="19"/>
    <s v="Q4, FY24"/>
  </r>
  <r>
    <n v="231954"/>
    <s v="Annie"/>
    <s v="Chung"/>
    <x v="0"/>
    <s v="Work in Store"/>
    <s v="Working in Store - Spotlight Maribyrnong"/>
    <x v="0"/>
    <d v="2024-03-18T00:00:00"/>
    <d v="2024-03-20T00:00:00"/>
    <s v="Working in Store - Spotlight Maribyrnong"/>
    <s v="Learning"/>
    <n v="1"/>
    <s v="Maribyrnong"/>
    <x v="2"/>
    <n v="1"/>
    <s v="S010"/>
    <x v="33"/>
    <x v="0"/>
    <x v="20"/>
    <s v="Q3, FY24"/>
  </r>
  <r>
    <n v="327843"/>
    <s v="Priya"/>
    <s v="Parthasarathy"/>
    <x v="1"/>
    <s v="Work in Store"/>
    <s v="Harris Scarfe Working in Stores - Tarneit"/>
    <x v="0"/>
    <d v="2024-03-15T00:00:00"/>
    <d v="2024-11-19T00:00:00"/>
    <s v="Working in Store - Harris Scarfe Tarneit"/>
    <s v="Learning"/>
    <n v="1"/>
    <s v="Tarneit"/>
    <x v="2"/>
    <n v="1"/>
    <s v="HS2048"/>
    <x v="35"/>
    <x v="2"/>
    <x v="12"/>
    <s v="Q2, FY25"/>
  </r>
  <r>
    <n v="215865"/>
    <s v="Anita"/>
    <s v="Mucic"/>
    <x v="1"/>
    <s v="Work in Store"/>
    <s v="Working in Store - Spotlight Essendon"/>
    <x v="0"/>
    <d v="2024-03-13T00:00:00"/>
    <d v="2024-04-11T00:00:00"/>
    <s v="Working in Store - Spotlight Essendon"/>
    <s v="Learning"/>
    <n v="1"/>
    <s v="Strathmore"/>
    <x v="2"/>
    <n v="1"/>
    <s v="S008"/>
    <x v="11"/>
    <x v="0"/>
    <x v="19"/>
    <s v="Q4, FY24"/>
  </r>
  <r>
    <n v="231954"/>
    <s v="Annie"/>
    <s v="Chung"/>
    <x v="0"/>
    <s v="Work in Store"/>
    <s v="Harris Scarfe Working in Stores - Airport West"/>
    <x v="0"/>
    <d v="2024-03-07T00:00:00"/>
    <d v="2024-03-13T00:00:00"/>
    <s v="Working in Store - Harris Scarfe Airport West"/>
    <s v="Learning"/>
    <n v="1"/>
    <s v="Airport West"/>
    <x v="2"/>
    <n v="1"/>
    <s v="HS2027"/>
    <x v="24"/>
    <x v="2"/>
    <x v="20"/>
    <s v="Q3, FY24"/>
  </r>
  <r>
    <n v="305326"/>
    <s v="Tyler"/>
    <s v="Britton"/>
    <x v="1"/>
    <s v="Work in Store"/>
    <s v="Harris Scarfe Working in Store - Highpoint"/>
    <x v="0"/>
    <d v="2024-03-06T00:00:00"/>
    <d v="2024-04-04T00:00:00"/>
    <s v="Working in Store - Harris Scarfe Highpoint"/>
    <s v="Learning"/>
    <n v="1"/>
    <s v="Maribyrnong"/>
    <x v="2"/>
    <n v="1"/>
    <s v="HS2024"/>
    <x v="10"/>
    <x v="2"/>
    <x v="19"/>
    <s v="Q4, FY24"/>
  </r>
  <r>
    <n v="327648"/>
    <s v="Pieter"/>
    <s v="Van Der Berg"/>
    <x v="2"/>
    <s v="Work in Store"/>
    <s v="Anaconda Working in Stores - Bayswater"/>
    <x v="0"/>
    <d v="2024-03-05T00:00:00"/>
    <d v="2024-03-20T00:00:00"/>
    <s v="Working in Store - Anaconda Bayswater"/>
    <s v="Learning"/>
    <n v="1"/>
    <s v="Bayswater"/>
    <x v="2"/>
    <n v="1"/>
    <s v="A001"/>
    <x v="2"/>
    <x v="1"/>
    <x v="20"/>
    <s v="Q3, FY24"/>
  </r>
  <r>
    <n v="297893"/>
    <s v="Kathryn"/>
    <s v="Buchanan"/>
    <x v="5"/>
    <s v="Work in Store"/>
    <s v="Working in Stores - Anaconda Launceston"/>
    <x v="0"/>
    <d v="2024-02-29T00:00:00"/>
    <d v="2024-05-16T00:00:00"/>
    <s v="Working in Stores - Anaconda Launceston"/>
    <s v="Learning"/>
    <n v="1"/>
    <m/>
    <x v="2"/>
    <n v="1"/>
    <s v="A028"/>
    <x v="52"/>
    <x v="1"/>
    <x v="18"/>
    <s v="Q4, FY24"/>
  </r>
  <r>
    <n v="325564"/>
    <s v="B"/>
    <s v="Dessmann"/>
    <x v="1"/>
    <s v="Work in Store"/>
    <s v="Harris Scarfe Working in Stores - Tarneit"/>
    <x v="0"/>
    <d v="2024-02-27T00:00:00"/>
    <d v="2024-07-19T00:00:00"/>
    <s v="Working in Store - Harris Scarfe Tarneit"/>
    <s v="Learning"/>
    <n v="1"/>
    <s v="Tarneit"/>
    <x v="2"/>
    <n v="1"/>
    <s v="HS2048"/>
    <x v="35"/>
    <x v="2"/>
    <x v="16"/>
    <s v="Q1, FY25"/>
  </r>
  <r>
    <n v="314778"/>
    <s v="Gabrielle"/>
    <s v="Xu"/>
    <x v="5"/>
    <s v="Work in Store"/>
    <s v="Working in Store - Spotlight Box Hill"/>
    <x v="0"/>
    <d v="2024-02-27T00:00:00"/>
    <d v="2024-05-03T00:00:00"/>
    <s v="Working in Store - Spotlight Box Hill"/>
    <s v="Learning"/>
    <n v="1"/>
    <s v="Box Hill"/>
    <x v="2"/>
    <n v="1"/>
    <s v="S002"/>
    <x v="17"/>
    <x v="0"/>
    <x v="18"/>
    <s v="Q4, FY24"/>
  </r>
  <r>
    <n v="325564"/>
    <s v="B"/>
    <s v="Dessmann"/>
    <x v="1"/>
    <s v="Work in Store"/>
    <s v="Working in Store - Spotlight Hoppers Crossing"/>
    <x v="0"/>
    <d v="2024-02-27T00:00:00"/>
    <d v="2024-04-26T00:00:00"/>
    <s v="Working in Store - Spotlight Hoppers Crossing"/>
    <s v="Learning"/>
    <n v="1"/>
    <s v="Hoppers Crossing"/>
    <x v="2"/>
    <n v="1"/>
    <s v="S034"/>
    <x v="7"/>
    <x v="0"/>
    <x v="18"/>
    <s v="Q4, FY24"/>
  </r>
  <r>
    <n v="318222"/>
    <s v="Gessica"/>
    <s v="Vittone Taylor"/>
    <x v="0"/>
    <s v="Work in Store"/>
    <s v="Working in Store - Spotlight Hoppers Crossing"/>
    <x v="0"/>
    <d v="2024-02-27T00:00:00"/>
    <d v="2024-03-14T00:00:00"/>
    <s v="Working in Store - Spotlight Hoppers Crossing"/>
    <s v="Learning"/>
    <n v="2"/>
    <s v="Hoppers Crossing"/>
    <x v="2"/>
    <n v="0"/>
    <s v="S034"/>
    <x v="7"/>
    <x v="0"/>
    <x v="20"/>
    <s v="Q3, FY24"/>
  </r>
  <r>
    <n v="324195"/>
    <s v="Erin"/>
    <s v="Sidwell"/>
    <x v="0"/>
    <s v="Work in Store"/>
    <s v="Working in Store - Spotlight Hoppers Crossing"/>
    <x v="0"/>
    <d v="2024-02-27T00:00:00"/>
    <d v="2024-03-14T00:00:00"/>
    <s v="Working in Store - Spotlight Hoppers Crossing"/>
    <s v="Learning"/>
    <n v="2"/>
    <s v="Hoppers Crossing"/>
    <x v="2"/>
    <n v="0"/>
    <s v="S034"/>
    <x v="7"/>
    <x v="0"/>
    <x v="20"/>
    <s v="Q3, FY24"/>
  </r>
  <r>
    <n v="203902"/>
    <s v="Ganda"/>
    <s v="Sandjaja"/>
    <x v="2"/>
    <s v="Work in Store"/>
    <s v="Working in Store - Spotlight South Melbourne"/>
    <x v="0"/>
    <d v="2024-02-26T00:00:00"/>
    <d v="2024-04-04T00:00:00"/>
    <s v="Working in Store - Spotlight South Melbourne"/>
    <s v="Learning"/>
    <n v="1"/>
    <s v="South Melbourne"/>
    <x v="2"/>
    <n v="1"/>
    <s v="S027"/>
    <x v="13"/>
    <x v="0"/>
    <x v="19"/>
    <s v="Q4, FY24"/>
  </r>
  <r>
    <n v="232850"/>
    <s v="Chris"/>
    <s v="Berlin"/>
    <x v="1"/>
    <s v="Work in Store"/>
    <s v="Harris Scarfe Working in Stores - Spencer Outlet"/>
    <x v="0"/>
    <d v="2024-02-26T00:00:00"/>
    <d v="2024-03-12T00:00:00"/>
    <s v="Working in Store - Harris Scarfe Spencer Outlet"/>
    <s v="Learning"/>
    <n v="2"/>
    <s v="Docklands"/>
    <x v="2"/>
    <n v="0"/>
    <s v="HS2016"/>
    <x v="16"/>
    <x v="2"/>
    <x v="20"/>
    <s v="Q3, FY24"/>
  </r>
  <r>
    <n v="238720"/>
    <s v="Nikkie"/>
    <s v="Nardo"/>
    <x v="1"/>
    <s v="Work in Store"/>
    <s v="Harris Scarfe Working in Stores - Spencer Outlet"/>
    <x v="0"/>
    <d v="2024-02-26T00:00:00"/>
    <d v="2024-03-12T00:00:00"/>
    <s v="Working in Store - Harris Scarfe Spencer Outlet"/>
    <s v="Learning"/>
    <n v="2"/>
    <s v="Docklands"/>
    <x v="2"/>
    <n v="0"/>
    <s v="HS2016"/>
    <x v="16"/>
    <x v="2"/>
    <x v="20"/>
    <s v="Q3, FY24"/>
  </r>
  <r>
    <n v="238720"/>
    <s v="Nikkie"/>
    <s v="Nardo"/>
    <x v="1"/>
    <s v="Work in Store"/>
    <s v="Working in Store - Spotlight South Melbourne"/>
    <x v="0"/>
    <d v="2024-02-26T00:00:00"/>
    <d v="2024-03-12T00:00:00"/>
    <s v="Working in Store - Spotlight South Melbourne"/>
    <s v="Learning"/>
    <n v="1"/>
    <s v="South Melbourne"/>
    <x v="2"/>
    <n v="1"/>
    <s v="S027"/>
    <x v="13"/>
    <x v="0"/>
    <x v="20"/>
    <s v="Q3, FY24"/>
  </r>
  <r>
    <n v="328014"/>
    <s v="Yuan"/>
    <s v="Jiang"/>
    <x v="5"/>
    <s v="Work in Store"/>
    <s v="Working in Store - Spotlight Box Hill"/>
    <x v="0"/>
    <d v="2024-02-23T00:00:00"/>
    <d v="2024-05-17T00:00:00"/>
    <s v="Working in Store - Spotlight Box Hill"/>
    <s v="Learning"/>
    <n v="2"/>
    <s v="Box Hill"/>
    <x v="2"/>
    <n v="0"/>
    <s v="S002"/>
    <x v="17"/>
    <x v="0"/>
    <x v="18"/>
    <s v="Q4, FY24"/>
  </r>
  <r>
    <n v="240591"/>
    <s v="Escarlett"/>
    <s v="Patriarca"/>
    <x v="1"/>
    <s v="Work in Store"/>
    <s v="Working in Store - Spotlight Maribyrnong"/>
    <x v="0"/>
    <d v="2024-02-23T00:00:00"/>
    <d v="2024-03-28T00:00:00"/>
    <s v="Working in Store - Spotlight Maribyrnong"/>
    <s v="Learning"/>
    <n v="1"/>
    <s v="Maribyrnong"/>
    <x v="2"/>
    <n v="1"/>
    <s v="S010"/>
    <x v="33"/>
    <x v="0"/>
    <x v="19"/>
    <s v="Q4, FY24"/>
  </r>
  <r>
    <n v="323623"/>
    <s v="Julie"/>
    <s v="Huang"/>
    <x v="5"/>
    <s v="Work in Store"/>
    <s v="Working in Store - Spotlight Box Hill"/>
    <x v="0"/>
    <d v="2024-02-22T00:00:00"/>
    <d v="2024-05-17T00:00:00"/>
    <s v="Working in Store - Spotlight Box Hill"/>
    <s v="Learning"/>
    <n v="2"/>
    <s v="Box Hill"/>
    <x v="2"/>
    <n v="0"/>
    <s v="S002"/>
    <x v="17"/>
    <x v="0"/>
    <x v="18"/>
    <s v="Q4, FY24"/>
  </r>
  <r>
    <n v="305938"/>
    <s v="Juanita"/>
    <s v="Aguero"/>
    <x v="1"/>
    <s v="Work in Store"/>
    <s v="Anaconda Working in Stores - Bayswater"/>
    <x v="0"/>
    <d v="2024-02-20T00:00:00"/>
    <d v="2024-11-01T00:00:00"/>
    <s v="Working in Store - Anaconda Bayswater"/>
    <s v="Learning"/>
    <n v="1"/>
    <s v="Bayswater"/>
    <x v="2"/>
    <n v="1"/>
    <s v="A001"/>
    <x v="2"/>
    <x v="1"/>
    <x v="12"/>
    <s v="Q2, FY25"/>
  </r>
  <r>
    <n v="321626"/>
    <s v="Josie"/>
    <s v="Gonzalez"/>
    <x v="1"/>
    <s v="Work in Store"/>
    <s v="Harris Scarfe Working in Stores - Southland"/>
    <x v="0"/>
    <d v="2024-02-20T00:00:00"/>
    <d v="2024-07-05T00:00:00"/>
    <s v="Working in Store - Harris Scarfe Southland"/>
    <s v="Learning"/>
    <n v="1"/>
    <s v="Cheltenham"/>
    <x v="2"/>
    <n v="1"/>
    <s v="HS2025"/>
    <x v="55"/>
    <x v="2"/>
    <x v="16"/>
    <s v="Q1, FY25"/>
  </r>
  <r>
    <n v="305938"/>
    <s v="Juanita"/>
    <s v="Aguero"/>
    <x v="1"/>
    <s v="Work in Store"/>
    <s v="Working in Store - Spotlight The Glen Creative"/>
    <x v="0"/>
    <d v="2024-02-20T00:00:00"/>
    <d v="2024-06-28T00:00:00"/>
    <s v="Working in Store - Spotlight The Glen Creative"/>
    <s v="Learning"/>
    <n v="1"/>
    <s v="Glen Waverley"/>
    <x v="2"/>
    <n v="1"/>
    <s v="S159"/>
    <x v="8"/>
    <x v="0"/>
    <x v="17"/>
    <s v="Q4, FY24"/>
  </r>
  <r>
    <n v="321626"/>
    <s v="Josie"/>
    <s v="Gonzalez"/>
    <x v="1"/>
    <s v="Work in Store"/>
    <s v="Harris Scarfe Working in Stores - Fountain Gate"/>
    <x v="0"/>
    <d v="2024-02-20T00:00:00"/>
    <d v="2024-05-10T00:00:00"/>
    <s v="Working in Store - Harris Scarfe Fountain Gate"/>
    <s v="Learning"/>
    <n v="1"/>
    <s v="Fountain Gate"/>
    <x v="2"/>
    <n v="1"/>
    <s v="HS2039"/>
    <x v="54"/>
    <x v="2"/>
    <x v="18"/>
    <s v="Q4, FY24"/>
  </r>
  <r>
    <n v="299399"/>
    <s v="Haneen"/>
    <s v="Al Khamas"/>
    <x v="1"/>
    <s v="Work in Store"/>
    <s v="Harris Scarfe Working in Stores - Epping"/>
    <x v="0"/>
    <d v="2024-02-20T00:00:00"/>
    <d v="2024-02-29T00:00:00"/>
    <s v="Working in Store - Harris Scarfe Epping"/>
    <s v="Learning"/>
    <n v="1"/>
    <s v="Epping"/>
    <x v="2"/>
    <n v="1"/>
    <s v="HS2023"/>
    <x v="28"/>
    <x v="2"/>
    <x v="20"/>
    <s v="Q3, FY24"/>
  </r>
  <r>
    <n v="314295"/>
    <s v="Fi"/>
    <s v="Cassidy"/>
    <x v="5"/>
    <s v="Work in Store"/>
    <s v="Harris Scarfe Working in Stores - Knox"/>
    <x v="0"/>
    <d v="2024-02-12T00:00:00"/>
    <d v="2024-02-23T00:00:00"/>
    <s v="Working in Store - Harris Scarfe Knox"/>
    <s v="Learning"/>
    <n v="2"/>
    <s v="Wantirna South"/>
    <x v="2"/>
    <n v="0"/>
    <s v="HS2022"/>
    <x v="14"/>
    <x v="2"/>
    <x v="21"/>
    <s v="Q3, FY24"/>
  </r>
  <r>
    <n v="320135"/>
    <s v="Callia"/>
    <s v="Emory"/>
    <x v="5"/>
    <s v="Work in Store"/>
    <s v="Harris Scarfe Working in Stores - Knox"/>
    <x v="0"/>
    <d v="2024-02-12T00:00:00"/>
    <d v="2024-02-23T00:00:00"/>
    <s v="Working in Store - Harris Scarfe Knox"/>
    <s v="Learning"/>
    <n v="2"/>
    <s v="Wantirna South"/>
    <x v="2"/>
    <n v="0"/>
    <s v="HS2022"/>
    <x v="14"/>
    <x v="2"/>
    <x v="21"/>
    <s v="Q3, FY24"/>
  </r>
  <r>
    <n v="329837"/>
    <s v="Anirudh Singh"/>
    <s v="Singh"/>
    <x v="2"/>
    <s v="Work in Store"/>
    <s v="Working in Store - Spotlight Hoppers Crossing"/>
    <x v="0"/>
    <d v="2024-02-08T00:00:00"/>
    <d v="2024-03-28T00:00:00"/>
    <s v="Working in Store - Spotlight Hoppers Crossing"/>
    <s v="Learning"/>
    <n v="1"/>
    <s v="Hoppers Crossing"/>
    <x v="2"/>
    <n v="1"/>
    <s v="S034"/>
    <x v="7"/>
    <x v="0"/>
    <x v="19"/>
    <s v="Q4, FY24"/>
  </r>
  <r>
    <n v="231599"/>
    <s v="Allison"/>
    <s v="Bell"/>
    <x v="1"/>
    <s v="Work in Store"/>
    <s v="Harris Scarfe Working in Stores - Spencer Outlet"/>
    <x v="0"/>
    <d v="2024-02-08T00:00:00"/>
    <d v="2024-02-13T00:00:00"/>
    <s v="Working in Store - Harris Scarfe Spencer Outlet"/>
    <s v="Learning"/>
    <n v="1"/>
    <s v="Docklands"/>
    <x v="2"/>
    <n v="1"/>
    <s v="HS2016"/>
    <x v="16"/>
    <x v="2"/>
    <x v="21"/>
    <s v="Q3, FY24"/>
  </r>
  <r>
    <n v="313944"/>
    <s v="Renee"/>
    <s v="Freeland"/>
    <x v="5"/>
    <s v="Work in Store"/>
    <s v="Anaconda Working in Stores - Gepps Cross"/>
    <x v="0"/>
    <d v="2024-02-08T00:00:00"/>
    <d v="2024-02-12T00:00:00"/>
    <s v="Anaconda Working in Stores - Gepps Cross"/>
    <s v="Learning"/>
    <n v="1"/>
    <m/>
    <x v="2"/>
    <n v="1"/>
    <s v="A069"/>
    <x v="42"/>
    <x v="1"/>
    <x v="21"/>
    <s v="Q3, FY24"/>
  </r>
  <r>
    <n v="327314"/>
    <s v="Rachael"/>
    <s v="Mendez"/>
    <x v="1"/>
    <s v="Work in Store"/>
    <s v="Harris Scarfe Working in Stores - Tarneit"/>
    <x v="0"/>
    <d v="2024-02-07T00:00:00"/>
    <d v="2024-03-14T00:00:00"/>
    <s v="Working in Store - Harris Scarfe Tarneit"/>
    <s v="Learning"/>
    <n v="1"/>
    <s v="Tarneit"/>
    <x v="2"/>
    <n v="1"/>
    <s v="HS2048"/>
    <x v="35"/>
    <x v="2"/>
    <x v="20"/>
    <s v="Q3, FY24"/>
  </r>
  <r>
    <n v="327314"/>
    <s v="Rachael"/>
    <s v="Mendez"/>
    <x v="1"/>
    <s v="Work in Store"/>
    <s v="Working in Store - Spotlight Hoppers Crossing"/>
    <x v="0"/>
    <d v="2024-02-07T00:00:00"/>
    <d v="2024-02-29T00:00:00"/>
    <s v="Working in Store - Spotlight Hoppers Crossing"/>
    <s v="Learning"/>
    <n v="1"/>
    <s v="Hoppers Crossing"/>
    <x v="2"/>
    <n v="1"/>
    <s v="S034"/>
    <x v="7"/>
    <x v="0"/>
    <x v="20"/>
    <s v="Q3, FY24"/>
  </r>
  <r>
    <n v="321931"/>
    <s v="Charmaine"/>
    <s v="Chin"/>
    <x v="0"/>
    <s v="Work in Store"/>
    <s v="Working in Store - Spotlight The Glen Creative"/>
    <x v="0"/>
    <d v="2024-02-06T00:00:00"/>
    <d v="2024-03-22T00:00:00"/>
    <s v="Working in Store - Spotlight The Glen Creative"/>
    <s v="Learning"/>
    <n v="1"/>
    <s v="Glen Waverley"/>
    <x v="2"/>
    <n v="1"/>
    <s v="S159"/>
    <x v="8"/>
    <x v="0"/>
    <x v="20"/>
    <s v="Q3, FY24"/>
  </r>
  <r>
    <n v="235135"/>
    <s v="Penny"/>
    <s v="Robin"/>
    <x v="2"/>
    <s v="Work in Store"/>
    <s v="Working in Store - Spotlight Carnegie"/>
    <x v="0"/>
    <d v="2024-02-06T00:00:00"/>
    <d v="2024-03-21T00:00:00"/>
    <s v="Working in Store- Spotlight Cranegie"/>
    <s v="Learning"/>
    <n v="1"/>
    <s v="Carnegie"/>
    <x v="2"/>
    <n v="1"/>
    <s v="S114"/>
    <x v="5"/>
    <x v="0"/>
    <x v="20"/>
    <s v="Q3, FY24"/>
  </r>
  <r>
    <n v="325608"/>
    <s v="Drew"/>
    <s v="Wells"/>
    <x v="1"/>
    <s v="Work in Store"/>
    <s v="Harris Scarfe Working in Stores - Spencer Outlet"/>
    <x v="0"/>
    <d v="2024-02-06T00:00:00"/>
    <d v="2024-03-21T00:00:00"/>
    <s v="Working in Store - Harris Scarfe Spencer Outlet"/>
    <s v="Learning"/>
    <n v="1"/>
    <s v="Docklands"/>
    <x v="2"/>
    <n v="1"/>
    <s v="HS2016"/>
    <x v="16"/>
    <x v="2"/>
    <x v="20"/>
    <s v="Q3, FY24"/>
  </r>
  <r>
    <n v="333286"/>
    <s v="Mark"/>
    <s v="Shears"/>
    <x v="11"/>
    <s v="Work in Store"/>
    <s v="Working in Store - Spotlight South Melbourne"/>
    <x v="0"/>
    <d v="2024-02-06T00:00:00"/>
    <d v="2024-03-21T00:00:00"/>
    <s v="Working in Store - Spotlight South Melbourne"/>
    <s v="Learning"/>
    <n v="1"/>
    <s v="South Melbourne"/>
    <x v="2"/>
    <n v="1"/>
    <s v="S027"/>
    <x v="13"/>
    <x v="0"/>
    <x v="20"/>
    <s v="Q3, FY24"/>
  </r>
  <r>
    <n v="215865"/>
    <s v="Anita"/>
    <s v="Mucic"/>
    <x v="1"/>
    <s v="Work in Store"/>
    <s v="Working in Store - Spotlight Essendon"/>
    <x v="0"/>
    <d v="2024-02-06T00:00:00"/>
    <d v="2024-03-07T00:00:00"/>
    <s v="Working in Store - Spotlight Essendon"/>
    <s v="Learning"/>
    <n v="1"/>
    <s v="Strathmore"/>
    <x v="2"/>
    <n v="1"/>
    <s v="S008"/>
    <x v="11"/>
    <x v="0"/>
    <x v="20"/>
    <s v="Q3, FY24"/>
  </r>
  <r>
    <n v="318222"/>
    <s v="Gessica"/>
    <s v="Vittone Taylor"/>
    <x v="0"/>
    <s v="Work in Store"/>
    <s v="Working in Store - Spotlight South Melbourne"/>
    <x v="0"/>
    <d v="2024-02-06T00:00:00"/>
    <d v="2024-03-07T00:00:00"/>
    <s v="Working in Store - Spotlight South Melbourne"/>
    <s v="Learning"/>
    <n v="2"/>
    <s v="South Melbourne"/>
    <x v="2"/>
    <n v="0"/>
    <s v="S027"/>
    <x v="13"/>
    <x v="0"/>
    <x v="20"/>
    <s v="Q3, FY24"/>
  </r>
  <r>
    <n v="325608"/>
    <s v="Drew"/>
    <s v="Wells"/>
    <x v="1"/>
    <s v="Work in Store"/>
    <s v="Working in Store - Spotlight The Glen Creative"/>
    <x v="0"/>
    <d v="2024-02-06T00:00:00"/>
    <d v="2024-02-29T00:00:00"/>
    <s v="Working in Store - Spotlight The Glen Creative"/>
    <s v="Learning"/>
    <n v="1"/>
    <s v="Glen Waverley"/>
    <x v="2"/>
    <n v="1"/>
    <s v="S159"/>
    <x v="8"/>
    <x v="0"/>
    <x v="20"/>
    <s v="Q3, FY24"/>
  </r>
  <r>
    <n v="317899"/>
    <s v="Dean"/>
    <s v="Gerst"/>
    <x v="0"/>
    <s v="Work in Store"/>
    <s v="Working in Store - Spotlight South Melbourne"/>
    <x v="0"/>
    <d v="2024-02-06T00:00:00"/>
    <d v="2024-02-28T00:00:00"/>
    <s v="Working in Store - Spotlight South Melbourne"/>
    <s v="Learning"/>
    <n v="1"/>
    <s v="South Melbourne"/>
    <x v="2"/>
    <n v="1"/>
    <s v="S027"/>
    <x v="13"/>
    <x v="0"/>
    <x v="20"/>
    <s v="Q3, FY24"/>
  </r>
  <r>
    <n v="321931"/>
    <s v="Charmaine"/>
    <s v="Chin"/>
    <x v="0"/>
    <s v="Work in Store"/>
    <s v="Working in Store - Spotlight Box Hill"/>
    <x v="0"/>
    <d v="2024-02-06T00:00:00"/>
    <d v="2024-02-28T00:00:00"/>
    <s v="Working in Store - Spotlight Box Hill"/>
    <s v="Learning"/>
    <n v="1"/>
    <s v="Box Hill"/>
    <x v="2"/>
    <n v="1"/>
    <s v="S002"/>
    <x v="17"/>
    <x v="0"/>
    <x v="20"/>
    <s v="Q3, FY24"/>
  </r>
  <r>
    <n v="332963"/>
    <s v="Jannine"/>
    <s v="Pattison"/>
    <x v="5"/>
    <s v="Work in Store"/>
    <s v="Harris Scarfe Working in Stores - Spencer Outlet"/>
    <x v="0"/>
    <d v="2024-02-06T00:00:00"/>
    <d v="2024-02-27T00:00:00"/>
    <s v="Working in Store - Harris Scarfe Spencer Outlet"/>
    <s v="Learning"/>
    <n v="1"/>
    <s v="Docklands"/>
    <x v="2"/>
    <n v="1"/>
    <s v="HS2016"/>
    <x v="16"/>
    <x v="2"/>
    <x v="20"/>
    <s v="Q3, FY24"/>
  </r>
  <r>
    <n v="324195"/>
    <s v="Erin"/>
    <s v="Sidwell"/>
    <x v="0"/>
    <s v="Work in Store"/>
    <s v="Harris Scarfe Working in Stores - Tarneit"/>
    <x v="0"/>
    <d v="2024-02-06T00:00:00"/>
    <d v="2024-02-22T00:00:00"/>
    <s v="Working in Store - Harris Scarfe Tarneit"/>
    <s v="Learning"/>
    <n v="1"/>
    <s v="Tarneit"/>
    <x v="2"/>
    <n v="1"/>
    <s v="HS2048"/>
    <x v="35"/>
    <x v="2"/>
    <x v="21"/>
    <s v="Q3, FY24"/>
  </r>
  <r>
    <n v="333286"/>
    <s v="Mark"/>
    <s v="Shears"/>
    <x v="11"/>
    <s v="Work in Store"/>
    <s v="Anaconda Working in Stores - Hawthorn East"/>
    <x v="0"/>
    <d v="2024-02-06T00:00:00"/>
    <d v="2024-02-22T00:00:00"/>
    <s v="Working in Store - Anaconda Hawthorn East"/>
    <s v="Learning"/>
    <n v="1"/>
    <s v="Hawthorn East"/>
    <x v="2"/>
    <n v="1"/>
    <s v="A058"/>
    <x v="21"/>
    <x v="1"/>
    <x v="21"/>
    <s v="Q3, FY24"/>
  </r>
  <r>
    <n v="232850"/>
    <s v="Chris"/>
    <s v="Berlin"/>
    <x v="1"/>
    <s v="Work in Store"/>
    <s v="Harris Scarfe Working in Stores - Spencer Outlet"/>
    <x v="0"/>
    <d v="2024-02-06T00:00:00"/>
    <d v="2024-02-21T00:00:00"/>
    <s v="Working in Store - Harris Scarfe Spencer Outlet"/>
    <s v="Learning"/>
    <n v="2"/>
    <s v="Docklands"/>
    <x v="2"/>
    <n v="0"/>
    <s v="HS2016"/>
    <x v="16"/>
    <x v="2"/>
    <x v="21"/>
    <s v="Q3, FY24"/>
  </r>
  <r>
    <n v="238720"/>
    <s v="Nikkie"/>
    <s v="Nardo"/>
    <x v="1"/>
    <s v="Work in Store"/>
    <s v="Harris Scarfe Working in Stores - Spencer Outlet"/>
    <x v="0"/>
    <d v="2024-02-06T00:00:00"/>
    <d v="2024-02-21T00:00:00"/>
    <s v="Working in Store - Harris Scarfe Spencer Outlet"/>
    <s v="Learning"/>
    <n v="2"/>
    <s v="Docklands"/>
    <x v="2"/>
    <n v="0"/>
    <s v="HS2016"/>
    <x v="16"/>
    <x v="2"/>
    <x v="21"/>
    <s v="Q3, FY24"/>
  </r>
  <r>
    <n v="325030"/>
    <s v="Tarryn"/>
    <s v="Eddy"/>
    <x v="5"/>
    <s v="Work in Store"/>
    <s v="Harris Scarfe Working in Store - Chirnside Park"/>
    <x v="0"/>
    <d v="2024-01-31T00:00:00"/>
    <d v="2024-06-13T00:00:00"/>
    <s v="Working in Store - Harris Scarfe Chirnside Park"/>
    <s v="Learning"/>
    <n v="1"/>
    <s v="Melbourne"/>
    <x v="2"/>
    <n v="1"/>
    <s v="HS2054"/>
    <x v="25"/>
    <x v="2"/>
    <x v="17"/>
    <s v="Q4, FY24"/>
  </r>
  <r>
    <n v="328927"/>
    <s v="Lucy"/>
    <s v="Lu"/>
    <x v="5"/>
    <s v="Work in Store"/>
    <s v="Anaconda Working in Stores - Springvale"/>
    <x v="0"/>
    <d v="2024-01-30T00:00:00"/>
    <d v="2024-03-22T00:00:00"/>
    <s v="Working in Store - Anaconda Springvale"/>
    <s v="Learning"/>
    <n v="1"/>
    <s v="Springvale"/>
    <x v="2"/>
    <n v="1"/>
    <s v="A026"/>
    <x v="3"/>
    <x v="1"/>
    <x v="20"/>
    <s v="Q3, FY24"/>
  </r>
  <r>
    <n v="321839"/>
    <s v="Harveen"/>
    <s v="Puri"/>
    <x v="0"/>
    <s v="Work in Store"/>
    <s v="Harris Scarfe Working in Stores - Forest Hill"/>
    <x v="0"/>
    <d v="2024-01-30T00:00:00"/>
    <d v="2024-03-01T00:00:00"/>
    <s v="Working in Store - Harris Scarfe Forest Hill"/>
    <s v="Learning"/>
    <n v="1"/>
    <s v="Forest Hill"/>
    <x v="2"/>
    <n v="1"/>
    <s v="HS2020"/>
    <x v="44"/>
    <x v="2"/>
    <x v="20"/>
    <s v="Q3, FY24"/>
  </r>
  <r>
    <n v="321433"/>
    <s v="Bec"/>
    <s v="Luong"/>
    <x v="0"/>
    <s v="Work in Store"/>
    <s v="Working in Store - Spotlight Carnegie"/>
    <x v="0"/>
    <d v="2024-01-29T00:00:00"/>
    <d v="2024-03-13T00:00:00"/>
    <s v="Working in Store- Spotlight Cranegie"/>
    <s v="Learning"/>
    <n v="1"/>
    <s v="Carnegie"/>
    <x v="2"/>
    <n v="1"/>
    <s v="S114"/>
    <x v="5"/>
    <x v="0"/>
    <x v="20"/>
    <s v="Q3, FY24"/>
  </r>
  <r>
    <n v="323285"/>
    <s v="Gaurav"/>
    <s v="Bhat"/>
    <x v="2"/>
    <s v="Work in Store"/>
    <s v="Anaconda Working in Stores - Hawthorn East"/>
    <x v="0"/>
    <d v="2024-01-29T00:00:00"/>
    <d v="2024-03-12T00:00:00"/>
    <s v="Working in Store - Anaconda Hawthorn East"/>
    <s v="Learning"/>
    <n v="1"/>
    <s v="Hawthorn East"/>
    <x v="2"/>
    <n v="1"/>
    <s v="A058"/>
    <x v="21"/>
    <x v="1"/>
    <x v="20"/>
    <s v="Q3, FY24"/>
  </r>
  <r>
    <n v="317967"/>
    <s v="Katie"/>
    <s v="Van Leeuwen"/>
    <x v="0"/>
    <s v="Work in Store"/>
    <s v="Harris Scarfe Working in Stores - Airport West"/>
    <x v="0"/>
    <d v="2024-01-22T00:00:00"/>
    <d v="2024-04-18T00:00:00"/>
    <s v="Working in Store - Harris Scarfe Airport West"/>
    <s v="Learning"/>
    <n v="1"/>
    <s v="Airport West"/>
    <x v="2"/>
    <n v="1"/>
    <s v="HS2027"/>
    <x v="24"/>
    <x v="2"/>
    <x v="19"/>
    <s v="Q4, FY24"/>
  </r>
  <r>
    <n v="231957"/>
    <s v="Kevin"/>
    <s v="Huynh"/>
    <x v="2"/>
    <s v="Work in Store"/>
    <s v="Harris Scarfe Working in Store - Highpoint"/>
    <x v="0"/>
    <d v="2024-01-16T00:00:00"/>
    <d v="2024-03-07T00:00:00"/>
    <s v="Working in Store - Harris Scarfe Highpoint"/>
    <s v="Learning"/>
    <n v="2"/>
    <s v="Maribyrnong"/>
    <x v="2"/>
    <n v="0"/>
    <s v="HS2024"/>
    <x v="10"/>
    <x v="2"/>
    <x v="20"/>
    <s v="Q3, FY24"/>
  </r>
  <r>
    <n v="240305"/>
    <s v="Ansley"/>
    <s v="Lam"/>
    <x v="2"/>
    <s v="Work in Store"/>
    <s v="Harris Scarfe Working in Store - Highpoint"/>
    <x v="0"/>
    <d v="2024-01-16T00:00:00"/>
    <d v="2024-03-07T00:00:00"/>
    <s v="Working in Store - Harris Scarfe Highpoint"/>
    <s v="Learning"/>
    <n v="2"/>
    <s v="Maribyrnong"/>
    <x v="2"/>
    <n v="0"/>
    <s v="HS2024"/>
    <x v="10"/>
    <x v="2"/>
    <x v="20"/>
    <s v="Q3, FY24"/>
  </r>
  <r>
    <n v="312878"/>
    <s v="Shaistha"/>
    <s v="Begum"/>
    <x v="2"/>
    <s v="Work in Store"/>
    <s v="Working in Store - Spotlight Essendon"/>
    <x v="0"/>
    <d v="2024-01-16T00:00:00"/>
    <d v="2024-02-08T00:00:00"/>
    <s v="Working in Store - Spotlight Essendon"/>
    <s v="Learning"/>
    <n v="1"/>
    <s v="Strathmore"/>
    <x v="2"/>
    <n v="1"/>
    <s v="S008"/>
    <x v="11"/>
    <x v="0"/>
    <x v="21"/>
    <s v="Q3, FY24"/>
  </r>
  <r>
    <n v="329250"/>
    <s v="Mohit"/>
    <s v="Sharma"/>
    <x v="2"/>
    <s v="Work in Store"/>
    <s v="Working in Store - Spotlight Roxburgh Park"/>
    <x v="0"/>
    <d v="2024-01-16T00:00:00"/>
    <d v="2024-01-25T00:00:00"/>
    <s v="Working in Store - Spotlight Roxburgh Park"/>
    <s v="Learning"/>
    <n v="1"/>
    <s v="Roxburgh Park"/>
    <x v="2"/>
    <n v="1"/>
    <s v="S145"/>
    <x v="1"/>
    <x v="0"/>
    <x v="21"/>
    <s v="Q3, FY24"/>
  </r>
  <r>
    <n v="230701"/>
    <s v="Vijay"/>
    <s v="Shanbhag"/>
    <x v="2"/>
    <s v="Work in Store"/>
    <s v="Harris Scarfe Working in Stores - Spencer Outlet"/>
    <x v="0"/>
    <d v="2024-01-15T00:00:00"/>
    <d v="2024-02-29T00:00:00"/>
    <s v="Working in Store - Harris Scarfe Spencer Outlet"/>
    <s v="Learning"/>
    <n v="1"/>
    <s v="Docklands"/>
    <x v="2"/>
    <n v="1"/>
    <s v="HS2016"/>
    <x v="16"/>
    <x v="2"/>
    <x v="20"/>
    <s v="Q3, FY24"/>
  </r>
  <r>
    <n v="323134"/>
    <s v="Harsimar"/>
    <s v="Kaur"/>
    <x v="2"/>
    <s v="Work in Store"/>
    <s v="Anaconda Working in Stores - Narre Warren"/>
    <x v="0"/>
    <d v="2024-01-08T00:00:00"/>
    <d v="2024-03-26T00:00:00"/>
    <s v="Working in Store - Anaconda Narre Warren"/>
    <s v="Learning"/>
    <n v="1"/>
    <s v="Fountain Gate"/>
    <x v="2"/>
    <n v="1"/>
    <s v="A017"/>
    <x v="37"/>
    <x v="1"/>
    <x v="19"/>
    <s v="Q4, FY24"/>
  </r>
  <r>
    <n v="325420"/>
    <s v="Thida"/>
    <s v="Zaw"/>
    <x v="2"/>
    <s v="Work in Store"/>
    <s v="Harris Scarfe Working in Stores - Spencer Outlet"/>
    <x v="0"/>
    <d v="2024-01-08T00:00:00"/>
    <d v="2024-02-22T00:00:00"/>
    <s v="Working in Store - Harris Scarfe Spencer Outlet"/>
    <s v="Learning"/>
    <n v="1"/>
    <s v="Docklands"/>
    <x v="2"/>
    <n v="1"/>
    <s v="HS2016"/>
    <x v="16"/>
    <x v="2"/>
    <x v="21"/>
    <s v="Q3, FY24"/>
  </r>
  <r>
    <n v="298668"/>
    <s v="Michael"/>
    <s v="Johnson"/>
    <x v="3"/>
    <s v="Work in Store"/>
    <s v="Harris Scarfe Working in Store - Marion"/>
    <x v="0"/>
    <d v="2023-12-15T00:00:00"/>
    <d v="2023-12-19T00:00:00"/>
    <s v="Harris Scarfe Working in Store - Marion"/>
    <s v="Learning"/>
    <n v="1"/>
    <m/>
    <x v="2"/>
    <n v="1"/>
    <s v="HS1011"/>
    <x v="45"/>
    <x v="2"/>
    <x v="22"/>
    <s v="Q2, FY24"/>
  </r>
  <r>
    <n v="235153"/>
    <s v="Mark"/>
    <s v="Garvey"/>
    <x v="7"/>
    <s v="Work in Store"/>
    <s v="Anaconda Working in Stores - Maribyrnong"/>
    <x v="0"/>
    <d v="2023-12-14T00:00:00"/>
    <d v="2023-12-15T00:00:00"/>
    <s v="Working in Store - Anaconda Maribyrnong"/>
    <s v="Learning"/>
    <n v="1"/>
    <s v="Maribyrnong"/>
    <x v="2"/>
    <n v="1"/>
    <s v="A042"/>
    <x v="32"/>
    <x v="1"/>
    <x v="22"/>
    <s v="Q2, FY24"/>
  </r>
  <r>
    <n v="330636"/>
    <s v="Yusra"/>
    <s v="Tariq"/>
    <x v="7"/>
    <s v="Work in Store"/>
    <s v="Anaconda Working in Stores - Hoppers Crossing"/>
    <x v="0"/>
    <d v="2023-12-11T00:00:00"/>
    <d v="2023-12-15T00:00:00"/>
    <s v="Working in Store - Anaconda Hoppers Crossing"/>
    <s v="Learning"/>
    <n v="2"/>
    <s v="Hoppers Crossing"/>
    <x v="2"/>
    <n v="0"/>
    <s v="A030"/>
    <x v="39"/>
    <x v="1"/>
    <x v="22"/>
    <s v="Q2, FY24"/>
  </r>
  <r>
    <n v="309806"/>
    <s v="Peter"/>
    <s v="Ristevski"/>
    <x v="7"/>
    <s v="Work in Store"/>
    <s v="Anaconda Working in Stores - Watergardens"/>
    <x v="0"/>
    <d v="2023-12-06T00:00:00"/>
    <d v="2023-12-12T00:00:00"/>
    <s v="Working in Store - Anaconda Watergardens"/>
    <s v="Learning"/>
    <n v="1"/>
    <s v="Taylors Lake"/>
    <x v="2"/>
    <n v="1"/>
    <s v="A040"/>
    <x v="6"/>
    <x v="1"/>
    <x v="22"/>
    <s v="Q2, FY24"/>
  </r>
  <r>
    <n v="326813"/>
    <s v="Luke"/>
    <s v="Mccredden"/>
    <x v="7"/>
    <s v="Work in Store"/>
    <s v="Anaconda Working in Stores - Geelong"/>
    <x v="0"/>
    <d v="2023-12-06T00:00:00"/>
    <d v="2023-12-12T00:00:00"/>
    <s v="Working in Store - Anaconda Geelong"/>
    <s v="Learning"/>
    <n v="2"/>
    <s v="Geelong"/>
    <x v="2"/>
    <n v="0"/>
    <s v="A009"/>
    <x v="46"/>
    <x v="1"/>
    <x v="22"/>
    <s v="Q2, FY24"/>
  </r>
  <r>
    <n v="308787"/>
    <s v="Brad"/>
    <s v="Sullivan"/>
    <x v="7"/>
    <s v="Work in Store"/>
    <s v="Anaconda Working in Stores - Epping"/>
    <x v="0"/>
    <d v="2023-12-05T00:00:00"/>
    <d v="2023-12-13T00:00:00"/>
    <s v="Working in Store - Anaconda Epping"/>
    <s v="Learning"/>
    <n v="1"/>
    <s v="Epping"/>
    <x v="2"/>
    <n v="1"/>
    <s v="A052"/>
    <x v="27"/>
    <x v="1"/>
    <x v="22"/>
    <s v="Q2, FY24"/>
  </r>
  <r>
    <n v="329419"/>
    <s v="Carol"/>
    <s v="Donald"/>
    <x v="5"/>
    <s v="Work in Store"/>
    <s v="Harris Scarfe Working in Stores - Airport West"/>
    <x v="0"/>
    <d v="2023-11-21T00:00:00"/>
    <d v="2023-12-15T00:00:00"/>
    <s v="Working in Store - Harris Scarfe Airport West"/>
    <s v="Learning"/>
    <n v="1"/>
    <s v="Airport West"/>
    <x v="2"/>
    <n v="1"/>
    <s v="HS2027"/>
    <x v="24"/>
    <x v="2"/>
    <x v="22"/>
    <s v="Q2, FY24"/>
  </r>
  <r>
    <n v="323122"/>
    <s v="Ben"/>
    <s v="Fisher"/>
    <x v="7"/>
    <s v="Work in Store"/>
    <s v="Anaconda Working in Stores - Bayswater"/>
    <x v="0"/>
    <d v="2023-11-20T00:00:00"/>
    <d v="2023-12-14T00:00:00"/>
    <s v="Working in Store - Anaconda Bayswater"/>
    <s v="Learning"/>
    <n v="1"/>
    <s v="Bayswater"/>
    <x v="2"/>
    <n v="1"/>
    <s v="A001"/>
    <x v="2"/>
    <x v="1"/>
    <x v="22"/>
    <s v="Q2, FY24"/>
  </r>
  <r>
    <n v="325839"/>
    <s v="Kelley"/>
    <s v="Brydon"/>
    <x v="6"/>
    <s v="Work in Store"/>
    <s v="Anaconda Working in Stores - Geelong"/>
    <x v="0"/>
    <d v="2023-11-20T00:00:00"/>
    <d v="2023-12-12T00:00:00"/>
    <s v="Working in Store - Anaconda Geelong"/>
    <s v="Learning"/>
    <n v="2"/>
    <s v="Geelong"/>
    <x v="2"/>
    <n v="0"/>
    <s v="A009"/>
    <x v="46"/>
    <x v="1"/>
    <x v="22"/>
    <s v="Q2, FY24"/>
  </r>
  <r>
    <n v="331737"/>
    <s v="Sean"/>
    <s v="Le Hunt"/>
    <x v="7"/>
    <s v="Work in Store"/>
    <s v="Anaconda Working in Stores - Bayswater"/>
    <x v="0"/>
    <d v="2023-11-20T00:00:00"/>
    <d v="2023-12-08T00:00:00"/>
    <s v="Working in Store - Anaconda Bayswater"/>
    <s v="Learning"/>
    <n v="1"/>
    <s v="Bayswater"/>
    <x v="2"/>
    <n v="1"/>
    <s v="A001"/>
    <x v="2"/>
    <x v="1"/>
    <x v="22"/>
    <s v="Q2, FY24"/>
  </r>
  <r>
    <n v="314778"/>
    <s v="Gabrielle"/>
    <s v="Xu"/>
    <x v="5"/>
    <s v="Work in Store"/>
    <s v="Working in Store - Spotlight Box Hill"/>
    <x v="0"/>
    <d v="2023-11-20T00:00:00"/>
    <d v="2023-11-29T00:00:00"/>
    <s v="Working in Store - Spotlight Box Hill"/>
    <s v="Learning"/>
    <n v="1"/>
    <s v="Box Hill"/>
    <x v="2"/>
    <n v="1"/>
    <s v="S002"/>
    <x v="17"/>
    <x v="0"/>
    <x v="22"/>
    <s v="Q2, FY24"/>
  </r>
  <r>
    <n v="317485"/>
    <s v="Dylan"/>
    <s v="Fichera"/>
    <x v="7"/>
    <s v="Work in Store"/>
    <s v="Anaconda Working in Stores - Watergardens"/>
    <x v="0"/>
    <d v="2023-11-13T00:00:00"/>
    <d v="2023-12-01T00:00:00"/>
    <s v="Working in Store - Anaconda Watergardens"/>
    <s v="Learning"/>
    <n v="1"/>
    <s v="Taylors Lake"/>
    <x v="2"/>
    <n v="1"/>
    <s v="A040"/>
    <x v="6"/>
    <x v="1"/>
    <x v="22"/>
    <s v="Q2, FY24"/>
  </r>
  <r>
    <n v="229776"/>
    <s v="Chuin"/>
    <s v="Lee"/>
    <x v="2"/>
    <s v="Work in Store"/>
    <s v="Exemption - Working in Store 2023"/>
    <x v="0"/>
    <d v="2023-11-03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2133"/>
    <s v="Nikita"/>
    <s v="Shah"/>
    <x v="2"/>
    <s v="Work in Store"/>
    <s v="Harris Scarfe Working in Stores - Tarneit"/>
    <x v="0"/>
    <d v="2023-10-30T00:00:00"/>
    <d v="2023-11-08T00:00:00"/>
    <s v="Working in Store - Harris Scarfe Tarneit"/>
    <s v="Learning"/>
    <n v="1"/>
    <s v="Tarneit"/>
    <x v="2"/>
    <n v="1"/>
    <s v="HS2048"/>
    <x v="35"/>
    <x v="2"/>
    <x v="24"/>
    <s v="Q2, FY24"/>
  </r>
  <r>
    <n v="314085"/>
    <s v="Sumitha"/>
    <s v="Johnsilas"/>
    <x v="3"/>
    <s v="Work in Store"/>
    <s v="Working in Store - Spotlight Sandown"/>
    <x v="0"/>
    <d v="2023-10-27T00:00:00"/>
    <d v="2023-11-14T00:00:00"/>
    <s v="Working in Store - Spotlight Sandown"/>
    <s v="Learning"/>
    <n v="1"/>
    <s v="SPRINGVALE"/>
    <x v="2"/>
    <n v="1"/>
    <s v="S005"/>
    <x v="31"/>
    <x v="0"/>
    <x v="24"/>
    <s v="Q2, FY24"/>
  </r>
  <r>
    <n v="324696"/>
    <s v="Ailen"/>
    <s v="Collado"/>
    <x v="2"/>
    <s v="Work in Store"/>
    <s v="Working in Store - Spotlight Campbelltown"/>
    <x v="0"/>
    <d v="2023-10-27T00:00:00"/>
    <d v="2023-11-08T00:00:00"/>
    <s v="Working in Store - Spotlight Campbelltown"/>
    <s v="Learning"/>
    <n v="1"/>
    <s v="Campbelltown"/>
    <x v="2"/>
    <n v="0"/>
    <s v="S037"/>
    <x v="56"/>
    <x v="0"/>
    <x v="24"/>
    <s v="Q2, FY24"/>
  </r>
  <r>
    <n v="235809"/>
    <s v="Kerri"/>
    <s v="Rickards"/>
    <x v="7"/>
    <s v="Work in Store"/>
    <s v="Anaconda Working in Stores - Hoppers Crossing"/>
    <x v="0"/>
    <d v="2023-10-26T00:00:00"/>
    <d v="2023-12-15T00:00:00"/>
    <s v="Working in Store - Anaconda Hoppers Crossing"/>
    <s v="Learning"/>
    <n v="2"/>
    <s v="Hoppers Crossing"/>
    <x v="2"/>
    <n v="0"/>
    <s v="A030"/>
    <x v="39"/>
    <x v="1"/>
    <x v="22"/>
    <s v="Q2, FY24"/>
  </r>
  <r>
    <n v="324114"/>
    <s v="Jeremy"/>
    <s v="Gaffney"/>
    <x v="4"/>
    <s v="Work in Store"/>
    <s v="Anaconda Working in Stores - Narre Warren"/>
    <x v="0"/>
    <d v="2023-10-25T00:00:00"/>
    <d v="2023-11-10T00:00:00"/>
    <s v="Working in Store - Anaconda Narre Warren"/>
    <s v="Learning"/>
    <n v="1"/>
    <s v="Fountain Gate"/>
    <x v="2"/>
    <n v="1"/>
    <s v="A017"/>
    <x v="37"/>
    <x v="1"/>
    <x v="24"/>
    <s v="Q2, FY24"/>
  </r>
  <r>
    <n v="323041"/>
    <s v="Saif"/>
    <s v="Kallayi Valappil Ibrahim"/>
    <x v="2"/>
    <s v="Work in Store"/>
    <s v="Anaconda Working in Stores - Hoppers Crossing"/>
    <x v="0"/>
    <d v="2023-10-24T00:00:00"/>
    <d v="2023-10-27T00:00:00"/>
    <s v="Working in Store - Anaconda Hoppers Crossing"/>
    <s v="Learning"/>
    <n v="1"/>
    <s v="Hoppers Crossing"/>
    <x v="2"/>
    <n v="1"/>
    <s v="A030"/>
    <x v="39"/>
    <x v="1"/>
    <x v="24"/>
    <s v="Q2, FY24"/>
  </r>
  <r>
    <n v="238998"/>
    <s v="Missy"/>
    <s v="Seymour"/>
    <x v="7"/>
    <s v="Work in Store"/>
    <s v="Anaconda Working in Stores - Albury"/>
    <x v="0"/>
    <d v="2023-10-23T00:00:00"/>
    <d v="2023-12-07T00:00:00"/>
    <s v="Working in Store - Anaconda Albury"/>
    <s v="Learning"/>
    <n v="1"/>
    <s v="Albury"/>
    <x v="2"/>
    <n v="1"/>
    <s v="A050"/>
    <x v="48"/>
    <x v="1"/>
    <x v="22"/>
    <s v="Q2, FY24"/>
  </r>
  <r>
    <n v="329907"/>
    <s v="Maleka"/>
    <s v="Henderson"/>
    <x v="0"/>
    <s v="Work in Store"/>
    <s v="Harris Scarfe Working in Stores - Southland"/>
    <x v="0"/>
    <d v="2023-10-23T00:00:00"/>
    <d v="2023-11-02T00:00:00"/>
    <s v="Working in Store - Harris Scarfe Southland"/>
    <s v="Learning"/>
    <n v="1"/>
    <s v="Cheltenham"/>
    <x v="2"/>
    <n v="1"/>
    <s v="HS2025"/>
    <x v="55"/>
    <x v="2"/>
    <x v="24"/>
    <s v="Q2, FY24"/>
  </r>
  <r>
    <n v="312091"/>
    <s v="Adam Roberts"/>
    <s v="Roberts"/>
    <x v="0"/>
    <s v="Work in Store"/>
    <s v="Harris Scarfe Working in Store - Chirnside Park"/>
    <x v="0"/>
    <d v="2023-10-19T00:00:00"/>
    <d v="2023-12-08T00:00:00"/>
    <s v="Working in Store - Harris Scarfe Chirnside Park"/>
    <s v="Learning"/>
    <n v="1"/>
    <s v="Melbourne"/>
    <x v="2"/>
    <n v="1"/>
    <s v="HS2054"/>
    <x v="25"/>
    <x v="2"/>
    <x v="22"/>
    <s v="Q2, FY24"/>
  </r>
  <r>
    <n v="324368"/>
    <s v="Mads"/>
    <s v="Knight"/>
    <x v="7"/>
    <s v="Work in Store"/>
    <s v="Anaconda Working in Stores - Hawthorn East"/>
    <x v="0"/>
    <d v="2023-10-19T00:00:00"/>
    <d v="2023-12-08T00:00:00"/>
    <s v="Working in Store - Anaconda Hawthorn East"/>
    <s v="Learning"/>
    <n v="1"/>
    <s v="Hawthorn East"/>
    <x v="2"/>
    <n v="1"/>
    <s v="A058"/>
    <x v="21"/>
    <x v="1"/>
    <x v="22"/>
    <s v="Q2, FY24"/>
  </r>
  <r>
    <n v="323983"/>
    <s v="Nathan"/>
    <s v="Cook"/>
    <x v="0"/>
    <s v="Work in Store"/>
    <s v="Harris Scarfe Working in Stores - Spencer Outlet"/>
    <x v="0"/>
    <d v="2023-10-19T00:00:00"/>
    <d v="2023-11-01T00:00:00"/>
    <s v="Working in Store - Harris Scarfe Spencer Outlet"/>
    <s v="Learning"/>
    <n v="2"/>
    <s v="Docklands"/>
    <x v="2"/>
    <n v="0"/>
    <s v="HS2016"/>
    <x v="16"/>
    <x v="2"/>
    <x v="24"/>
    <s v="Q2, FY24"/>
  </r>
  <r>
    <n v="239177"/>
    <s v="Aaron"/>
    <s v="Muscara"/>
    <x v="0"/>
    <s v="Work in Store"/>
    <s v="Anaconda Working in Stores - Epping"/>
    <x v="0"/>
    <d v="2023-10-18T00:00:00"/>
    <d v="2023-12-15T00:00:00"/>
    <s v="Working in Store - Anaconda Epping"/>
    <s v="Learning"/>
    <n v="1"/>
    <s v="Epping"/>
    <x v="2"/>
    <n v="1"/>
    <s v="A052"/>
    <x v="27"/>
    <x v="1"/>
    <x v="22"/>
    <s v="Q2, FY24"/>
  </r>
  <r>
    <n v="321421"/>
    <s v="May"/>
    <s v="Lam"/>
    <x v="0"/>
    <s v="Work in Store"/>
    <s v="Working in Store - Spotlight Preston"/>
    <x v="0"/>
    <d v="2023-10-18T00:00:00"/>
    <d v="2023-11-14T00:00:00"/>
    <s v="Working in Store - Spotlight Preston"/>
    <s v="Learning"/>
    <n v="1"/>
    <s v="Preston"/>
    <x v="2"/>
    <n v="1"/>
    <s v="S120"/>
    <x v="57"/>
    <x v="0"/>
    <x v="24"/>
    <s v="Q2, FY24"/>
  </r>
  <r>
    <n v="305409"/>
    <s v="Jose"/>
    <s v="Rivera Cordoba"/>
    <x v="2"/>
    <s v="Work in Store"/>
    <s v="Anaconda Working in Stores - Watergardens"/>
    <x v="0"/>
    <d v="2023-10-18T00:00:00"/>
    <d v="2023-11-02T00:00:00"/>
    <s v="Working in Store - Anaconda Watergardens"/>
    <s v="Learning"/>
    <n v="1"/>
    <s v="Taylors Lake"/>
    <x v="2"/>
    <n v="1"/>
    <s v="A040"/>
    <x v="6"/>
    <x v="1"/>
    <x v="24"/>
    <s v="Q2, FY24"/>
  </r>
  <r>
    <n v="330852"/>
    <s v="Gerard"/>
    <s v="Wilkie"/>
    <x v="0"/>
    <s v="Work in Store"/>
    <s v="Anaconda Working in Stores - Hawthorn East"/>
    <x v="0"/>
    <d v="2023-10-18T00:00:00"/>
    <d v="2023-10-26T00:00:00"/>
    <s v="Working in Store - Anaconda Hawthorn East"/>
    <s v="Learning"/>
    <n v="1"/>
    <s v="Hawthorn East"/>
    <x v="2"/>
    <n v="1"/>
    <s v="A058"/>
    <x v="21"/>
    <x v="1"/>
    <x v="24"/>
    <s v="Q2, FY24"/>
  </r>
  <r>
    <n v="329993"/>
    <s v="Tatiana"/>
    <s v="Ko"/>
    <x v="0"/>
    <s v="Work in Store"/>
    <s v="Harris Scarfe Working in Stores - Spencer Outlet"/>
    <x v="0"/>
    <d v="2023-10-18T00:00:00"/>
    <d v="2023-10-25T00:00:00"/>
    <s v="Working in Store - Harris Scarfe Spencer Outlet"/>
    <s v="Learning"/>
    <n v="1"/>
    <s v="Docklands"/>
    <x v="2"/>
    <n v="1"/>
    <s v="HS2016"/>
    <x v="16"/>
    <x v="2"/>
    <x v="24"/>
    <s v="Q2, FY24"/>
  </r>
  <r>
    <n v="297887"/>
    <s v="Manel"/>
    <s v="David"/>
    <x v="0"/>
    <s v="Work in Store"/>
    <s v="Harris Scarfe Working in Store - Bairnsdale"/>
    <x v="0"/>
    <d v="2023-10-17T00:00:00"/>
    <d v="2023-11-02T00:00:00"/>
    <s v="Working in Store - Harris Scarfe Bairnsdale"/>
    <s v="Learning"/>
    <n v="1"/>
    <m/>
    <x v="2"/>
    <n v="1"/>
    <s v="HS2059"/>
    <x v="58"/>
    <x v="2"/>
    <x v="24"/>
    <s v="Q2, FY24"/>
  </r>
  <r>
    <n v="312818"/>
    <s v="Michael"/>
    <s v="Girardi"/>
    <x v="0"/>
    <s v="Work in Store"/>
    <s v="Harris Scarfe Working in Stores - Spencer Outlet"/>
    <x v="0"/>
    <d v="2023-10-13T00:00:00"/>
    <d v="2023-10-18T00:00:00"/>
    <s v="Working in Store - Harris Scarfe Spencer Outlet"/>
    <s v="Learning"/>
    <n v="1"/>
    <s v="Docklands"/>
    <x v="2"/>
    <n v="1"/>
    <s v="HS2016"/>
    <x v="16"/>
    <x v="2"/>
    <x v="25"/>
    <s v="Q2, FY24"/>
  </r>
  <r>
    <n v="330054"/>
    <s v="Afnan"/>
    <s v="Idrees"/>
    <x v="0"/>
    <s v="Work in Store"/>
    <s v="Anaconda Working in Stores - Maribyrnong"/>
    <x v="0"/>
    <d v="2023-10-12T00:00:00"/>
    <d v="2023-11-01T00:00:00"/>
    <s v="Working in Store - Anaconda Maribyrnong"/>
    <s v="Learning"/>
    <n v="1"/>
    <s v="Maribyrnong"/>
    <x v="2"/>
    <n v="1"/>
    <s v="A042"/>
    <x v="32"/>
    <x v="1"/>
    <x v="24"/>
    <s v="Q2, FY24"/>
  </r>
  <r>
    <n v="323285"/>
    <s v="Gaurav"/>
    <s v="Bhat"/>
    <x v="2"/>
    <s v="Work in Store"/>
    <s v="Working in Store - Spotlight Carnegie"/>
    <x v="0"/>
    <d v="2023-10-11T00:00:00"/>
    <d v="2023-11-09T00:00:00"/>
    <s v="Working in Store- Spotlight Cranegie"/>
    <s v="Learning"/>
    <n v="1"/>
    <s v="Carnegie"/>
    <x v="2"/>
    <n v="1"/>
    <s v="S114"/>
    <x v="5"/>
    <x v="0"/>
    <x v="24"/>
    <s v="Q2, FY24"/>
  </r>
  <r>
    <n v="312259"/>
    <s v="Sonal"/>
    <s v="Bhatia"/>
    <x v="2"/>
    <s v="Work in Store"/>
    <s v="Anaconda Working in Stores - Hawthorn East"/>
    <x v="0"/>
    <d v="2023-10-11T00:00:00"/>
    <d v="2023-10-27T00:00:00"/>
    <s v="Working in Store - Anaconda Hawthorn East"/>
    <s v="Learning"/>
    <n v="1"/>
    <s v="Hawthorn East"/>
    <x v="2"/>
    <n v="1"/>
    <s v="A058"/>
    <x v="21"/>
    <x v="1"/>
    <x v="24"/>
    <s v="Q2, FY24"/>
  </r>
  <r>
    <n v="239239"/>
    <s v="Avi"/>
    <s v="Gilboa"/>
    <x v="10"/>
    <s v="Work in Store"/>
    <s v="Anaconda Working in Stores - Hawthorn East"/>
    <x v="0"/>
    <d v="2023-10-10T00:00:00"/>
    <d v="2023-12-12T00:00:00"/>
    <s v="Working in Store - Anaconda Hawthorn East"/>
    <s v="Learning"/>
    <n v="1"/>
    <s v="Hawthorn East"/>
    <x v="2"/>
    <n v="1"/>
    <s v="A058"/>
    <x v="21"/>
    <x v="1"/>
    <x v="22"/>
    <s v="Q2, FY24"/>
  </r>
  <r>
    <n v="329850"/>
    <s v="Sheldon"/>
    <s v="Phulpagar"/>
    <x v="0"/>
    <s v="Work in Store"/>
    <s v="Harris Scarfe Working in Stores - Spencer Outlet"/>
    <x v="0"/>
    <d v="2023-10-10T00:00:00"/>
    <d v="2023-11-09T00:00:00"/>
    <s v="Working in Store - Harris Scarfe Spencer Outlet"/>
    <s v="Learning"/>
    <n v="1"/>
    <s v="Docklands"/>
    <x v="2"/>
    <n v="1"/>
    <s v="HS2016"/>
    <x v="16"/>
    <x v="2"/>
    <x v="24"/>
    <s v="Q2, FY24"/>
  </r>
  <r>
    <n v="326463"/>
    <s v="Ash"/>
    <s v="Bhandari"/>
    <x v="5"/>
    <s v="Work in Store"/>
    <s v="Working in Store - Spotlight Hoppers Crossing"/>
    <x v="0"/>
    <d v="2023-10-09T00:00:00"/>
    <d v="2023-10-20T00:00:00"/>
    <s v="Working in Store - Spotlight Hoppers Crossing"/>
    <s v="Learning"/>
    <n v="1"/>
    <s v="Hoppers Crossing"/>
    <x v="2"/>
    <n v="1"/>
    <s v="S034"/>
    <x v="7"/>
    <x v="0"/>
    <x v="25"/>
    <s v="Q2, FY24"/>
  </r>
  <r>
    <s v="HS331409"/>
    <s v="Marlene"/>
    <s v="Najem"/>
    <x v="9"/>
    <s v="Work in Store"/>
    <s v="Harris Scarfe Working in Store - Highpoint"/>
    <x v="0"/>
    <d v="2023-10-09T00:00:00"/>
    <d v="2023-10-20T00:00:00"/>
    <s v="Working in Store - Harris Scarfe Highpoint"/>
    <s v="Learning"/>
    <n v="1"/>
    <s v="Maribyrnong"/>
    <x v="3"/>
    <n v="1"/>
    <s v="HS2024"/>
    <x v="10"/>
    <x v="2"/>
    <x v="25"/>
    <s v="Q2, FY24"/>
  </r>
  <r>
    <n v="328239"/>
    <s v="Sue"/>
    <s v="Kropik"/>
    <x v="5"/>
    <s v="Work in Store"/>
    <s v="Anaconda Working in Stores - Hoppers Crossing"/>
    <x v="0"/>
    <d v="2023-10-05T00:00:00"/>
    <d v="2023-10-11T00:00:00"/>
    <s v="Working in Store - Anaconda Hoppers Crossing"/>
    <s v="Learning"/>
    <n v="1"/>
    <s v="Hoppers Crossing"/>
    <x v="2"/>
    <n v="1"/>
    <s v="A030"/>
    <x v="39"/>
    <x v="1"/>
    <x v="25"/>
    <s v="Q2, FY24"/>
  </r>
  <r>
    <n v="298783"/>
    <s v="Jackson"/>
    <s v="Von Menge"/>
    <x v="0"/>
    <s v="Work in Store"/>
    <s v="Working in Store - Spotlight Box Hill"/>
    <x v="0"/>
    <d v="2023-10-05T00:00:00"/>
    <d v="2023-10-10T00:00:00"/>
    <s v="Working in Store - Spotlight Box Hill"/>
    <s v="Learning"/>
    <n v="1"/>
    <s v="Box Hill"/>
    <x v="2"/>
    <n v="1"/>
    <s v="S002"/>
    <x v="17"/>
    <x v="0"/>
    <x v="25"/>
    <s v="Q2, FY24"/>
  </r>
  <r>
    <n v="317999"/>
    <s v="Nestor"/>
    <s v="Valverde Castro"/>
    <x v="0"/>
    <s v="Work in Store"/>
    <s v="Harris Scarfe Working in Stores - Spencer Outlet"/>
    <x v="0"/>
    <d v="2023-10-04T00:00:00"/>
    <d v="2023-11-02T00:00:00"/>
    <s v="Working in Store - Harris Scarfe Spencer Outlet"/>
    <s v="Learning"/>
    <n v="1"/>
    <s v="Docklands"/>
    <x v="2"/>
    <n v="1"/>
    <s v="HS2016"/>
    <x v="16"/>
    <x v="2"/>
    <x v="24"/>
    <s v="Q2, FY24"/>
  </r>
  <r>
    <n v="324005"/>
    <s v="Tina"/>
    <s v="De Luca"/>
    <x v="5"/>
    <s v="Work in Store"/>
    <s v="Anaconda Working in Stores - Hoppers Crossing"/>
    <x v="0"/>
    <d v="2023-10-04T00:00:00"/>
    <d v="2023-10-25T00:00:00"/>
    <s v="Working in Store - Anaconda Hoppers Crossing"/>
    <s v="Learning"/>
    <n v="1"/>
    <s v="Hoppers Crossing"/>
    <x v="2"/>
    <n v="1"/>
    <s v="A030"/>
    <x v="39"/>
    <x v="1"/>
    <x v="24"/>
    <s v="Q2, FY24"/>
  </r>
  <r>
    <n v="312588"/>
    <s v="Jade"/>
    <s v="Tan"/>
    <x v="2"/>
    <s v="Work in Store"/>
    <s v="Anaconda Working in Stores - Box Hill"/>
    <x v="0"/>
    <d v="2023-10-03T00:00:00"/>
    <d v="2023-10-11T00:00:00"/>
    <s v="Working in Store - Anaconda Box Hill"/>
    <s v="Learning"/>
    <n v="1"/>
    <s v="Box Hill"/>
    <x v="2"/>
    <n v="1"/>
    <s v="A041"/>
    <x v="4"/>
    <x v="1"/>
    <x v="25"/>
    <s v="Q2, FY24"/>
  </r>
  <r>
    <n v="325420"/>
    <s v="Thida"/>
    <s v="Zaw"/>
    <x v="2"/>
    <s v="Work in Store"/>
    <s v="Anaconda Working in Stores - Maribyrnong"/>
    <x v="0"/>
    <d v="2023-10-02T00:00:00"/>
    <d v="2023-10-20T00:00:00"/>
    <s v="Working in Store - Anaconda Maribyrnong"/>
    <s v="Learning"/>
    <n v="1"/>
    <s v="Maribyrnong"/>
    <x v="2"/>
    <n v="1"/>
    <s v="A042"/>
    <x v="32"/>
    <x v="1"/>
    <x v="25"/>
    <s v="Q2, FY24"/>
  </r>
  <r>
    <n v="329438"/>
    <s v="Linda"/>
    <s v="Abela"/>
    <x v="4"/>
    <s v="Work in Store"/>
    <s v="Working in Store - Spotlight Burnside"/>
    <x v="0"/>
    <d v="2023-09-27T00:00:00"/>
    <d v="2023-11-15T00:00:00"/>
    <s v="Working in Store - Spotlight Burnside"/>
    <s v="Learning"/>
    <n v="1"/>
    <s v="Caroline Springs"/>
    <x v="2"/>
    <n v="1"/>
    <s v="S098"/>
    <x v="26"/>
    <x v="0"/>
    <x v="24"/>
    <s v="Q2, FY24"/>
  </r>
  <r>
    <n v="302779"/>
    <s v="Shakira"/>
    <s v="Solis"/>
    <x v="3"/>
    <s v="Work in Store"/>
    <s v="Harris Scarfe Working in Stores - Tarneit"/>
    <x v="0"/>
    <d v="2023-09-25T00:00:00"/>
    <d v="2023-11-17T00:00:00"/>
    <s v="Working in Store - Harris Scarfe Tarneit"/>
    <s v="Learning"/>
    <n v="1"/>
    <s v="Tarneit"/>
    <x v="2"/>
    <n v="1"/>
    <s v="HS2048"/>
    <x v="35"/>
    <x v="2"/>
    <x v="24"/>
    <s v="Q2, FY24"/>
  </r>
  <r>
    <n v="330016"/>
    <s v="Francis"/>
    <s v="Bourke"/>
    <x v="0"/>
    <s v="Work in Store"/>
    <s v="Harris Scarfe Working in Store - Highpoint"/>
    <x v="0"/>
    <d v="2023-09-22T00:00:00"/>
    <d v="2023-10-20T00:00:00"/>
    <s v="Working in Store - Harris Scarfe Highpoint"/>
    <s v="Learning"/>
    <n v="1"/>
    <s v="Maribyrnong"/>
    <x v="2"/>
    <n v="1"/>
    <s v="HS2024"/>
    <x v="10"/>
    <x v="2"/>
    <x v="25"/>
    <s v="Q2, FY24"/>
  </r>
  <r>
    <n v="324262"/>
    <s v="Sindhu"/>
    <s v="Sayana"/>
    <x v="2"/>
    <s v="Work in Store"/>
    <s v="Working in Store - Spotlight Castle Hill"/>
    <x v="0"/>
    <d v="2023-09-22T00:00:00"/>
    <d v="2023-10-04T00:00:00"/>
    <s v="Working in Store - Spotlight Castle Hill"/>
    <s v="Learning"/>
    <n v="1"/>
    <m/>
    <x v="2"/>
    <n v="1"/>
    <s v="S088"/>
    <x v="59"/>
    <x v="0"/>
    <x v="25"/>
    <s v="Q2, FY24"/>
  </r>
  <r>
    <n v="312445"/>
    <s v="Sowmya"/>
    <s v="Shankaranarayana"/>
    <x v="2"/>
    <s v="Work in Store"/>
    <s v="Working in Store - Spotlight South Morang"/>
    <x v="0"/>
    <d v="2023-09-21T00:00:00"/>
    <d v="2023-09-27T00:00:00"/>
    <s v="Working in Store - Spotlight South Morang"/>
    <s v="Learning"/>
    <n v="1"/>
    <s v="South Morang"/>
    <x v="2"/>
    <n v="1"/>
    <s v="S113"/>
    <x v="51"/>
    <x v="0"/>
    <x v="25"/>
    <s v="Q2, FY24"/>
  </r>
  <r>
    <n v="317899"/>
    <s v="Dean"/>
    <s v="Gerst"/>
    <x v="0"/>
    <s v="Work in Store"/>
    <s v="Working in Store - Spotlight South Melbourne"/>
    <x v="0"/>
    <d v="2023-09-20T00:00:00"/>
    <d v="2023-11-08T00:00:00"/>
    <s v="Working in Store - Spotlight South Melbourne"/>
    <s v="Learning"/>
    <n v="1"/>
    <s v="South Melbourne"/>
    <x v="2"/>
    <n v="1"/>
    <s v="S027"/>
    <x v="13"/>
    <x v="0"/>
    <x v="24"/>
    <s v="Q2, FY24"/>
  </r>
  <r>
    <n v="228551"/>
    <s v="Amanda"/>
    <s v="Rees"/>
    <x v="4"/>
    <s v="Work in Store"/>
    <s v="Anaconda Working in Stores - Highett"/>
    <x v="0"/>
    <d v="2023-09-20T00:00:00"/>
    <d v="2023-10-24T00:00:00"/>
    <s v="Working in Store - Anaconda Highett"/>
    <s v="Learning"/>
    <n v="1"/>
    <s v="Highett"/>
    <x v="2"/>
    <n v="1"/>
    <s v="A039"/>
    <x v="18"/>
    <x v="1"/>
    <x v="24"/>
    <s v="Q2, FY24"/>
  </r>
  <r>
    <n v="311842"/>
    <s v="Sneha"/>
    <s v="Bhegade"/>
    <x v="2"/>
    <s v="Work in Store"/>
    <s v="Harris Scarfe Working in Stores - Tarneit"/>
    <x v="0"/>
    <d v="2023-09-20T00:00:00"/>
    <d v="2023-09-28T00:00:00"/>
    <s v="Working in Store - Harris Scarfe Tarneit"/>
    <s v="Learning"/>
    <n v="1"/>
    <s v="Tarneit"/>
    <x v="2"/>
    <n v="1"/>
    <s v="HS2048"/>
    <x v="35"/>
    <x v="2"/>
    <x v="25"/>
    <s v="Q2, FY24"/>
  </r>
  <r>
    <n v="209435"/>
    <s v="Mondoni"/>
    <s v="Chung"/>
    <x v="2"/>
    <s v="Work in Store"/>
    <s v="Harris Scarfe Working in Stores - Preston"/>
    <x v="0"/>
    <d v="2023-09-19T00:00:00"/>
    <d v="2023-11-14T00:00:00"/>
    <s v="Working in Store - Harris Scarfe Preston"/>
    <s v="Learning"/>
    <n v="1"/>
    <s v="Preston"/>
    <x v="2"/>
    <n v="1"/>
    <s v="HS2040"/>
    <x v="23"/>
    <x v="2"/>
    <x v="24"/>
    <s v="Q2, FY24"/>
  </r>
  <r>
    <n v="312984"/>
    <s v="Tony"/>
    <s v="Stanghi"/>
    <x v="4"/>
    <s v="Work in Store"/>
    <s v="Anaconda Working in Stores - Box Hill"/>
    <x v="0"/>
    <d v="2023-09-19T00:00:00"/>
    <d v="2023-11-08T00:00:00"/>
    <s v="Working in Store - Anaconda Box Hill"/>
    <s v="Learning"/>
    <n v="1"/>
    <s v="Box Hill"/>
    <x v="2"/>
    <n v="1"/>
    <s v="A041"/>
    <x v="4"/>
    <x v="1"/>
    <x v="24"/>
    <s v="Q2, FY24"/>
  </r>
  <r>
    <n v="323469"/>
    <s v="Tara"/>
    <s v="Saltzman"/>
    <x v="0"/>
    <s v="Work in Store"/>
    <s v="Harris Scarfe Working in Stores - Spencer Outlet"/>
    <x v="0"/>
    <d v="2023-09-19T00:00:00"/>
    <d v="2023-10-12T00:00:00"/>
    <s v="Working in Store - Harris Scarfe Spencer Outlet"/>
    <s v="Learning"/>
    <n v="1"/>
    <s v="Docklands"/>
    <x v="2"/>
    <n v="1"/>
    <s v="HS2016"/>
    <x v="16"/>
    <x v="2"/>
    <x v="25"/>
    <s v="Q2, FY24"/>
  </r>
  <r>
    <n v="305365"/>
    <s v="Christina"/>
    <s v="Koutsaplis"/>
    <x v="0"/>
    <s v="Work in Store"/>
    <s v="Anaconda Working in Stores - Epping"/>
    <x v="0"/>
    <d v="2023-09-19T00:00:00"/>
    <d v="2023-10-11T00:00:00"/>
    <s v="Working in Store - Anaconda Epping"/>
    <s v="Learning"/>
    <n v="2"/>
    <s v="Epping"/>
    <x v="2"/>
    <n v="0"/>
    <s v="A052"/>
    <x v="27"/>
    <x v="1"/>
    <x v="25"/>
    <s v="Q2, FY24"/>
  </r>
  <r>
    <n v="324851"/>
    <s v="Aleecia"/>
    <s v="Rae"/>
    <x v="0"/>
    <s v="Work in Store"/>
    <s v="Anaconda Working in Stores - Epping"/>
    <x v="0"/>
    <d v="2023-09-19T00:00:00"/>
    <d v="2023-10-11T00:00:00"/>
    <s v="Working in Store - Anaconda Epping"/>
    <s v="Learning"/>
    <n v="2"/>
    <s v="Epping"/>
    <x v="2"/>
    <n v="0"/>
    <s v="A052"/>
    <x v="27"/>
    <x v="1"/>
    <x v="25"/>
    <s v="Q2, FY24"/>
  </r>
  <r>
    <n v="322987"/>
    <s v="Gabbi"/>
    <s v="Fetalvero"/>
    <x v="0"/>
    <s v="Work in Store"/>
    <s v="Harris Scarfe Working in Stores - Spencer Outlet"/>
    <x v="0"/>
    <d v="2023-09-19T00:00:00"/>
    <d v="2023-10-10T00:00:00"/>
    <s v="Working in Store - Harris Scarfe Spencer Outlet"/>
    <s v="Learning"/>
    <n v="2"/>
    <s v="Docklands"/>
    <x v="2"/>
    <n v="0"/>
    <s v="HS2016"/>
    <x v="16"/>
    <x v="2"/>
    <x v="25"/>
    <s v="Q2, FY24"/>
  </r>
  <r>
    <n v="323016"/>
    <s v="Christian"/>
    <s v="Ferrero"/>
    <x v="0"/>
    <s v="Work in Store"/>
    <s v="Harris Scarfe Working in Stores - Spencer Outlet"/>
    <x v="0"/>
    <d v="2023-09-19T00:00:00"/>
    <d v="2023-10-10T00:00:00"/>
    <s v="Working in Store - Harris Scarfe Spencer Outlet"/>
    <s v="Learning"/>
    <n v="2"/>
    <s v="Docklands"/>
    <x v="2"/>
    <n v="0"/>
    <s v="HS2016"/>
    <x v="16"/>
    <x v="2"/>
    <x v="25"/>
    <s v="Q2, FY24"/>
  </r>
  <r>
    <n v="301059"/>
    <s v="Tom"/>
    <s v="Samuels"/>
    <x v="4"/>
    <s v="Work in Store"/>
    <s v="Working in Store - Spotlight Roxburgh Park"/>
    <x v="0"/>
    <d v="2023-09-19T00:00:00"/>
    <d v="2023-10-06T00:00:00"/>
    <s v="Working in Store - Spotlight Roxburgh Park"/>
    <s v="Learning"/>
    <n v="1"/>
    <s v="Roxburgh Park"/>
    <x v="2"/>
    <n v="1"/>
    <s v="S145"/>
    <x v="1"/>
    <x v="0"/>
    <x v="25"/>
    <s v="Q2, FY24"/>
  </r>
  <r>
    <n v="298313"/>
    <s v="Jane"/>
    <s v="Dong"/>
    <x v="8"/>
    <s v="Work in Store"/>
    <s v="Anaconda Working in Stores - Bayswater"/>
    <x v="0"/>
    <d v="2023-09-18T00:00:00"/>
    <d v="2023-12-15T00:00:00"/>
    <s v="Working in Store - Anaconda Bayswater"/>
    <s v="Learning"/>
    <n v="1"/>
    <s v="Bayswater"/>
    <x v="2"/>
    <n v="1"/>
    <s v="A001"/>
    <x v="2"/>
    <x v="1"/>
    <x v="22"/>
    <s v="Q2, FY24"/>
  </r>
  <r>
    <n v="298313"/>
    <s v="Jane"/>
    <s v="Dong"/>
    <x v="8"/>
    <s v="Work in Store"/>
    <s v="Harris Scarfe Working in Stores - Forest Hill"/>
    <x v="0"/>
    <d v="2023-09-18T00:00:00"/>
    <d v="2023-10-27T00:00:00"/>
    <s v="Working in Store - Harris Scarfe Forest Hill"/>
    <s v="Learning"/>
    <n v="2"/>
    <s v="Forest Hill"/>
    <x v="2"/>
    <n v="0"/>
    <s v="HS2020"/>
    <x v="44"/>
    <x v="2"/>
    <x v="24"/>
    <s v="Q2, FY24"/>
  </r>
  <r>
    <n v="230709"/>
    <s v="Anh"/>
    <s v="Truong"/>
    <x v="2"/>
    <s v="Work in Store"/>
    <s v="Harris Scarfe Working in Stores - Preston"/>
    <x v="0"/>
    <d v="2023-09-18T00:00:00"/>
    <d v="2023-09-20T00:00:00"/>
    <s v="Working in Store - Harris Scarfe Preston"/>
    <s v="Learning"/>
    <n v="1"/>
    <s v="Preston"/>
    <x v="2"/>
    <n v="1"/>
    <s v="HS2040"/>
    <x v="23"/>
    <x v="2"/>
    <x v="26"/>
    <s v="Q1, FY24"/>
  </r>
  <r>
    <n v="327323"/>
    <s v="Nelson Shen"/>
    <s v="Shen"/>
    <x v="2"/>
    <s v="Work in Store"/>
    <s v="Anaconda Working in Stores - Preston"/>
    <x v="0"/>
    <d v="2023-09-18T00:00:00"/>
    <d v="2023-09-20T00:00:00"/>
    <s v="Working in Store - Anaconda Preston"/>
    <s v="Learning"/>
    <n v="1"/>
    <s v="Preston"/>
    <x v="2"/>
    <n v="1"/>
    <s v="A020"/>
    <x v="19"/>
    <x v="1"/>
    <x v="26"/>
    <s v="Q1, FY24"/>
  </r>
  <r>
    <n v="322463"/>
    <s v="Steve"/>
    <s v="Harrison"/>
    <x v="8"/>
    <s v="Work in Store"/>
    <s v="Exemption - Working in Store 2023"/>
    <x v="0"/>
    <d v="2023-09-14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4113"/>
    <s v="Tom"/>
    <s v="Williams"/>
    <x v="8"/>
    <s v="Work in Store"/>
    <s v="Exemption - Working in Store 2023"/>
    <x v="0"/>
    <d v="2023-09-14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8302"/>
    <s v="Andrea"/>
    <s v="Nicou"/>
    <x v="5"/>
    <s v="Work in Store"/>
    <s v="Exemption - Working in Store 2023"/>
    <x v="0"/>
    <d v="2023-09-12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3325"/>
    <s v="Christopher"/>
    <s v="Bond"/>
    <x v="0"/>
    <s v="Work in Store"/>
    <s v="Anaconda Working in Stores - Highett"/>
    <x v="0"/>
    <d v="2023-09-12T00:00:00"/>
    <d v="2023-11-24T00:00:00"/>
    <s v="Working in Store - Anaconda Highett"/>
    <s v="Learning"/>
    <n v="1"/>
    <s v="Highett"/>
    <x v="2"/>
    <n v="1"/>
    <s v="A039"/>
    <x v="18"/>
    <x v="1"/>
    <x v="24"/>
    <s v="Q2, FY24"/>
  </r>
  <r>
    <n v="329419"/>
    <s v="Carol"/>
    <s v="Donald"/>
    <x v="5"/>
    <s v="Work in Store"/>
    <s v="Anaconda Working in Stores - Watergardens"/>
    <x v="0"/>
    <d v="2023-09-12T00:00:00"/>
    <d v="2023-10-13T00:00:00"/>
    <s v="Working in Store - Anaconda Watergardens"/>
    <s v="Learning"/>
    <n v="1"/>
    <s v="Taylors Lake"/>
    <x v="2"/>
    <n v="1"/>
    <s v="A040"/>
    <x v="6"/>
    <x v="1"/>
    <x v="25"/>
    <s v="Q2, FY24"/>
  </r>
  <r>
    <n v="298082"/>
    <s v="Andrew"/>
    <s v="Arvanitakis"/>
    <x v="2"/>
    <s v="Work in Store"/>
    <s v="Anaconda Working in Stores - Springvale"/>
    <x v="0"/>
    <d v="2023-09-12T00:00:00"/>
    <d v="2023-10-12T00:00:00"/>
    <s v="Working in Store - Anaconda Springvale"/>
    <s v="Learning"/>
    <n v="2"/>
    <s v="Springvale"/>
    <x v="2"/>
    <n v="0"/>
    <s v="A026"/>
    <x v="3"/>
    <x v="1"/>
    <x v="25"/>
    <s v="Q2, FY24"/>
  </r>
  <r>
    <n v="326975"/>
    <s v="Vanessa"/>
    <s v="Peluso"/>
    <x v="4"/>
    <s v="Work in Store"/>
    <s v="Harris Scarfe Working in Stores - Epping"/>
    <x v="0"/>
    <d v="2023-09-12T00:00:00"/>
    <d v="2023-10-06T00:00:00"/>
    <s v="Working in Store - Harris Scarfe Epping"/>
    <s v="Learning"/>
    <n v="1"/>
    <s v="Epping"/>
    <x v="2"/>
    <n v="1"/>
    <s v="HS2023"/>
    <x v="28"/>
    <x v="2"/>
    <x v="25"/>
    <s v="Q2, FY24"/>
  </r>
  <r>
    <n v="240305"/>
    <s v="Ansley"/>
    <s v="Lam"/>
    <x v="2"/>
    <s v="Work in Store"/>
    <s v="Harris Scarfe Working in Stores - Airport West"/>
    <x v="0"/>
    <d v="2023-09-12T00:00:00"/>
    <d v="2023-09-21T00:00:00"/>
    <s v="Working in Store - Harris Scarfe Airport West"/>
    <s v="Learning"/>
    <n v="1"/>
    <s v="Airport West"/>
    <x v="2"/>
    <n v="1"/>
    <s v="HS2027"/>
    <x v="24"/>
    <x v="2"/>
    <x v="26"/>
    <s v="Q1, FY24"/>
  </r>
  <r>
    <n v="298748"/>
    <s v="Andre"/>
    <s v="Wilbraham"/>
    <x v="3"/>
    <s v="Work in Store"/>
    <s v="Harris Scarfe Working in Stores - Spencer Outlet"/>
    <x v="0"/>
    <d v="2023-09-12T00:00:00"/>
    <d v="2023-09-21T00:00:00"/>
    <s v="Working in Store - Harris Scarfe Spencer Outlet"/>
    <s v="Learning"/>
    <n v="1"/>
    <s v="Docklands"/>
    <x v="2"/>
    <n v="1"/>
    <s v="HS2016"/>
    <x v="16"/>
    <x v="2"/>
    <x v="26"/>
    <s v="Q1, FY24"/>
  </r>
  <r>
    <n v="324258"/>
    <s v="Nez"/>
    <s v="Toprak"/>
    <x v="4"/>
    <s v="Work in Store"/>
    <s v="Harris Scarfe Working in Stores - Mornington"/>
    <x v="0"/>
    <d v="2023-09-12T00:00:00"/>
    <d v="2023-09-20T00:00:00"/>
    <s v="Working in Store - Harris Scarfe Mornington"/>
    <s v="Learning"/>
    <n v="1"/>
    <s v="Mornington"/>
    <x v="2"/>
    <n v="1"/>
    <s v="HS2014"/>
    <x v="60"/>
    <x v="2"/>
    <x v="26"/>
    <s v="Q1, FY24"/>
  </r>
  <r>
    <n v="297893"/>
    <s v="Kathryn"/>
    <s v="Buchanan"/>
    <x v="5"/>
    <s v="Work in Store"/>
    <s v="Working in Stores - Anaconda Launceston"/>
    <x v="0"/>
    <d v="2023-09-11T00:00:00"/>
    <d v="2023-09-28T00:00:00"/>
    <s v="Working in Stores - Anaconda Launceston"/>
    <s v="Learning"/>
    <n v="1"/>
    <m/>
    <x v="2"/>
    <n v="1"/>
    <s v="A028"/>
    <x v="52"/>
    <x v="1"/>
    <x v="25"/>
    <s v="Q2, FY24"/>
  </r>
  <r>
    <n v="326639"/>
    <s v="Sam"/>
    <s v="Goel"/>
    <x v="1"/>
    <s v="Work in Store"/>
    <s v="Working in Stores - Spotlight Bayswater"/>
    <x v="0"/>
    <d v="2023-09-08T00:00:00"/>
    <d v="2023-12-08T00:00:00"/>
    <s v="Working in Store - Spotlight Bayswater"/>
    <s v="Learning"/>
    <n v="1"/>
    <s v="Bayswater"/>
    <x v="2"/>
    <n v="1"/>
    <s v="S014"/>
    <x v="15"/>
    <x v="0"/>
    <x v="22"/>
    <s v="Q2, FY24"/>
  </r>
  <r>
    <n v="240963"/>
    <s v="Robert"/>
    <s v="Ryan"/>
    <x v="0"/>
    <s v="Work in Store"/>
    <s v="Working in Store - Spotlight South Melbourne"/>
    <x v="0"/>
    <d v="2023-09-08T00:00:00"/>
    <d v="2023-10-03T00:00:00"/>
    <s v="Working in Store - Spotlight South Melbourne"/>
    <s v="Learning"/>
    <n v="1"/>
    <s v="South Melbourne"/>
    <x v="2"/>
    <n v="1"/>
    <s v="S027"/>
    <x v="13"/>
    <x v="0"/>
    <x v="25"/>
    <s v="Q2, FY24"/>
  </r>
  <r>
    <n v="298244"/>
    <s v="Jack"/>
    <s v="Gibbs"/>
    <x v="2"/>
    <s v="Work in Store"/>
    <s v="Harris Scarfe Working in Stores - Sunbury"/>
    <x v="0"/>
    <d v="2023-09-08T00:00:00"/>
    <d v="2023-09-20T00:00:00"/>
    <s v="Working in Store - Harris Scarfe Sunbury"/>
    <s v="Learning"/>
    <n v="1"/>
    <s v="Sunbury"/>
    <x v="2"/>
    <n v="1"/>
    <s v="HS2031"/>
    <x v="20"/>
    <x v="2"/>
    <x v="26"/>
    <s v="Q1, FY24"/>
  </r>
  <r>
    <n v="320135"/>
    <s v="Callia"/>
    <s v="Emory"/>
    <x v="5"/>
    <s v="Work in Store"/>
    <s v="Working in Store - Spotlight Carnegie"/>
    <x v="0"/>
    <d v="2023-09-07T00:00:00"/>
    <d v="2023-12-05T00:00:00"/>
    <s v="Working in Store- Spotlight Cranegie"/>
    <s v="Learning"/>
    <n v="1"/>
    <s v="Carnegie"/>
    <x v="2"/>
    <n v="1"/>
    <s v="S114"/>
    <x v="5"/>
    <x v="0"/>
    <x v="22"/>
    <s v="Q2, FY24"/>
  </r>
  <r>
    <n v="311114"/>
    <s v="Trina"/>
    <s v="Littlepage"/>
    <x v="2"/>
    <s v="Work in Store"/>
    <s v="Anaconda Working in Stores - Hoppers Crossing"/>
    <x v="0"/>
    <d v="2023-09-07T00:00:00"/>
    <d v="2023-11-16T00:00:00"/>
    <s v="Working in Store - Anaconda Hoppers Crossing"/>
    <s v="Learning"/>
    <n v="1"/>
    <s v="Hoppers Crossing"/>
    <x v="2"/>
    <n v="1"/>
    <s v="A030"/>
    <x v="39"/>
    <x v="1"/>
    <x v="24"/>
    <s v="Q2, FY24"/>
  </r>
  <r>
    <n v="316728"/>
    <s v="Lynne Barron"/>
    <s v="Barron"/>
    <x v="0"/>
    <s v="Work in Store"/>
    <s v="Harris Scarfe Working in Stores - Forest Hill"/>
    <x v="0"/>
    <d v="2023-09-07T00:00:00"/>
    <d v="2023-10-27T00:00:00"/>
    <s v="Working in Store - Harris Scarfe Forest Hill"/>
    <s v="Learning"/>
    <n v="2"/>
    <s v="Forest Hill"/>
    <x v="2"/>
    <n v="0"/>
    <s v="HS2020"/>
    <x v="44"/>
    <x v="2"/>
    <x v="24"/>
    <s v="Q2, FY24"/>
  </r>
  <r>
    <n v="314449"/>
    <s v="Chris"/>
    <s v="Howard"/>
    <x v="2"/>
    <s v="Work in Store"/>
    <s v="Anaconda Working in Stores - Preston"/>
    <x v="0"/>
    <d v="2023-09-07T00:00:00"/>
    <d v="2023-10-25T00:00:00"/>
    <s v="Working in Store - Anaconda Preston"/>
    <s v="Learning"/>
    <n v="1"/>
    <s v="Preston"/>
    <x v="2"/>
    <n v="1"/>
    <s v="A020"/>
    <x v="19"/>
    <x v="1"/>
    <x v="24"/>
    <s v="Q2, FY24"/>
  </r>
  <r>
    <n v="236788"/>
    <s v="David"/>
    <s v="Puli"/>
    <x v="4"/>
    <s v="Work in Store"/>
    <s v="Anaconda Working in Stores - Maribyrnong"/>
    <x v="0"/>
    <d v="2023-09-07T00:00:00"/>
    <d v="2023-09-28T00:00:00"/>
    <s v="Working in Store - Anaconda Maribyrnong"/>
    <s v="Learning"/>
    <n v="1"/>
    <s v="Maribyrnong"/>
    <x v="2"/>
    <n v="1"/>
    <s v="A042"/>
    <x v="32"/>
    <x v="1"/>
    <x v="25"/>
    <s v="Q2, FY24"/>
  </r>
  <r>
    <n v="316449"/>
    <s v="Benjamin"/>
    <s v="Hayes"/>
    <x v="5"/>
    <s v="Work in Store"/>
    <s v="Anaconda Working in Stores - Maribyrnong"/>
    <x v="0"/>
    <d v="2023-09-07T00:00:00"/>
    <d v="2023-09-12T00:00:00"/>
    <s v="Working in Store - Anaconda Maribyrnong"/>
    <s v="Learning"/>
    <n v="1"/>
    <s v="Maribyrnong"/>
    <x v="2"/>
    <n v="1"/>
    <s v="A042"/>
    <x v="32"/>
    <x v="1"/>
    <x v="26"/>
    <s v="Q1, FY24"/>
  </r>
  <r>
    <n v="229776"/>
    <s v="Chuin"/>
    <s v="Lee"/>
    <x v="2"/>
    <s v="Work in Store"/>
    <s v="Working in Store - Spotlight Sandown"/>
    <x v="0"/>
    <d v="2023-09-06T00:00:00"/>
    <d v="2023-11-28T00:00:00"/>
    <s v="Working in Store - Spotlight Sandown"/>
    <s v="Learning"/>
    <n v="1"/>
    <s v="SPRINGVALE"/>
    <x v="2"/>
    <n v="1"/>
    <s v="S005"/>
    <x v="31"/>
    <x v="0"/>
    <x v="22"/>
    <s v="Q2, FY24"/>
  </r>
  <r>
    <n v="229776"/>
    <s v="Chuin"/>
    <s v="Lee"/>
    <x v="2"/>
    <s v="Work in Store"/>
    <s v="Anaconda Working in Stores - Springvale"/>
    <x v="0"/>
    <d v="2023-09-06T00:00:00"/>
    <d v="2023-11-14T00:00:00"/>
    <s v="Working in Store - Anaconda Springvale"/>
    <s v="Learning"/>
    <n v="1"/>
    <s v="Springvale"/>
    <x v="2"/>
    <n v="1"/>
    <s v="A026"/>
    <x v="3"/>
    <x v="1"/>
    <x v="24"/>
    <s v="Q2, FY24"/>
  </r>
  <r>
    <n v="327843"/>
    <s v="Priya"/>
    <s v="Parthasarathy"/>
    <x v="1"/>
    <s v="Work in Store"/>
    <s v="Harris Scarfe Working in Stores - Tarneit"/>
    <x v="0"/>
    <d v="2023-09-06T00:00:00"/>
    <d v="2023-10-17T00:00:00"/>
    <s v="Working in Store - Harris Scarfe Tarneit"/>
    <s v="Learning"/>
    <n v="1"/>
    <s v="Tarneit"/>
    <x v="2"/>
    <n v="1"/>
    <s v="HS2048"/>
    <x v="35"/>
    <x v="2"/>
    <x v="25"/>
    <s v="Q2, FY24"/>
  </r>
  <r>
    <n v="312552"/>
    <s v="Ben"/>
    <s v="Palmer"/>
    <x v="4"/>
    <s v="Work in Store"/>
    <s v="Harris Scarfe Working in Stores - Eastland"/>
    <x v="0"/>
    <d v="2023-09-06T00:00:00"/>
    <d v="2023-09-21T00:00:00"/>
    <s v="Working in Store - Harris Scarfe Eastland"/>
    <s v="Learning"/>
    <n v="1"/>
    <s v="Ringwood"/>
    <x v="2"/>
    <n v="1"/>
    <s v="HS2033"/>
    <x v="61"/>
    <x v="2"/>
    <x v="26"/>
    <s v="Q1, FY24"/>
  </r>
  <r>
    <n v="225218"/>
    <s v="Carol"/>
    <s v="Brown"/>
    <x v="1"/>
    <s v="Work in Store"/>
    <s v="Exemption - Working in Store 2023"/>
    <x v="0"/>
    <d v="2023-09-0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5564"/>
    <s v="B"/>
    <s v="Dessmann"/>
    <x v="1"/>
    <s v="Work in Store"/>
    <s v="Exemption - Working in Store 2023"/>
    <x v="0"/>
    <d v="2023-09-0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298254"/>
    <s v="Michael"/>
    <s v="Tan"/>
    <x v="1"/>
    <s v="Work in Store"/>
    <s v="Harris Scarfe Working in Store - West Lakes"/>
    <x v="0"/>
    <d v="2023-09-05T00:00:00"/>
    <d v="2023-11-13T00:00:00"/>
    <s v="Working in Store - Harris Scarfe West Lakes"/>
    <s v="Learning"/>
    <n v="1"/>
    <s v="West Lakes "/>
    <x v="2"/>
    <n v="1"/>
    <s v="HS1006"/>
    <x v="62"/>
    <x v="2"/>
    <x v="24"/>
    <s v="Q2, FY24"/>
  </r>
  <r>
    <n v="235135"/>
    <s v="Penny"/>
    <s v="Robin"/>
    <x v="2"/>
    <s v="Work in Store"/>
    <s v="Anaconda Working in Stores - Highett"/>
    <x v="0"/>
    <d v="2023-09-05T00:00:00"/>
    <d v="2023-09-28T00:00:00"/>
    <s v="Working in Store - Anaconda Highett"/>
    <s v="Learning"/>
    <n v="2"/>
    <s v="Highett"/>
    <x v="2"/>
    <n v="0"/>
    <s v="A039"/>
    <x v="18"/>
    <x v="1"/>
    <x v="25"/>
    <s v="Q2, FY24"/>
  </r>
  <r>
    <n v="321433"/>
    <s v="Bec"/>
    <s v="Luong"/>
    <x v="0"/>
    <s v="Work in Store"/>
    <s v="Anaconda Working in Stores - Highett"/>
    <x v="0"/>
    <d v="2023-09-05T00:00:00"/>
    <d v="2023-09-28T00:00:00"/>
    <s v="Working in Store - Anaconda Highett"/>
    <s v="Learning"/>
    <n v="2"/>
    <s v="Highett"/>
    <x v="2"/>
    <n v="0"/>
    <s v="A039"/>
    <x v="18"/>
    <x v="1"/>
    <x v="25"/>
    <s v="Q2, FY24"/>
  </r>
  <r>
    <n v="329636"/>
    <s v="Anna"/>
    <s v="Quin"/>
    <x v="0"/>
    <s v="Work in Store"/>
    <s v="Working in Store - Spotlight Box Hill"/>
    <x v="0"/>
    <d v="2023-09-05T00:00:00"/>
    <d v="2023-09-21T00:00:00"/>
    <s v="Working in Store - Spotlight Box Hill"/>
    <s v="Learning"/>
    <n v="1"/>
    <s v="Box Hill"/>
    <x v="2"/>
    <n v="1"/>
    <s v="S002"/>
    <x v="17"/>
    <x v="0"/>
    <x v="26"/>
    <s v="Q1, FY24"/>
  </r>
  <r>
    <n v="235543"/>
    <s v="Celeste"/>
    <s v="Burgess"/>
    <x v="1"/>
    <s v="Work in Store"/>
    <s v="Harris Scarfe Working in Stores - Spencer Outlet"/>
    <x v="0"/>
    <d v="2023-09-05T00:00:00"/>
    <d v="2023-09-15T00:00:00"/>
    <s v="Working in Store - Harris Scarfe Spencer Outlet"/>
    <s v="Learning"/>
    <n v="1"/>
    <s v="Docklands"/>
    <x v="2"/>
    <n v="1"/>
    <s v="HS2016"/>
    <x v="16"/>
    <x v="2"/>
    <x v="26"/>
    <s v="Q1, FY24"/>
  </r>
  <r>
    <n v="326713"/>
    <s v="Gabbie"/>
    <s v="Ciavarella"/>
    <x v="0"/>
    <s v="Work in Store"/>
    <s v="Anaconda Working in Stores - Maribyrnong"/>
    <x v="0"/>
    <d v="2023-09-05T00:00:00"/>
    <d v="2023-09-07T00:00:00"/>
    <s v="Working in Store - Anaconda Maribyrnong"/>
    <s v="Learning"/>
    <n v="1"/>
    <s v="Maribyrnong"/>
    <x v="2"/>
    <n v="1"/>
    <s v="A042"/>
    <x v="32"/>
    <x v="1"/>
    <x v="26"/>
    <s v="Q1, FY24"/>
  </r>
  <r>
    <n v="323732"/>
    <s v="Jennelle"/>
    <s v="Devereux"/>
    <x v="0"/>
    <s v="Work in Store"/>
    <s v="Harris Scarfe Working in Stores - Airport West"/>
    <x v="0"/>
    <d v="2023-09-05T00:00:00"/>
    <d v="2023-09-06T00:00:00"/>
    <s v="Working in Store - Harris Scarfe Airport West"/>
    <s v="Learning"/>
    <n v="1"/>
    <s v="Airport West"/>
    <x v="2"/>
    <n v="1"/>
    <s v="HS2027"/>
    <x v="24"/>
    <x v="2"/>
    <x v="26"/>
    <s v="Q1, FY24"/>
  </r>
  <r>
    <n v="313834"/>
    <s v="Sunshine"/>
    <s v="Steward"/>
    <x v="5"/>
    <s v="Work in Store"/>
    <s v="Harris Scarfe Working in Stores - Woodgrove"/>
    <x v="0"/>
    <d v="2023-09-04T00:00:00"/>
    <d v="2023-12-05T00:00:00"/>
    <s v="Working in Store - Harris Scarfe Woodgrove"/>
    <s v="Learning"/>
    <n v="1"/>
    <s v="Melton"/>
    <x v="2"/>
    <n v="1"/>
    <s v="HS2017"/>
    <x v="34"/>
    <x v="2"/>
    <x v="22"/>
    <s v="Q2, FY24"/>
  </r>
  <r>
    <n v="305938"/>
    <s v="Juanita"/>
    <s v="Aguero"/>
    <x v="1"/>
    <s v="Work in Store"/>
    <s v="Anaconda Working in Stores - Bayswater"/>
    <x v="0"/>
    <d v="2023-09-04T00:00:00"/>
    <d v="2023-12-01T00:00:00"/>
    <s v="Working in Store - Anaconda Bayswater"/>
    <s v="Learning"/>
    <n v="1"/>
    <s v="Bayswater"/>
    <x v="2"/>
    <n v="1"/>
    <s v="A001"/>
    <x v="2"/>
    <x v="1"/>
    <x v="22"/>
    <s v="Q2, FY24"/>
  </r>
  <r>
    <n v="231624"/>
    <s v="Jesvinder"/>
    <s v="Chaal"/>
    <x v="2"/>
    <s v="Work in Store"/>
    <s v="Anaconda Working in Stores - Hawthorn East"/>
    <x v="0"/>
    <d v="2023-09-04T00:00:00"/>
    <d v="2023-11-16T00:00:00"/>
    <s v="Working in Store - Anaconda Hawthorn East"/>
    <s v="Learning"/>
    <n v="1"/>
    <s v="Hawthorn East"/>
    <x v="2"/>
    <n v="1"/>
    <s v="A058"/>
    <x v="21"/>
    <x v="1"/>
    <x v="24"/>
    <s v="Q2, FY24"/>
  </r>
  <r>
    <n v="328605"/>
    <s v="Sarah"/>
    <s v="Salim"/>
    <x v="12"/>
    <s v="Work in Store"/>
    <s v="Harris Scarfe Working in Stores - Spencer Outlet"/>
    <x v="0"/>
    <d v="2023-09-04T00:00:00"/>
    <d v="2023-11-01T00:00:00"/>
    <s v="Working in Store - Harris Scarfe Spencer Outlet"/>
    <s v="Learning"/>
    <n v="2"/>
    <s v="Docklands"/>
    <x v="2"/>
    <n v="0"/>
    <s v="HS2016"/>
    <x v="16"/>
    <x v="2"/>
    <x v="24"/>
    <s v="Q2, FY24"/>
  </r>
  <r>
    <n v="317132"/>
    <s v="Kim"/>
    <s v="Allen"/>
    <x v="0"/>
    <s v="Work in Store"/>
    <s v="Harris Scarfe Working in Stores - Fountain Gate"/>
    <x v="0"/>
    <d v="2023-09-04T00:00:00"/>
    <d v="2023-10-24T00:00:00"/>
    <s v="Working in Store - Harris Scarfe Fountain Gate"/>
    <s v="Learning"/>
    <n v="1"/>
    <s v="Fountain Gate"/>
    <x v="2"/>
    <n v="1"/>
    <s v="HS2039"/>
    <x v="54"/>
    <x v="2"/>
    <x v="24"/>
    <s v="Q2, FY24"/>
  </r>
  <r>
    <n v="328927"/>
    <s v="Lucy"/>
    <s v="Lu"/>
    <x v="5"/>
    <s v="Work in Store"/>
    <s v="Anaconda Working in Stores - Springvale"/>
    <x v="0"/>
    <d v="2023-09-04T00:00:00"/>
    <d v="2023-10-19T00:00:00"/>
    <s v="Working in Store - Anaconda Springvale"/>
    <s v="Learning"/>
    <n v="1"/>
    <s v="Springvale"/>
    <x v="2"/>
    <n v="1"/>
    <s v="A026"/>
    <x v="3"/>
    <x v="1"/>
    <x v="25"/>
    <s v="Q2, FY24"/>
  </r>
  <r>
    <n v="235019"/>
    <s v="Kate"/>
    <s v="Demme"/>
    <x v="0"/>
    <s v="Work in Store"/>
    <s v="Harris Scarfe Working in Stores - Geelong"/>
    <x v="0"/>
    <d v="2023-09-04T00:00:00"/>
    <d v="2023-10-18T00:00:00"/>
    <s v="Working in Store - Harris Scarfe Geelong"/>
    <s v="Learning"/>
    <n v="1"/>
    <s v="Geelong"/>
    <x v="2"/>
    <n v="1"/>
    <s v="HS2021"/>
    <x v="63"/>
    <x v="2"/>
    <x v="25"/>
    <s v="Q2, FY24"/>
  </r>
  <r>
    <n v="203902"/>
    <s v="Ganda"/>
    <s v="Sandjaja"/>
    <x v="2"/>
    <s v="Work in Store"/>
    <s v="Anaconda Working in Stores - Springvale"/>
    <x v="0"/>
    <d v="2023-09-04T00:00:00"/>
    <d v="2023-10-12T00:00:00"/>
    <s v="Working in Store - Anaconda Springvale"/>
    <s v="Learning"/>
    <n v="2"/>
    <s v="Springvale"/>
    <x v="2"/>
    <n v="0"/>
    <s v="A026"/>
    <x v="3"/>
    <x v="1"/>
    <x v="25"/>
    <s v="Q2, FY24"/>
  </r>
  <r>
    <n v="317842"/>
    <s v="Sarah"/>
    <s v="Michail"/>
    <x v="4"/>
    <s v="Work in Store"/>
    <s v="Working in Store - Spotlight Ballarat"/>
    <x v="0"/>
    <d v="2023-09-04T00:00:00"/>
    <d v="2023-10-12T00:00:00"/>
    <s v="Working in Store - Spotlight Ballarat"/>
    <s v="Learning"/>
    <n v="1"/>
    <s v="Wendouree"/>
    <x v="2"/>
    <n v="1"/>
    <s v="S013"/>
    <x v="64"/>
    <x v="0"/>
    <x v="25"/>
    <s v="Q2, FY24"/>
  </r>
  <r>
    <n v="225211"/>
    <s v="Chris"/>
    <s v="Galea"/>
    <x v="2"/>
    <s v="Work in Store"/>
    <s v="Anaconda Working in Stores - Maribyrnong"/>
    <x v="0"/>
    <d v="2023-09-04T00:00:00"/>
    <d v="2023-10-11T00:00:00"/>
    <s v="Working in Store - Anaconda Maribyrnong"/>
    <s v="Learning"/>
    <n v="1"/>
    <s v="Maribyrnong"/>
    <x v="2"/>
    <n v="1"/>
    <s v="A042"/>
    <x v="32"/>
    <x v="1"/>
    <x v="25"/>
    <s v="Q2, FY24"/>
  </r>
  <r>
    <n v="316576"/>
    <s v="Nadia"/>
    <s v="Duffy"/>
    <x v="0"/>
    <s v="Work in Store"/>
    <s v="Harris Scarfe Working in Stores - Southland"/>
    <x v="0"/>
    <d v="2023-09-04T00:00:00"/>
    <d v="2023-10-06T00:00:00"/>
    <s v="Working in Store - Harris Scarfe Southland"/>
    <s v="Learning"/>
    <n v="1"/>
    <s v="Cheltenham"/>
    <x v="2"/>
    <n v="1"/>
    <s v="HS2025"/>
    <x v="55"/>
    <x v="2"/>
    <x v="25"/>
    <s v="Q2, FY24"/>
  </r>
  <r>
    <n v="329837"/>
    <s v="Anirudh Singh"/>
    <s v="Singh"/>
    <x v="2"/>
    <s v="Work in Store"/>
    <s v="Anaconda Working in Stores - Hoppers Crossing"/>
    <x v="0"/>
    <d v="2023-09-04T00:00:00"/>
    <d v="2023-10-05T00:00:00"/>
    <s v="Working in Store - Anaconda Hoppers Crossing"/>
    <s v="Learning"/>
    <n v="1"/>
    <s v="Hoppers Crossing"/>
    <x v="2"/>
    <n v="1"/>
    <s v="A030"/>
    <x v="39"/>
    <x v="1"/>
    <x v="25"/>
    <s v="Q2, FY24"/>
  </r>
  <r>
    <n v="307502"/>
    <s v="Gill"/>
    <s v="Couper"/>
    <x v="1"/>
    <s v="Work in Store"/>
    <s v="Harris Scarfe Working in Stores - Spencer Outlet"/>
    <x v="0"/>
    <d v="2023-09-04T00:00:00"/>
    <d v="2023-09-13T00:00:00"/>
    <s v="Working in Store - Harris Scarfe Spencer Outlet"/>
    <s v="Learning"/>
    <n v="1"/>
    <s v="Docklands"/>
    <x v="2"/>
    <n v="1"/>
    <s v="HS2016"/>
    <x v="16"/>
    <x v="2"/>
    <x v="26"/>
    <s v="Q1, FY24"/>
  </r>
  <r>
    <n v="329909"/>
    <s v="Marie"/>
    <s v="Napoli"/>
    <x v="4"/>
    <s v="Work in Store"/>
    <s v="Harris Scarfe Working in Stores - Airport West"/>
    <x v="0"/>
    <d v="2023-09-04T00:00:00"/>
    <d v="2023-09-13T00:00:00"/>
    <s v="Working in Store - Harris Scarfe Airport West"/>
    <s v="Learning"/>
    <n v="1"/>
    <s v="Airport West"/>
    <x v="2"/>
    <n v="1"/>
    <s v="HS2027"/>
    <x v="24"/>
    <x v="2"/>
    <x v="26"/>
    <s v="Q1, FY24"/>
  </r>
  <r>
    <n v="321626"/>
    <s v="Josie"/>
    <s v="Gonzalez"/>
    <x v="1"/>
    <s v="Work in Store"/>
    <s v="Harris Scarfe Working in Stores - Southland"/>
    <x v="0"/>
    <d v="2023-08-30T00:00:00"/>
    <d v="2023-10-19T00:00:00"/>
    <s v="Working in Store - Harris Scarfe Southland"/>
    <s v="Learning"/>
    <n v="1"/>
    <s v="Cheltenham"/>
    <x v="2"/>
    <n v="1"/>
    <s v="HS2025"/>
    <x v="55"/>
    <x v="2"/>
    <x v="25"/>
    <s v="Q2, FY24"/>
  </r>
  <r>
    <n v="231957"/>
    <s v="Kevin"/>
    <s v="Huynh"/>
    <x v="2"/>
    <s v="Work in Store"/>
    <s v="Harris Scarfe Working in Stores - Airport West"/>
    <x v="0"/>
    <d v="2023-08-29T00:00:00"/>
    <d v="2023-09-07T00:00:00"/>
    <s v="Working in Store - Harris Scarfe Airport West"/>
    <s v="Learning"/>
    <n v="1"/>
    <s v="Airport West"/>
    <x v="2"/>
    <n v="1"/>
    <s v="HS2027"/>
    <x v="24"/>
    <x v="2"/>
    <x v="26"/>
    <s v="Q1, FY24"/>
  </r>
  <r>
    <n v="329628"/>
    <s v="Satish"/>
    <s v="Muthuarumugam"/>
    <x v="0"/>
    <s v="Work in Store"/>
    <s v="Working in Store - Spotlight Preston"/>
    <x v="0"/>
    <d v="2023-08-22T00:00:00"/>
    <d v="2023-09-21T00:00:00"/>
    <s v="Working in Store - Spotlight Preston"/>
    <s v="Learning"/>
    <n v="1"/>
    <s v="Preston"/>
    <x v="2"/>
    <n v="1"/>
    <s v="S120"/>
    <x v="57"/>
    <x v="0"/>
    <x v="26"/>
    <s v="Q1, FY24"/>
  </r>
  <r>
    <n v="312259"/>
    <s v="Sonal"/>
    <s v="Bhatia"/>
    <x v="2"/>
    <s v="Work in Store"/>
    <s v="Harris Scarfe Working in Stores - Southland"/>
    <x v="0"/>
    <d v="2023-08-22T00:00:00"/>
    <d v="2023-09-01T00:00:00"/>
    <s v="Working in Store - Harris Scarfe Southland"/>
    <s v="Learning"/>
    <n v="1"/>
    <s v="Cheltenham"/>
    <x v="2"/>
    <n v="1"/>
    <s v="HS2025"/>
    <x v="55"/>
    <x v="2"/>
    <x v="26"/>
    <s v="Q1, FY24"/>
  </r>
  <r>
    <n v="321483"/>
    <s v="Vinchi"/>
    <s v="Chan"/>
    <x v="5"/>
    <s v="Work in Store"/>
    <s v="Working in Store - Spotlight South Melbourne"/>
    <x v="0"/>
    <d v="2023-08-21T00:00:00"/>
    <d v="2023-09-01T00:00:00"/>
    <s v="Working in Store - Spotlight South Melbourne"/>
    <s v="Learning"/>
    <n v="1"/>
    <s v="South Melbourne"/>
    <x v="2"/>
    <n v="1"/>
    <s v="S027"/>
    <x v="13"/>
    <x v="0"/>
    <x v="26"/>
    <s v="Q1, FY24"/>
  </r>
  <r>
    <n v="230701"/>
    <s v="Vijay"/>
    <s v="Shanbhag"/>
    <x v="2"/>
    <s v="Work in Store"/>
    <s v="Harris Scarfe Working in Stores - Geelong"/>
    <x v="0"/>
    <d v="2023-08-14T00:00:00"/>
    <d v="2023-08-24T00:00:00"/>
    <s v="Working in Store - Harris Scarfe Geelong"/>
    <s v="Learning"/>
    <n v="1"/>
    <s v="Geelong"/>
    <x v="2"/>
    <n v="1"/>
    <s v="HS2021"/>
    <x v="63"/>
    <x v="2"/>
    <x v="27"/>
    <s v="Q1, FY24"/>
  </r>
  <r>
    <n v="225944"/>
    <s v="Elise"/>
    <s v="Forsyth-Harrison"/>
    <x v="2"/>
    <s v="Work in Store"/>
    <s v="Working in Store - Spotlight South Morang"/>
    <x v="0"/>
    <d v="2023-08-10T00:00:00"/>
    <d v="2023-08-18T00:00:00"/>
    <s v="Working in Store - Spotlight South Morang"/>
    <s v="Learning"/>
    <n v="1"/>
    <s v="South Morang"/>
    <x v="2"/>
    <n v="1"/>
    <s v="S113"/>
    <x v="51"/>
    <x v="0"/>
    <x v="27"/>
    <s v="Q1, FY24"/>
  </r>
  <r>
    <n v="314434"/>
    <s v="Michel"/>
    <s v="Gloutnay"/>
    <x v="5"/>
    <s v="Work in Store"/>
    <s v="Harris Scarfe Working in Stores - Forest Hill"/>
    <x v="0"/>
    <d v="2023-08-03T00:00:00"/>
    <d v="2023-11-16T00:00:00"/>
    <s v="Working in Store - Harris Scarfe Forest Hill"/>
    <s v="Learning"/>
    <n v="1"/>
    <s v="Forest Hill"/>
    <x v="2"/>
    <n v="1"/>
    <s v="HS2020"/>
    <x v="44"/>
    <x v="2"/>
    <x v="24"/>
    <s v="Q2, FY24"/>
  </r>
  <r>
    <n v="329334"/>
    <s v="Ankit"/>
    <s v="Bansal"/>
    <x v="2"/>
    <s v="Work in Store"/>
    <s v="Harris Scarfe Working in Stores - Blacktown"/>
    <x v="0"/>
    <d v="2023-08-03T00:00:00"/>
    <d v="2023-09-22T00:00:00"/>
    <s v="Working in Store - Harris Scarfe Blacktown"/>
    <s v="Learning"/>
    <n v="1"/>
    <s v="Blacktown"/>
    <x v="2"/>
    <n v="1"/>
    <s v="HS5054"/>
    <x v="65"/>
    <x v="2"/>
    <x v="26"/>
    <s v="Q1, FY24"/>
  </r>
  <r>
    <n v="329250"/>
    <s v="Mohit"/>
    <s v="Sharma"/>
    <x v="2"/>
    <s v="Work in Store"/>
    <s v="Harris Scarfe Working in Stores - Spencer Outlet"/>
    <x v="0"/>
    <d v="2023-08-03T00:00:00"/>
    <d v="2023-08-15T00:00:00"/>
    <s v="Working in Store - Harris Scarfe Spencer Outlet"/>
    <s v="Learning"/>
    <n v="1"/>
    <s v="Docklands"/>
    <x v="2"/>
    <n v="1"/>
    <s v="HS2016"/>
    <x v="16"/>
    <x v="2"/>
    <x v="27"/>
    <s v="Q1, FY24"/>
  </r>
  <r>
    <n v="323623"/>
    <s v="Julie"/>
    <s v="Huang"/>
    <x v="5"/>
    <s v="Work in Store"/>
    <s v="Working in Store - Spotlight Box Hill"/>
    <x v="0"/>
    <d v="2023-08-01T00:00:00"/>
    <d v="2023-10-20T00:00:00"/>
    <s v="Working in Store - Spotlight Box Hill"/>
    <s v="Learning"/>
    <n v="2"/>
    <s v="Box Hill"/>
    <x v="2"/>
    <n v="0"/>
    <s v="S002"/>
    <x v="17"/>
    <x v="0"/>
    <x v="25"/>
    <s v="Q2, FY24"/>
  </r>
  <r>
    <n v="328014"/>
    <s v="Yuan"/>
    <s v="Jiang"/>
    <x v="5"/>
    <s v="Work in Store"/>
    <s v="Working in Store - Spotlight Box Hill"/>
    <x v="0"/>
    <d v="2023-08-01T00:00:00"/>
    <d v="2023-10-20T00:00:00"/>
    <s v="Working in Store - Spotlight Box Hill"/>
    <s v="Learning"/>
    <n v="2"/>
    <s v="Box Hill"/>
    <x v="2"/>
    <n v="0"/>
    <s v="S002"/>
    <x v="17"/>
    <x v="0"/>
    <x v="25"/>
    <s v="Q2, FY24"/>
  </r>
  <r>
    <n v="312588"/>
    <s v="Jade"/>
    <s v="Tan"/>
    <x v="2"/>
    <s v="Work in Store"/>
    <s v="Anaconda Working in Stores - Narre Warren"/>
    <x v="0"/>
    <d v="2023-07-24T00:00:00"/>
    <d v="2023-08-08T00:00:00"/>
    <s v="Working in Store - Anaconda Narre Warren"/>
    <s v="Learning"/>
    <n v="1"/>
    <s v="Fountain Gate"/>
    <x v="2"/>
    <n v="1"/>
    <s v="A017"/>
    <x v="37"/>
    <x v="1"/>
    <x v="27"/>
    <s v="Q1, FY24"/>
  </r>
  <r>
    <n v="215248"/>
    <s v="Andrea"/>
    <s v="Day"/>
    <x v="2"/>
    <s v="Work in Store"/>
    <s v="Working in Store - Spotlight Mildura"/>
    <x v="0"/>
    <d v="2023-07-03T00:00:00"/>
    <d v="2023-08-28T00:00:00"/>
    <s v="Working in Store - Spotlight Mildura"/>
    <s v="Learning"/>
    <n v="1"/>
    <s v="Mildura"/>
    <x v="2"/>
    <n v="1"/>
    <s v="S017"/>
    <x v="66"/>
    <x v="0"/>
    <x v="26"/>
    <s v="Q1, FY24"/>
  </r>
  <r>
    <n v="317999"/>
    <s v="Nestor"/>
    <s v="Valverde Castro"/>
    <x v="0"/>
    <s v="Work in Store"/>
    <s v="Anaconda Working in Stores - Hawthorn East"/>
    <x v="0"/>
    <d v="2023-06-19T00:00:00"/>
    <d v="2023-06-27T00:00:00"/>
    <s v="Working in Store - Anaconda Hawthorn East"/>
    <s v="Learning"/>
    <n v="1"/>
    <s v="Hawthorn East"/>
    <x v="2"/>
    <n v="1"/>
    <s v="A058"/>
    <x v="21"/>
    <x v="1"/>
    <x v="28"/>
    <s v="Q1, FY24"/>
  </r>
  <r>
    <n v="298668"/>
    <s v="Michael"/>
    <s v="Johnson"/>
    <x v="3"/>
    <s v="Work in Store"/>
    <s v="Working in Stores - Anaconda Mile End"/>
    <x v="0"/>
    <d v="2023-06-13T00:00:00"/>
    <d v="2023-06-23T00:00:00"/>
    <s v="Anaconda Mile End"/>
    <s v="Learning"/>
    <n v="1"/>
    <m/>
    <x v="2"/>
    <n v="1"/>
    <s v="A008"/>
    <x v="67"/>
    <x v="1"/>
    <x v="29"/>
    <s v="Q4, FY23"/>
  </r>
  <r>
    <n v="316845"/>
    <s v="Peter"/>
    <s v="Manadheera"/>
    <x v="2"/>
    <s v="Work in Store"/>
    <s v="Anaconda Working in Stores - Narre Warren"/>
    <x v="0"/>
    <d v="2023-06-13T00:00:00"/>
    <d v="2023-06-23T00:00:00"/>
    <s v="Working in Store - Anaconda Narre Warren"/>
    <s v="Learning"/>
    <n v="1"/>
    <s v="Fountain Gate"/>
    <x v="2"/>
    <n v="1"/>
    <s v="A017"/>
    <x v="37"/>
    <x v="1"/>
    <x v="29"/>
    <s v="Q4, FY23"/>
  </r>
  <r>
    <n v="323134"/>
    <s v="Harsimar"/>
    <s v="Kaur"/>
    <x v="2"/>
    <s v="Work in Store"/>
    <s v="Anaconda Working in Stores - Narre Warren"/>
    <x v="0"/>
    <d v="2023-06-08T00:00:00"/>
    <d v="2023-09-13T00:00:00"/>
    <s v="Working in Store - Anaconda Narre Warren"/>
    <s v="Learning"/>
    <n v="1"/>
    <s v="Fountain Gate"/>
    <x v="2"/>
    <n v="1"/>
    <s v="A017"/>
    <x v="37"/>
    <x v="1"/>
    <x v="26"/>
    <s v="Q1, FY24"/>
  </r>
  <r>
    <n v="312878"/>
    <s v="Shaistha"/>
    <s v="Begum"/>
    <x v="2"/>
    <s v="Work in Store"/>
    <s v="Working in Store - Spotlight South Melbourne"/>
    <x v="0"/>
    <d v="2023-06-08T00:00:00"/>
    <d v="2023-08-11T00:00:00"/>
    <s v="Working in Store - Spotlight South Melbourne"/>
    <s v="Learning"/>
    <n v="1"/>
    <s v="South Melbourne"/>
    <x v="2"/>
    <n v="1"/>
    <s v="S027"/>
    <x v="13"/>
    <x v="0"/>
    <x v="27"/>
    <s v="Q1, FY24"/>
  </r>
  <r>
    <n v="225944"/>
    <s v="Elise"/>
    <s v="Forsyth-Harrison"/>
    <x v="2"/>
    <s v="Work in Store"/>
    <s v="Harris Scarfe Working in Stores - Epping"/>
    <x v="0"/>
    <d v="2023-06-08T00:00:00"/>
    <d v="2023-07-19T00:00:00"/>
    <s v="Working in Store - Harris Scarfe Epping"/>
    <s v="Learning"/>
    <n v="1"/>
    <s v="Epping"/>
    <x v="2"/>
    <n v="1"/>
    <s v="HS2023"/>
    <x v="28"/>
    <x v="2"/>
    <x v="28"/>
    <s v="Q1, FY24"/>
  </r>
  <r>
    <n v="298250"/>
    <s v="Pradip"/>
    <s v="Marek"/>
    <x v="2"/>
    <s v="Work in Store"/>
    <s v="Working in Store - Spotlight Gepps Cross"/>
    <x v="0"/>
    <d v="2023-06-08T00:00:00"/>
    <d v="2023-07-13T00:00:00"/>
    <s v="Working in Store - Spotlight Gepps Cross"/>
    <s v="Learning"/>
    <n v="1"/>
    <s v="Gepps Cross"/>
    <x v="2"/>
    <n v="1"/>
    <s v="S119"/>
    <x v="68"/>
    <x v="0"/>
    <x v="28"/>
    <s v="Q1, FY24"/>
  </r>
  <r>
    <n v="298250"/>
    <s v="Pradip"/>
    <s v="Marek"/>
    <x v="2"/>
    <s v="Work in Store"/>
    <s v="Anaconda Working in Stores - Modbury"/>
    <x v="0"/>
    <d v="2023-06-08T00:00:00"/>
    <d v="2023-06-28T00:00:00"/>
    <s v="Working in Store - Anaconda Modbury"/>
    <s v="Learning"/>
    <n v="1"/>
    <s v="Modbury"/>
    <x v="2"/>
    <n v="1"/>
    <s v="A032"/>
    <x v="41"/>
    <x v="1"/>
    <x v="28"/>
    <s v="Q1, FY24"/>
  </r>
  <r>
    <n v="297902"/>
    <s v="Natasha"/>
    <s v="Mcpherson"/>
    <x v="13"/>
    <s v="Work in Store"/>
    <s v="Working in Store - Spotlight South Melbourne"/>
    <x v="0"/>
    <d v="2023-06-07T00:00:00"/>
    <d v="2023-06-21T00:00:00"/>
    <s v="Working in Store - Spotlight South Melbourne"/>
    <s v="Learning"/>
    <n v="1"/>
    <s v="South Melbourne"/>
    <x v="2"/>
    <n v="1"/>
    <s v="S027"/>
    <x v="13"/>
    <x v="0"/>
    <x v="29"/>
    <s v="Q4, FY23"/>
  </r>
  <r>
    <n v="326563"/>
    <s v="Naveen"/>
    <s v="Prakash"/>
    <x v="2"/>
    <s v="Work in Store"/>
    <s v="Harris Scarfe Working in Stores - Epping"/>
    <x v="0"/>
    <d v="2023-06-07T00:00:00"/>
    <d v="2023-06-16T00:00:00"/>
    <s v="Working in Store - Harris Scarfe Epping"/>
    <s v="Learning"/>
    <n v="1"/>
    <s v="Epping"/>
    <x v="2"/>
    <n v="1"/>
    <s v="HS2023"/>
    <x v="28"/>
    <x v="2"/>
    <x v="29"/>
    <s v="Q4, FY23"/>
  </r>
  <r>
    <n v="298748"/>
    <s v="Andre"/>
    <s v="Wilbraham"/>
    <x v="3"/>
    <s v="Work in Store"/>
    <s v="Anaconda Working in Stores - Watergardens"/>
    <x v="0"/>
    <d v="2023-06-07T00:00:00"/>
    <d v="2023-06-15T00:00:00"/>
    <s v="Working in Store - Anaconda Watergardens"/>
    <s v="Learning"/>
    <n v="1"/>
    <s v="Taylors Lake"/>
    <x v="2"/>
    <n v="1"/>
    <s v="A040"/>
    <x v="6"/>
    <x v="1"/>
    <x v="29"/>
    <s v="Q4, FY23"/>
  </r>
  <r>
    <n v="297902"/>
    <s v="Natasha"/>
    <s v="Mcpherson"/>
    <x v="13"/>
    <s v="Work in Store"/>
    <s v="Working in Store - Spotlight Mentone"/>
    <x v="0"/>
    <d v="2023-06-06T00:00:00"/>
    <d v="2023-07-05T00:00:00"/>
    <s v="Working in Store - Spotlight Mentone"/>
    <s v="Learning"/>
    <n v="1"/>
    <s v="Mentone"/>
    <x v="2"/>
    <n v="1"/>
    <s v="S004"/>
    <x v="69"/>
    <x v="0"/>
    <x v="28"/>
    <s v="Q1, FY24"/>
  </r>
  <r>
    <n v="323566"/>
    <s v="Tim"/>
    <s v="Charman"/>
    <x v="3"/>
    <s v="Work in Store"/>
    <s v="Harris Scarfe Working in Stores - Airport West"/>
    <x v="0"/>
    <d v="2023-06-05T00:00:00"/>
    <d v="2023-11-24T00:00:00"/>
    <s v="Working in Store - Harris Scarfe Airport West"/>
    <s v="Learning"/>
    <n v="1"/>
    <s v="Airport West"/>
    <x v="2"/>
    <n v="1"/>
    <s v="HS2027"/>
    <x v="24"/>
    <x v="2"/>
    <x v="24"/>
    <s v="Q2, FY24"/>
  </r>
  <r>
    <n v="241044"/>
    <s v="Leah"/>
    <s v="Edwards"/>
    <x v="3"/>
    <s v="Work in Store"/>
    <s v="Harris Scarfe Working in Stores - Eastland"/>
    <x v="0"/>
    <d v="2023-05-30T00:00:00"/>
    <d v="2023-12-01T00:00:00"/>
    <s v="Working in Store - Harris Scarfe Eastland"/>
    <s v="Learning"/>
    <n v="1"/>
    <s v="Ringwood"/>
    <x v="2"/>
    <n v="1"/>
    <s v="HS2033"/>
    <x v="61"/>
    <x v="2"/>
    <x v="22"/>
    <s v="Q2, FY24"/>
  </r>
  <r>
    <n v="328302"/>
    <s v="Andrea"/>
    <s v="Nicou"/>
    <x v="5"/>
    <s v="Work in Store"/>
    <s v="Harris Scarfe Working in Stores - Forest Hill"/>
    <x v="0"/>
    <d v="2023-05-29T00:00:00"/>
    <d v="2023-06-20T00:00:00"/>
    <s v="Working in Store - Harris Scarfe Forest Hill"/>
    <s v="Learning"/>
    <n v="1"/>
    <s v="Forest Hill"/>
    <x v="2"/>
    <n v="1"/>
    <s v="HS2020"/>
    <x v="44"/>
    <x v="2"/>
    <x v="29"/>
    <s v="Q4, FY23"/>
  </r>
  <r>
    <n v="328420"/>
    <s v="Tiffany"/>
    <s v="Kwee"/>
    <x v="3"/>
    <s v="Work in Store"/>
    <s v="Working in Store - Spotlight The Glen Creative"/>
    <x v="0"/>
    <d v="2023-05-26T00:00:00"/>
    <d v="2023-07-11T00:00:00"/>
    <s v="Working in Store - Spotlight The Glen Creative"/>
    <s v="Learning"/>
    <n v="1"/>
    <s v="Glen Waverley"/>
    <x v="2"/>
    <n v="1"/>
    <s v="S159"/>
    <x v="8"/>
    <x v="0"/>
    <x v="28"/>
    <s v="Q1, FY24"/>
  </r>
  <r>
    <n v="328927"/>
    <s v="Lucy"/>
    <s v="Lu"/>
    <x v="5"/>
    <s v="Work in Store"/>
    <s v="Working in Store - Spotlight Sandown"/>
    <x v="0"/>
    <d v="2023-05-24T00:00:00"/>
    <d v="2023-06-02T00:00:00"/>
    <s v="Working in Store - Spotlight Sandown"/>
    <s v="Learning"/>
    <n v="1"/>
    <s v="SPRINGVALE"/>
    <x v="2"/>
    <n v="1"/>
    <s v="S005"/>
    <x v="31"/>
    <x v="0"/>
    <x v="29"/>
    <s v="Q4, FY23"/>
  </r>
  <r>
    <n v="234423"/>
    <s v="Mark"/>
    <s v="Furey"/>
    <x v="3"/>
    <s v="Work in Store"/>
    <s v="Working in Store - Spotlight Roxburgh Park"/>
    <x v="0"/>
    <d v="2023-05-23T00:00:00"/>
    <d v="2023-05-30T00:00:00"/>
    <s v="Working in Store - Spotlight Roxburgh Park"/>
    <s v="Learning"/>
    <n v="1"/>
    <s v="Roxburgh Park"/>
    <x v="2"/>
    <n v="1"/>
    <s v="S145"/>
    <x v="1"/>
    <x v="0"/>
    <x v="29"/>
    <s v="Q4, FY23"/>
  </r>
  <r>
    <n v="234423"/>
    <s v="Mark"/>
    <s v="Furey"/>
    <x v="3"/>
    <s v="Work in Store"/>
    <s v="Anaconda Working in Stores - Maribyrnong"/>
    <x v="0"/>
    <d v="2023-05-23T00:00:00"/>
    <d v="2023-05-25T00:00:00"/>
    <s v="Working in Store - Anaconda Maribyrnong"/>
    <s v="Learning"/>
    <n v="1"/>
    <s v="Maribyrnong"/>
    <x v="2"/>
    <n v="1"/>
    <s v="A042"/>
    <x v="32"/>
    <x v="1"/>
    <x v="30"/>
    <s v="Q4, FY23"/>
  </r>
  <r>
    <n v="308528"/>
    <s v="Jacqueline"/>
    <s v="Doria"/>
    <x v="3"/>
    <s v="Work in Store"/>
    <s v="Harris Scarfe Working in Stores - Spencer Outlet"/>
    <x v="0"/>
    <d v="2023-05-19T00:00:00"/>
    <d v="2023-12-15T00:00:00"/>
    <s v="Working in Store - Harris Scarfe Spencer Outlet"/>
    <s v="Learning"/>
    <n v="1"/>
    <s v="Docklands"/>
    <x v="2"/>
    <n v="1"/>
    <s v="HS2016"/>
    <x v="16"/>
    <x v="2"/>
    <x v="22"/>
    <s v="Q2, FY24"/>
  </r>
  <r>
    <n v="308528"/>
    <s v="Jacqueline"/>
    <s v="Doria"/>
    <x v="3"/>
    <s v="Work in Store"/>
    <s v="Anaconda Working in Stores - Hawthorn East"/>
    <x v="0"/>
    <d v="2023-05-19T00:00:00"/>
    <d v="2023-07-07T00:00:00"/>
    <s v="Working in Store - Anaconda Hawthorn East"/>
    <s v="Learning"/>
    <n v="1"/>
    <s v="Hawthorn East"/>
    <x v="2"/>
    <n v="1"/>
    <s v="A058"/>
    <x v="21"/>
    <x v="1"/>
    <x v="28"/>
    <s v="Q1, FY24"/>
  </r>
  <r>
    <n v="231160"/>
    <s v="Frank"/>
    <s v="Dalupang"/>
    <x v="3"/>
    <s v="Work in Store"/>
    <s v="Working in Store - Spotlight Burnside"/>
    <x v="0"/>
    <d v="2023-05-18T00:00:00"/>
    <d v="2023-12-15T00:00:00"/>
    <s v="Working in Store - Spotlight Burnside"/>
    <s v="Learning"/>
    <n v="1"/>
    <s v="Caroline Springs"/>
    <x v="2"/>
    <n v="1"/>
    <s v="S098"/>
    <x v="26"/>
    <x v="0"/>
    <x v="22"/>
    <s v="Q2, FY24"/>
  </r>
  <r>
    <n v="324998"/>
    <s v="Jaspreet Kaur"/>
    <s v="Satwan Singh"/>
    <x v="2"/>
    <s v="Work in Store"/>
    <s v="Harris Scarfe Working in Stores - Tarneit"/>
    <x v="0"/>
    <d v="2023-05-17T00:00:00"/>
    <d v="2023-10-06T00:00:00"/>
    <s v="Working in Store - Harris Scarfe Tarneit"/>
    <s v="Learning"/>
    <n v="1"/>
    <s v="Tarneit"/>
    <x v="2"/>
    <n v="1"/>
    <s v="HS2048"/>
    <x v="35"/>
    <x v="2"/>
    <x v="25"/>
    <s v="Q2, FY24"/>
  </r>
  <r>
    <n v="203082"/>
    <s v="Nancy"/>
    <s v="Goegan"/>
    <x v="3"/>
    <s v="Work in Store"/>
    <s v="Harris Scarfe Working in Stores - Tarneit"/>
    <x v="0"/>
    <d v="2023-05-17T00:00:00"/>
    <d v="2023-08-03T00:00:00"/>
    <s v="Working in Store - Harris Scarfe Tarneit"/>
    <s v="Learning"/>
    <n v="1"/>
    <s v="Tarneit"/>
    <x v="2"/>
    <n v="1"/>
    <s v="HS2048"/>
    <x v="35"/>
    <x v="2"/>
    <x v="27"/>
    <s v="Q1, FY24"/>
  </r>
  <r>
    <n v="300560"/>
    <s v="Wayne"/>
    <s v="Micallef"/>
    <x v="3"/>
    <s v="Work in Store"/>
    <s v="Working in Stores - Anaconda Penrith"/>
    <x v="0"/>
    <d v="2023-05-17T00:00:00"/>
    <d v="2023-06-14T00:00:00"/>
    <s v="Working in Store - Anaconda Penrith"/>
    <s v="Learning"/>
    <n v="1"/>
    <m/>
    <x v="2"/>
    <n v="1"/>
    <s v="A012"/>
    <x v="70"/>
    <x v="1"/>
    <x v="29"/>
    <s v="Q4, FY23"/>
  </r>
  <r>
    <n v="328420"/>
    <s v="Tiffany"/>
    <s v="Kwee"/>
    <x v="3"/>
    <s v="Work in Store"/>
    <s v="Anaconda Working in Stores - Springvale"/>
    <x v="0"/>
    <d v="2023-05-17T00:00:00"/>
    <d v="2023-06-09T00:00:00"/>
    <s v="Working in Store - Anaconda Springvale"/>
    <s v="Learning"/>
    <n v="1"/>
    <s v="Springvale"/>
    <x v="2"/>
    <n v="1"/>
    <s v="A026"/>
    <x v="3"/>
    <x v="1"/>
    <x v="29"/>
    <s v="Q4, FY23"/>
  </r>
  <r>
    <n v="321424"/>
    <s v="Vicki"/>
    <s v="Liassos"/>
    <x v="5"/>
    <s v="Work in Store"/>
    <s v="Harris Scarfe Working in Stores - Airport West"/>
    <x v="0"/>
    <d v="2023-05-17T00:00:00"/>
    <d v="2023-06-06T00:00:00"/>
    <s v="Working in Store - Harris Scarfe Airport West"/>
    <s v="Learning"/>
    <n v="1"/>
    <s v="Airport West"/>
    <x v="2"/>
    <n v="1"/>
    <s v="HS2027"/>
    <x v="24"/>
    <x v="2"/>
    <x v="29"/>
    <s v="Q4, FY23"/>
  </r>
  <r>
    <n v="312948"/>
    <s v="Ahmed"/>
    <s v="Gulamali"/>
    <x v="3"/>
    <s v="Work in Store"/>
    <s v="Working in Store - Spotlight Essendon"/>
    <x v="0"/>
    <d v="2023-05-16T00:00:00"/>
    <d v="2023-12-08T00:00:00"/>
    <s v="Working in Store - Spotlight Essendon"/>
    <s v="Learning"/>
    <n v="2"/>
    <s v="Strathmore"/>
    <x v="2"/>
    <n v="0"/>
    <s v="S008"/>
    <x v="11"/>
    <x v="0"/>
    <x v="22"/>
    <s v="Q2, FY24"/>
  </r>
  <r>
    <n v="312948"/>
    <s v="Ahmed"/>
    <s v="Gulamali"/>
    <x v="3"/>
    <s v="Work in Store"/>
    <s v="Working in Store - Spotlight Burnside"/>
    <x v="0"/>
    <d v="2023-05-16T00:00:00"/>
    <d v="2023-06-02T00:00:00"/>
    <s v="Working in Store - Spotlight Burnside"/>
    <s v="Learning"/>
    <n v="1"/>
    <s v="Caroline Springs"/>
    <x v="2"/>
    <n v="1"/>
    <s v="S098"/>
    <x v="26"/>
    <x v="0"/>
    <x v="29"/>
    <s v="Q4, FY23"/>
  </r>
  <r>
    <n v="209050"/>
    <s v="Antonio"/>
    <s v="Lai Patricio Coelho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1"/>
    <n v="179"/>
    <s v="Exempt"/>
    <x v="50"/>
    <x v="3"/>
    <x v="23"/>
    <s v="Q3, FY24"/>
  </r>
  <r>
    <n v="228198"/>
    <s v="Jill"/>
    <s v="Jardine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1"/>
    <n v="179"/>
    <s v="Exempt"/>
    <x v="50"/>
    <x v="3"/>
    <x v="23"/>
    <s v="Q3, FY24"/>
  </r>
  <r>
    <n v="232151"/>
    <s v="Rebecca"/>
    <s v="Kidd"/>
    <x v="1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298314"/>
    <s v="Luba"/>
    <s v="Mitreska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298316"/>
    <s v="Mark"/>
    <s v="Boyd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298317"/>
    <s v="Brea"/>
    <s v="Rollinson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09143"/>
    <s v="Bobby"/>
    <s v="Sajja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0638"/>
    <s v="Marie"/>
    <s v="Uisa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3934"/>
    <s v="Joseph Hew"/>
    <s v="Hew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1"/>
    <n v="179"/>
    <s v="Exempt"/>
    <x v="50"/>
    <x v="3"/>
    <x v="23"/>
    <s v="Q3, FY24"/>
  </r>
  <r>
    <n v="324220"/>
    <s v="Victor"/>
    <s v="Zeng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7165"/>
    <s v="Hayley"/>
    <s v="Maxwell"/>
    <x v="8"/>
    <s v="Work in Store"/>
    <s v="Exemption - Working in Store 2023"/>
    <x v="0"/>
    <d v="2023-05-15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21729"/>
    <s v="Aaron"/>
    <s v="Sarson"/>
    <x v="6"/>
    <s v="Work in Store"/>
    <s v="Harris Scarfe Working in Stores - Knox"/>
    <x v="0"/>
    <d v="2023-05-15T00:00:00"/>
    <d v="2023-08-11T00:00:00"/>
    <s v="Working in Store - Harris Scarfe Knox"/>
    <s v="Learning"/>
    <n v="1"/>
    <s v="Wantirna South"/>
    <x v="2"/>
    <n v="1"/>
    <s v="HS2022"/>
    <x v="14"/>
    <x v="2"/>
    <x v="27"/>
    <s v="Q1, FY24"/>
  </r>
  <r>
    <n v="321729"/>
    <s v="Aaron"/>
    <s v="Sarson"/>
    <x v="6"/>
    <s v="Work in Store"/>
    <s v="Working in Store - Spotlight Box Hill"/>
    <x v="0"/>
    <d v="2023-05-15T00:00:00"/>
    <d v="2023-08-04T00:00:00"/>
    <s v="Working in Store - Spotlight Box Hill"/>
    <s v="Learning"/>
    <n v="1"/>
    <s v="Box Hill"/>
    <x v="2"/>
    <n v="1"/>
    <s v="S002"/>
    <x v="17"/>
    <x v="0"/>
    <x v="27"/>
    <s v="Q1, FY24"/>
  </r>
  <r>
    <n v="312091"/>
    <s v="Adam Roberts"/>
    <s v="Roberts"/>
    <x v="0"/>
    <s v="Work in Store"/>
    <s v="Anaconda Working in Stores - Box Hill"/>
    <x v="0"/>
    <d v="2023-05-15T00:00:00"/>
    <d v="2023-06-06T00:00:00"/>
    <s v="Working in Store - Anaconda Box Hill"/>
    <s v="Learning"/>
    <n v="1"/>
    <s v="Box Hill"/>
    <x v="2"/>
    <n v="1"/>
    <s v="A041"/>
    <x v="4"/>
    <x v="1"/>
    <x v="29"/>
    <s v="Q4, FY23"/>
  </r>
  <r>
    <n v="298254"/>
    <s v="Michael"/>
    <s v="Tan"/>
    <x v="1"/>
    <s v="Work in Store"/>
    <s v="Harris Scarfe Working in Store - Gepps Cross"/>
    <x v="0"/>
    <d v="2023-05-15T00:00:00"/>
    <d v="2023-06-05T00:00:00"/>
    <s v="Working in Store - Harris Scarfe Gepps Cross"/>
    <s v="Learning"/>
    <n v="1"/>
    <m/>
    <x v="2"/>
    <n v="1"/>
    <s v="HS1013"/>
    <x v="71"/>
    <x v="2"/>
    <x v="29"/>
    <s v="Q4, FY23"/>
  </r>
  <r>
    <n v="324851"/>
    <s v="Aleecia"/>
    <s v="Rae"/>
    <x v="0"/>
    <s v="Work in Store"/>
    <s v="Harris Scarfe Working in Stores - Spencer Outlet"/>
    <x v="0"/>
    <d v="2023-05-15T00:00:00"/>
    <d v="2023-06-01T00:00:00"/>
    <s v="Working in Store - Harris Scarfe Spencer Outlet"/>
    <s v="Learning"/>
    <n v="1"/>
    <s v="Docklands"/>
    <x v="2"/>
    <n v="1"/>
    <s v="HS2016"/>
    <x v="16"/>
    <x v="2"/>
    <x v="29"/>
    <s v="Q4, FY23"/>
  </r>
  <r>
    <n v="314778"/>
    <s v="Gabrielle"/>
    <s v="Xu"/>
    <x v="5"/>
    <s v="Work in Store"/>
    <s v="Exemption - Working in Store 2023"/>
    <x v="0"/>
    <d v="2023-05-12T00:00:00"/>
    <d v="2023-12-31T00:00:00"/>
    <s v="Work in store -Exemption 2023"/>
    <s v="Learning"/>
    <n v="21"/>
    <s v="South Melbourne"/>
    <x v="0"/>
    <n v="179"/>
    <s v="Exempt"/>
    <x v="50"/>
    <x v="3"/>
    <x v="23"/>
    <s v="Q3, FY24"/>
  </r>
  <r>
    <n v="316827"/>
    <s v="Dave"/>
    <s v="Bassett"/>
    <x v="5"/>
    <s v="Work in Store"/>
    <s v="Exemption - Working in Store 2023"/>
    <x v="0"/>
    <d v="2023-05-12T00:00:00"/>
    <d v="2023-12-31T00:00:00"/>
    <s v="Work in store -Exemption 2023"/>
    <s v="Learning"/>
    <n v="21"/>
    <s v="South Melbourne"/>
    <x v="2"/>
    <n v="179"/>
    <s v="Exempt"/>
    <x v="50"/>
    <x v="3"/>
    <x v="23"/>
    <s v="Q3, FY24"/>
  </r>
  <r>
    <n v="208565"/>
    <s v="Helen"/>
    <s v="Athanasakopoulos"/>
    <x v="3"/>
    <s v="Work in Store"/>
    <s v="Harris Scarfe Working in Stores - Airport West"/>
    <x v="0"/>
    <d v="2023-05-12T00:00:00"/>
    <d v="2023-10-26T00:00:00"/>
    <s v="Working in Store - Harris Scarfe Airport West"/>
    <s v="Learning"/>
    <n v="1"/>
    <s v="Airport West"/>
    <x v="2"/>
    <n v="1"/>
    <s v="HS2027"/>
    <x v="24"/>
    <x v="2"/>
    <x v="24"/>
    <s v="Q2, FY24"/>
  </r>
  <r>
    <n v="326639"/>
    <s v="Sam"/>
    <s v="Goel"/>
    <x v="1"/>
    <s v="Work in Store"/>
    <s v="Working in Stores - Spotlight Bayswater"/>
    <x v="0"/>
    <d v="2023-05-12T00:00:00"/>
    <d v="2023-09-07T00:00:00"/>
    <s v="Working in Store - Spotlight Bayswater"/>
    <s v="Learning"/>
    <n v="1"/>
    <s v="Bayswater"/>
    <x v="2"/>
    <n v="1"/>
    <s v="S014"/>
    <x v="15"/>
    <x v="0"/>
    <x v="26"/>
    <s v="Q1, FY24"/>
  </r>
  <r>
    <n v="208565"/>
    <s v="Helen"/>
    <s v="Athanasakopoulos"/>
    <x v="3"/>
    <s v="Work in Store"/>
    <s v="Working in Store - Spotlight Essendon"/>
    <x v="0"/>
    <d v="2023-05-12T00:00:00"/>
    <d v="2023-08-31T00:00:00"/>
    <s v="Working in Store - Spotlight Essendon"/>
    <s v="Learning"/>
    <n v="1"/>
    <s v="Strathmore"/>
    <x v="2"/>
    <n v="1"/>
    <s v="S008"/>
    <x v="11"/>
    <x v="0"/>
    <x v="26"/>
    <s v="Q1, FY24"/>
  </r>
  <r>
    <n v="327843"/>
    <s v="Priya"/>
    <s v="Parthasarathy"/>
    <x v="1"/>
    <s v="Work in Store"/>
    <s v="Working in Store - Spotlight Hoppers Crossing"/>
    <x v="0"/>
    <d v="2023-05-12T00:00:00"/>
    <d v="2023-08-08T00:00:00"/>
    <s v="Working in Store - Spotlight Hoppers Crossing"/>
    <s v="Learning"/>
    <n v="1"/>
    <s v="Hoppers Crossing"/>
    <x v="2"/>
    <n v="1"/>
    <s v="S034"/>
    <x v="7"/>
    <x v="0"/>
    <x v="27"/>
    <s v="Q1, FY24"/>
  </r>
  <r>
    <n v="234830"/>
    <s v="Bernie"/>
    <s v="Neilsen"/>
    <x v="0"/>
    <s v="Work in Store"/>
    <s v="Exemption - Working in Store 2023"/>
    <x v="0"/>
    <d v="2023-05-11T00:00:00"/>
    <d v="2023-12-31T00:00:00"/>
    <s v="Work in store -Exemption 2023"/>
    <s v="Learning"/>
    <n v="21"/>
    <s v="South Melbourne"/>
    <x v="2"/>
    <n v="179"/>
    <s v="Exempt"/>
    <x v="50"/>
    <x v="3"/>
    <x v="23"/>
    <s v="Q3, FY24"/>
  </r>
  <r>
    <n v="301137"/>
    <s v="Claire"/>
    <s v="Harrington"/>
    <x v="2"/>
    <s v="Work in Store"/>
    <s v="Exemption - Working in Store 2023"/>
    <x v="0"/>
    <d v="2023-05-11T00:00:00"/>
    <d v="2023-12-31T00:00:00"/>
    <s v="Work in store -Exemption 2023"/>
    <s v="Learning"/>
    <n v="21"/>
    <s v="South Melbourne"/>
    <x v="2"/>
    <n v="179"/>
    <s v="Exempt"/>
    <x v="50"/>
    <x v="3"/>
    <x v="23"/>
    <s v="Q3, FY24"/>
  </r>
  <r>
    <n v="323566"/>
    <s v="Tim"/>
    <s v="Charman"/>
    <x v="3"/>
    <s v="Work in Store"/>
    <s v="Working in Store - Spotlight Essendon"/>
    <x v="0"/>
    <d v="2023-05-11T00:00:00"/>
    <d v="2023-12-08T00:00:00"/>
    <s v="Working in Store - Spotlight Essendon"/>
    <s v="Learning"/>
    <n v="2"/>
    <s v="Strathmore"/>
    <x v="2"/>
    <n v="0"/>
    <s v="S008"/>
    <x v="11"/>
    <x v="0"/>
    <x v="22"/>
    <s v="Q2, FY24"/>
  </r>
  <r>
    <n v="229474"/>
    <s v="Simone"/>
    <s v="Mcabee"/>
    <x v="5"/>
    <s v="Work in Store"/>
    <s v="Exemption - Working in Store"/>
    <x v="0"/>
    <d v="2023-05-11T00:00:00"/>
    <d v="2023-12-01T00:00:00"/>
    <s v="Working in Store - Exempt"/>
    <s v="Learning"/>
    <n v="3"/>
    <s v="South Melbourne"/>
    <x v="1"/>
    <n v="197"/>
    <s v="Exempt"/>
    <x v="50"/>
    <x v="3"/>
    <x v="22"/>
    <s v="Q2, FY24"/>
  </r>
  <r>
    <n v="201015"/>
    <s v="Anita"/>
    <s v="Ali"/>
    <x v="3"/>
    <s v="Work in Store"/>
    <s v="Working in Store - Spotlight Essendon"/>
    <x v="0"/>
    <d v="2023-05-11T00:00:00"/>
    <d v="2023-11-21T00:00:00"/>
    <s v="Working in Store - Spotlight Essendon"/>
    <s v="Learning"/>
    <n v="1"/>
    <s v="Strathmore"/>
    <x v="2"/>
    <n v="1"/>
    <s v="S008"/>
    <x v="11"/>
    <x v="0"/>
    <x v="24"/>
    <s v="Q2, FY24"/>
  </r>
  <r>
    <n v="317132"/>
    <s v="Kim"/>
    <s v="Allen"/>
    <x v="0"/>
    <s v="Work in Store"/>
    <s v="Anaconda Working in Stores - Narre Warren"/>
    <x v="0"/>
    <d v="2023-05-11T00:00:00"/>
    <d v="2023-09-05T00:00:00"/>
    <s v="Working in Store - Anaconda Narre Warren"/>
    <s v="Learning"/>
    <n v="1"/>
    <s v="Fountain Gate"/>
    <x v="2"/>
    <n v="1"/>
    <s v="A017"/>
    <x v="37"/>
    <x v="1"/>
    <x v="26"/>
    <s v="Q1, FY24"/>
  </r>
  <r>
    <n v="314636"/>
    <s v="Shona"/>
    <s v="Buttrey"/>
    <x v="0"/>
    <s v="Work in Store"/>
    <s v="Harris Scarfe Working in Stores - Eastland"/>
    <x v="0"/>
    <d v="2023-05-11T00:00:00"/>
    <d v="2023-08-16T00:00:00"/>
    <s v="Working in Store - Harris Scarfe Eastland"/>
    <s v="Learning"/>
    <n v="1"/>
    <s v="Ringwood"/>
    <x v="2"/>
    <n v="1"/>
    <s v="HS2033"/>
    <x v="61"/>
    <x v="2"/>
    <x v="27"/>
    <s v="Q1, FY24"/>
  </r>
  <r>
    <n v="325114"/>
    <s v="Susanty"/>
    <s v="Irawan"/>
    <x v="3"/>
    <s v="Work in Store"/>
    <s v="Anaconda Working in Stores - Hoppers Crossing"/>
    <x v="0"/>
    <d v="2023-05-11T00:00:00"/>
    <d v="2023-08-11T00:00:00"/>
    <s v="Working in Store - Anaconda Hoppers Crossing"/>
    <s v="Learning"/>
    <n v="1"/>
    <s v="Hoppers Crossing"/>
    <x v="2"/>
    <n v="1"/>
    <s v="A030"/>
    <x v="39"/>
    <x v="1"/>
    <x v="27"/>
    <s v="Q1, FY24"/>
  </r>
  <r>
    <n v="297887"/>
    <s v="Manel"/>
    <s v="David"/>
    <x v="0"/>
    <s v="Work in Store"/>
    <s v="Anaconda Working in Stores - Hawthorn East"/>
    <x v="0"/>
    <d v="2023-05-11T00:00:00"/>
    <d v="2023-08-09T00:00:00"/>
    <s v="Working in Store - Anaconda Hawthorn East"/>
    <s v="Learning"/>
    <n v="1"/>
    <s v="Hawthorn East"/>
    <x v="2"/>
    <n v="1"/>
    <s v="A058"/>
    <x v="21"/>
    <x v="1"/>
    <x v="27"/>
    <s v="Q1, FY24"/>
  </r>
  <r>
    <n v="302779"/>
    <s v="Shakira"/>
    <s v="Solis"/>
    <x v="3"/>
    <s v="Work in Store"/>
    <s v="Anaconda Working in Stores - Hoppers Crossing"/>
    <x v="0"/>
    <d v="2023-05-11T00:00:00"/>
    <d v="2023-08-08T00:00:00"/>
    <s v="Working in Store - Anaconda Hoppers Crossing"/>
    <s v="Learning"/>
    <n v="1"/>
    <s v="Hoppers Crossing"/>
    <x v="2"/>
    <n v="1"/>
    <s v="A030"/>
    <x v="39"/>
    <x v="1"/>
    <x v="27"/>
    <s v="Q1, FY24"/>
  </r>
  <r>
    <n v="235019"/>
    <s v="Kate"/>
    <s v="Demme"/>
    <x v="0"/>
    <s v="Work in Store"/>
    <s v="Harris Scarfe Working in Stores - Waurn Ponds"/>
    <x v="0"/>
    <d v="2023-05-11T00:00:00"/>
    <d v="2023-07-19T00:00:00"/>
    <s v="Working in Store - Harris Scarfe Waurn Ponds"/>
    <s v="Learning"/>
    <n v="1"/>
    <s v="Waurn Ponds"/>
    <x v="2"/>
    <n v="1"/>
    <s v="HS2029"/>
    <x v="72"/>
    <x v="2"/>
    <x v="28"/>
    <s v="Q1, FY24"/>
  </r>
  <r>
    <n v="201015"/>
    <s v="Anita"/>
    <s v="Ali"/>
    <x v="3"/>
    <s v="Work in Store"/>
    <s v="Harris Scarfe Working in Stores - Airport West"/>
    <x v="0"/>
    <d v="2023-05-11T00:00:00"/>
    <d v="2023-07-18T00:00:00"/>
    <s v="Working in Store - Harris Scarfe Airport West"/>
    <s v="Learning"/>
    <n v="2"/>
    <s v="Airport West"/>
    <x v="2"/>
    <n v="0"/>
    <s v="HS2027"/>
    <x v="24"/>
    <x v="2"/>
    <x v="28"/>
    <s v="Q1, FY24"/>
  </r>
  <r>
    <n v="205870"/>
    <s v="Joanne"/>
    <s v="Fatai"/>
    <x v="3"/>
    <s v="Work in Store"/>
    <s v="Harris Scarfe Working in Stores - Airport West"/>
    <x v="0"/>
    <d v="2023-05-11T00:00:00"/>
    <d v="2023-07-18T00:00:00"/>
    <s v="Working in Store - Harris Scarfe Airport West"/>
    <s v="Learning"/>
    <n v="2"/>
    <s v="Airport West"/>
    <x v="2"/>
    <n v="0"/>
    <s v="HS2027"/>
    <x v="24"/>
    <x v="2"/>
    <x v="28"/>
    <s v="Q1, FY24"/>
  </r>
  <r>
    <n v="325114"/>
    <s v="Susanty"/>
    <s v="Irawan"/>
    <x v="3"/>
    <s v="Work in Store"/>
    <s v="Working in Store - Spotlight Hoppers Crossing"/>
    <x v="0"/>
    <d v="2023-05-11T00:00:00"/>
    <d v="2023-07-14T00:00:00"/>
    <s v="Working in Store - Spotlight Hoppers Crossing"/>
    <s v="Learning"/>
    <n v="1"/>
    <s v="Hoppers Crossing"/>
    <x v="2"/>
    <n v="1"/>
    <s v="S034"/>
    <x v="7"/>
    <x v="0"/>
    <x v="28"/>
    <s v="Q1, FY24"/>
  </r>
  <r>
    <n v="328605"/>
    <s v="Sarah"/>
    <s v="Salim"/>
    <x v="12"/>
    <s v="Work in Store"/>
    <s v="Working in Store - Spotlight Carnegie"/>
    <x v="0"/>
    <d v="2023-05-11T00:00:00"/>
    <d v="2023-06-29T00:00:00"/>
    <s v="Working in Store- Spotlight Cranegie"/>
    <s v="Learning"/>
    <n v="1"/>
    <s v="Carnegie"/>
    <x v="2"/>
    <n v="1"/>
    <s v="S114"/>
    <x v="5"/>
    <x v="0"/>
    <x v="28"/>
    <s v="Q1, FY24"/>
  </r>
  <r>
    <n v="239766"/>
    <s v="Vanessa"/>
    <s v="Mccandlish"/>
    <x v="5"/>
    <s v="Work in Store"/>
    <s v="Harris Scarfe Working in Stores - Forest Hill"/>
    <x v="0"/>
    <d v="2023-05-11T00:00:00"/>
    <d v="2023-06-15T00:00:00"/>
    <s v="Working in Store - Harris Scarfe Forest Hill"/>
    <s v="Learning"/>
    <n v="1"/>
    <s v="Forest Hill"/>
    <x v="2"/>
    <n v="1"/>
    <s v="HS2020"/>
    <x v="44"/>
    <x v="2"/>
    <x v="29"/>
    <s v="Q4, FY23"/>
  </r>
  <r>
    <n v="313191"/>
    <s v="Kunal"/>
    <s v="Mazumdar"/>
    <x v="5"/>
    <s v="Work in Store"/>
    <s v="Anaconda Working in Stores - Hoppers Crossing"/>
    <x v="0"/>
    <d v="2023-05-11T00:00:00"/>
    <d v="2023-06-13T00:00:00"/>
    <s v="Working in Store - Anaconda Hoppers Crossing"/>
    <s v="Learning"/>
    <n v="1"/>
    <s v="Hoppers Crossing"/>
    <x v="2"/>
    <n v="1"/>
    <s v="A030"/>
    <x v="39"/>
    <x v="1"/>
    <x v="29"/>
    <s v="Q4, FY23"/>
  </r>
  <r>
    <n v="322133"/>
    <s v="Nikita"/>
    <s v="Shah"/>
    <x v="2"/>
    <s v="Work in Store"/>
    <s v="Working in Store - Spotlight Hoppers Crossing"/>
    <x v="0"/>
    <d v="2023-05-11T00:00:00"/>
    <d v="2023-05-16T00:00:00"/>
    <s v="Working in Store - Spotlight Hoppers Crossing"/>
    <s v="Learning"/>
    <n v="1"/>
    <s v="Hoppers Crossing"/>
    <x v="2"/>
    <n v="1"/>
    <s v="S034"/>
    <x v="7"/>
    <x v="0"/>
    <x v="30"/>
    <s v="Q4, FY23"/>
  </r>
  <r>
    <n v="202731"/>
    <s v="Vittoria"/>
    <s v="Bendinelli"/>
    <x v="5"/>
    <s v="Work in Store"/>
    <s v="Exemption - Working in Store"/>
    <x v="0"/>
    <d v="2023-05-10T00:00:00"/>
    <d v="2023-12-01T00:00:00"/>
    <s v="Working in Store - Exempt"/>
    <s v="Learning"/>
    <n v="3"/>
    <s v="South Melbourne"/>
    <x v="0"/>
    <n v="197"/>
    <s v="Exempt"/>
    <x v="50"/>
    <x v="3"/>
    <x v="22"/>
    <s v="Q2, FY24"/>
  </r>
  <r>
    <n v="237283"/>
    <s v="Penny"/>
    <s v="West"/>
    <x v="3"/>
    <s v="Work in Store"/>
    <s v="Harris Scarfe Working in Stores - Frankston"/>
    <x v="0"/>
    <d v="2023-05-10T00:00:00"/>
    <d v="2023-10-10T00:00:00"/>
    <s v="Working in Store - Harris Scarfe Frankston"/>
    <s v="Learning"/>
    <n v="1"/>
    <s v="Frankston"/>
    <x v="2"/>
    <n v="1"/>
    <s v="HS2045"/>
    <x v="49"/>
    <x v="2"/>
    <x v="25"/>
    <s v="Q2, FY24"/>
  </r>
  <r>
    <n v="321626"/>
    <s v="Josie"/>
    <s v="Gonzalez"/>
    <x v="1"/>
    <s v="Work in Store"/>
    <s v="Harris Scarfe Working in Stores - Fountain Gate"/>
    <x v="0"/>
    <d v="2023-05-10T00:00:00"/>
    <d v="2023-09-21T00:00:00"/>
    <s v="Working in Store - Harris Scarfe Fountain Gate"/>
    <s v="Learning"/>
    <n v="1"/>
    <s v="Fountain Gate"/>
    <x v="2"/>
    <n v="1"/>
    <s v="HS2039"/>
    <x v="54"/>
    <x v="2"/>
    <x v="26"/>
    <s v="Q1, FY24"/>
  </r>
  <r>
    <n v="325564"/>
    <s v="B"/>
    <s v="Dessmann"/>
    <x v="1"/>
    <s v="Work in Store"/>
    <s v="Working in Store - Spotlight South Melbourne"/>
    <x v="0"/>
    <d v="2023-05-10T00:00:00"/>
    <d v="2023-09-08T00:00:00"/>
    <s v="Working in Store - Spotlight South Melbourne"/>
    <s v="Learning"/>
    <n v="1"/>
    <s v="South Melbourne"/>
    <x v="2"/>
    <n v="1"/>
    <s v="S027"/>
    <x v="13"/>
    <x v="0"/>
    <x v="26"/>
    <s v="Q1, FY24"/>
  </r>
  <r>
    <n v="303846"/>
    <s v="Karl"/>
    <s v="Morris"/>
    <x v="3"/>
    <s v="Work in Store"/>
    <s v="Working in Store - Spotlight Rockingham"/>
    <x v="0"/>
    <d v="2023-05-10T00:00:00"/>
    <d v="2023-07-31T00:00:00"/>
    <s v="Working in Store - Spotlight Rockingham"/>
    <s v="Learning"/>
    <n v="1"/>
    <m/>
    <x v="2"/>
    <n v="1"/>
    <s v="S065"/>
    <x v="73"/>
    <x v="0"/>
    <x v="27"/>
    <s v="Q1, FY24"/>
  </r>
  <r>
    <n v="298251"/>
    <s v="Hadgie"/>
    <s v="Tina"/>
    <x v="2"/>
    <s v="Work in Store"/>
    <s v="Working in Store - Spotlight Trinity Gardens"/>
    <x v="0"/>
    <d v="2023-05-10T00:00:00"/>
    <d v="2023-07-25T00:00:00"/>
    <s v="Working in Store - Spotlight Trinity Gardens"/>
    <s v="Learning"/>
    <n v="1"/>
    <m/>
    <x v="2"/>
    <n v="1"/>
    <s v="S025"/>
    <x v="74"/>
    <x v="0"/>
    <x v="27"/>
    <s v="Q1, FY24"/>
  </r>
  <r>
    <n v="298251"/>
    <s v="Hadgie"/>
    <s v="Tina"/>
    <x v="2"/>
    <s v="Work in Store"/>
    <s v="Working in Store - Spotlight Clovercrest"/>
    <x v="0"/>
    <d v="2023-05-10T00:00:00"/>
    <d v="2023-07-24T00:00:00"/>
    <s v="Working in Store - Spotlight Clovercrest"/>
    <s v="Learning"/>
    <n v="1"/>
    <m/>
    <x v="2"/>
    <n v="1"/>
    <s v="S074"/>
    <x v="43"/>
    <x v="0"/>
    <x v="27"/>
    <s v="Q1, FY24"/>
  </r>
  <r>
    <n v="202233"/>
    <s v="Gavin"/>
    <s v="Hannaford"/>
    <x v="0"/>
    <s v="Work in Store"/>
    <s v="Anaconda Working in Stores - Highett"/>
    <x v="0"/>
    <d v="2023-05-10T00:00:00"/>
    <d v="2023-06-30T00:00:00"/>
    <s v="Working in Store - Anaconda Highett"/>
    <s v="Learning"/>
    <n v="1"/>
    <s v="Highett"/>
    <x v="2"/>
    <n v="1"/>
    <s v="A039"/>
    <x v="18"/>
    <x v="1"/>
    <x v="28"/>
    <s v="Q1, FY24"/>
  </r>
  <r>
    <n v="240773"/>
    <s v="Jen"/>
    <s v="Jordan"/>
    <x v="5"/>
    <s v="Work in Store"/>
    <s v="Working in Store - Spotlight Dubbo"/>
    <x v="0"/>
    <d v="2023-05-10T00:00:00"/>
    <d v="2023-05-31T00:00:00"/>
    <s v="Spotlight Dubbo"/>
    <s v="Learning"/>
    <n v="1"/>
    <m/>
    <x v="2"/>
    <n v="1"/>
    <s v="S041"/>
    <x v="75"/>
    <x v="0"/>
    <x v="29"/>
    <s v="Q4, FY23"/>
  </r>
  <r>
    <n v="317339"/>
    <s v="Dimitra"/>
    <s v="Soulemezis"/>
    <x v="10"/>
    <s v="Work in Store"/>
    <s v="Anaconda Working in Stores - Hawthorn East"/>
    <x v="0"/>
    <d v="2023-05-10T00:00:00"/>
    <d v="2023-05-31T00:00:00"/>
    <s v="Working in Store - Anaconda Hawthorn East"/>
    <s v="Learning"/>
    <n v="1"/>
    <s v="Hawthorn East"/>
    <x v="2"/>
    <n v="1"/>
    <s v="A058"/>
    <x v="21"/>
    <x v="1"/>
    <x v="29"/>
    <s v="Q4, FY23"/>
  </r>
  <r>
    <n v="232254"/>
    <s v="Marius"/>
    <s v="Muller"/>
    <x v="3"/>
    <s v="Work in Store"/>
    <s v="Anaconda Working in Stores - Ashmore"/>
    <x v="0"/>
    <d v="2023-05-10T00:00:00"/>
    <d v="2023-05-16T00:00:00"/>
    <s v="Working in Store - Anaconda  Ashmore"/>
    <s v="Learning"/>
    <n v="1"/>
    <m/>
    <x v="2"/>
    <n v="1"/>
    <s v="A002"/>
    <x v="76"/>
    <x v="1"/>
    <x v="30"/>
    <s v="Q4, FY23"/>
  </r>
  <r>
    <n v="313944"/>
    <s v="Renee"/>
    <s v="Freeland"/>
    <x v="5"/>
    <s v="Work in Store"/>
    <s v="Anaconda Working in Stores - Ashmore"/>
    <x v="0"/>
    <d v="2023-05-10T00:00:00"/>
    <d v="2023-05-15T00:00:00"/>
    <s v="Working in Store - Anaconda  Ashmore"/>
    <s v="Learning"/>
    <n v="1"/>
    <m/>
    <x v="2"/>
    <n v="1"/>
    <s v="A002"/>
    <x v="76"/>
    <x v="1"/>
    <x v="30"/>
    <s v="Q4, FY23"/>
  </r>
  <r>
    <n v="239138"/>
    <s v="Shawn"/>
    <s v="Mcmahon"/>
    <x v="7"/>
    <s v="Work in Store"/>
    <s v="Working in Store - Spotlight Mackay"/>
    <x v="0"/>
    <d v="2023-05-10T00:00:00"/>
    <d v="2023-05-11T00:00:00"/>
    <s v="Working in Store - Spotlight Mackay"/>
    <s v="Learning"/>
    <n v="2"/>
    <m/>
    <x v="3"/>
    <n v="0"/>
    <s v="S046"/>
    <x v="77"/>
    <x v="0"/>
    <x v="30"/>
    <s v="Q4, FY23"/>
  </r>
  <r>
    <n v="305854"/>
    <s v="Steve"/>
    <s v="Hughes"/>
    <x v="0"/>
    <s v="Work in Store"/>
    <s v="Harris Scarfe Working in Stores - Spencer Outlet"/>
    <x v="0"/>
    <d v="2023-05-09T00:00:00"/>
    <d v="2023-10-20T00:00:00"/>
    <s v="Working in Store - Harris Scarfe Spencer Outlet"/>
    <s v="Learning"/>
    <n v="1"/>
    <s v="Docklands"/>
    <x v="2"/>
    <n v="1"/>
    <s v="HS2016"/>
    <x v="16"/>
    <x v="2"/>
    <x v="25"/>
    <s v="Q2, FY24"/>
  </r>
  <r>
    <n v="298748"/>
    <s v="Andre"/>
    <s v="Wilbraham"/>
    <x v="3"/>
    <s v="Work in Store"/>
    <s v="Working in Store - Spotlight Maribyrnong"/>
    <x v="0"/>
    <d v="2023-05-09T00:00:00"/>
    <d v="2023-06-08T00:00:00"/>
    <s v="Working in Store - Spotlight Maribyrnong"/>
    <s v="Learning"/>
    <n v="1"/>
    <s v="Maribyrnong"/>
    <x v="2"/>
    <n v="1"/>
    <s v="S010"/>
    <x v="33"/>
    <x v="0"/>
    <x v="29"/>
    <s v="Q4, FY23"/>
  </r>
  <r>
    <n v="238829"/>
    <s v="Gert-Jan"/>
    <s v="Klaver"/>
    <x v="2"/>
    <s v="Work in Store"/>
    <s v="Working in Store - Spotlight Mentone"/>
    <x v="0"/>
    <d v="2023-05-09T00:00:00"/>
    <d v="2023-06-07T00:00:00"/>
    <s v="Working in Store - Spotlight Mentone"/>
    <s v="Learning"/>
    <n v="1"/>
    <s v="Mentone"/>
    <x v="2"/>
    <n v="1"/>
    <s v="S004"/>
    <x v="69"/>
    <x v="0"/>
    <x v="29"/>
    <s v="Q4, FY23"/>
  </r>
  <r>
    <n v="230747"/>
    <s v="Andy"/>
    <s v="Brvenik"/>
    <x v="3"/>
    <s v="Work in Store"/>
    <s v="Working in Store - Spotlight Ballarat"/>
    <x v="0"/>
    <d v="2023-05-09T00:00:00"/>
    <d v="2023-06-06T00:00:00"/>
    <s v="Working in Store - Spotlight Ballarat"/>
    <s v="Learning"/>
    <n v="1"/>
    <s v="Wendouree"/>
    <x v="2"/>
    <n v="1"/>
    <s v="S013"/>
    <x v="64"/>
    <x v="0"/>
    <x v="29"/>
    <s v="Q4, FY23"/>
  </r>
  <r>
    <n v="240563"/>
    <s v="Jonathon"/>
    <s v="Rann"/>
    <x v="0"/>
    <s v="Work in Store"/>
    <s v="Anaconda Working in Stores - Preston"/>
    <x v="0"/>
    <d v="2023-05-09T00:00:00"/>
    <d v="2023-06-06T00:00:00"/>
    <s v="Working in Store - Anaconda Preston"/>
    <s v="Learning"/>
    <n v="1"/>
    <s v="Preston"/>
    <x v="2"/>
    <n v="1"/>
    <s v="A020"/>
    <x v="19"/>
    <x v="1"/>
    <x v="29"/>
    <s v="Q4, FY23"/>
  </r>
  <r>
    <n v="324998"/>
    <s v="Jaspreet Kaur"/>
    <s v="Satwan Singh"/>
    <x v="2"/>
    <s v="Work in Store"/>
    <s v="Anaconda Working in Stores - Hoppers Crossing"/>
    <x v="0"/>
    <d v="2023-05-09T00:00:00"/>
    <d v="2023-06-02T00:00:00"/>
    <s v="Working in Store - Anaconda Hoppers Crossing"/>
    <s v="Learning"/>
    <n v="1"/>
    <s v="Hoppers Crossing"/>
    <x v="2"/>
    <n v="1"/>
    <s v="A030"/>
    <x v="39"/>
    <x v="1"/>
    <x v="29"/>
    <s v="Q4, FY23"/>
  </r>
  <r>
    <n v="327323"/>
    <s v="Nelson Shen"/>
    <s v="Shen"/>
    <x v="2"/>
    <s v="Work in Store"/>
    <s v="Anaconda Working in Stores - Preston"/>
    <x v="0"/>
    <d v="2023-05-09T00:00:00"/>
    <d v="2023-05-23T00:00:00"/>
    <s v="Working in Store - Anaconda Preston"/>
    <s v="Learning"/>
    <n v="1"/>
    <s v="Preston"/>
    <x v="2"/>
    <n v="1"/>
    <s v="A020"/>
    <x v="19"/>
    <x v="1"/>
    <x v="30"/>
    <s v="Q4, FY23"/>
  </r>
  <r>
    <n v="297922"/>
    <s v="Sebastian"/>
    <s v="Licciardi"/>
    <x v="3"/>
    <s v="Work in Store"/>
    <s v="Harris Scarfe Working in Stores - Airport West"/>
    <x v="0"/>
    <d v="2023-05-09T00:00:00"/>
    <d v="2023-05-19T00:00:00"/>
    <s v="Working in Store - Harris Scarfe Airport West"/>
    <s v="Learning"/>
    <n v="1"/>
    <s v="Airport West"/>
    <x v="2"/>
    <n v="1"/>
    <s v="HS2027"/>
    <x v="24"/>
    <x v="2"/>
    <x v="30"/>
    <s v="Q4, FY23"/>
  </r>
  <r>
    <n v="317493"/>
    <s v="Nadav"/>
    <s v="Greenberger"/>
    <x v="3"/>
    <s v="Work in Store"/>
    <s v="Harris Scarfe Working in Stores - Spencer Outlet"/>
    <x v="0"/>
    <d v="2023-05-09T00:00:00"/>
    <d v="2023-05-19T00:00:00"/>
    <s v="Working in Store - Harris Scarfe Spencer Outlet"/>
    <s v="Learning"/>
    <n v="1"/>
    <s v="Docklands"/>
    <x v="2"/>
    <n v="1"/>
    <s v="HS2016"/>
    <x v="16"/>
    <x v="2"/>
    <x v="30"/>
    <s v="Q4, FY23"/>
  </r>
  <r>
    <n v="222038"/>
    <s v="Marie"/>
    <s v="Fernandez"/>
    <x v="2"/>
    <s v="Work in Store"/>
    <s v="Working in Stores - Spotlight Bayswater"/>
    <x v="0"/>
    <d v="2023-05-09T00:00:00"/>
    <d v="2023-05-17T00:00:00"/>
    <s v="Working in Store - Spotlight Bayswater"/>
    <s v="Learning"/>
    <n v="1"/>
    <s v="Bayswater"/>
    <x v="2"/>
    <n v="1"/>
    <s v="S014"/>
    <x v="15"/>
    <x v="0"/>
    <x v="30"/>
    <s v="Q4, FY23"/>
  </r>
  <r>
    <n v="316801"/>
    <s v="Ibrahim"/>
    <s v="Polutak"/>
    <x v="2"/>
    <s v="Work in Store"/>
    <s v="Anaconda Working in Stores - Preston"/>
    <x v="0"/>
    <d v="2023-05-09T00:00:00"/>
    <d v="2023-05-16T00:00:00"/>
    <s v="Working in Store - Anaconda Preston"/>
    <s v="Learning"/>
    <n v="1"/>
    <s v="Preston"/>
    <x v="2"/>
    <n v="1"/>
    <s v="A020"/>
    <x v="19"/>
    <x v="1"/>
    <x v="30"/>
    <s v="Q4, FY23"/>
  </r>
  <r>
    <n v="232254"/>
    <s v="Marius"/>
    <s v="Muller"/>
    <x v="3"/>
    <s v="Work in Store"/>
    <s v="Working in Store - Spotlight Mackay"/>
    <x v="0"/>
    <d v="2023-05-09T00:00:00"/>
    <d v="2023-05-11T00:00:00"/>
    <s v="Working in Store - Spotlight Mackay"/>
    <s v="Learning"/>
    <n v="2"/>
    <m/>
    <x v="2"/>
    <n v="0"/>
    <s v="S046"/>
    <x v="77"/>
    <x v="0"/>
    <x v="30"/>
    <s v="Q4, FY23"/>
  </r>
  <r>
    <n v="298402"/>
    <s v="Booker"/>
    <s v="Broderick"/>
    <x v="7"/>
    <s v="Work in Store"/>
    <s v="Working in Store - Spotlight Mackay"/>
    <x v="0"/>
    <d v="2023-05-09T00:00:00"/>
    <d v="2023-05-11T00:00:00"/>
    <s v="Working in Store - Spotlight Mackay"/>
    <s v="Learning"/>
    <n v="2"/>
    <m/>
    <x v="2"/>
    <n v="0"/>
    <s v="S046"/>
    <x v="77"/>
    <x v="0"/>
    <x v="30"/>
    <s v="Q4, FY23"/>
  </r>
  <r>
    <n v="326975"/>
    <s v="Vanessa"/>
    <s v="Peluso"/>
    <x v="4"/>
    <s v="Work in Store"/>
    <s v="Harris Scarfe Working in Stores - Epping"/>
    <x v="0"/>
    <d v="2023-05-04T00:00:00"/>
    <d v="2023-05-19T00:00:00"/>
    <s v="Working in Store - Harris Scarfe Epping"/>
    <s v="Learning"/>
    <n v="1"/>
    <s v="Epping"/>
    <x v="2"/>
    <n v="1"/>
    <s v="HS2023"/>
    <x v="28"/>
    <x v="2"/>
    <x v="30"/>
    <s v="Q4, FY23"/>
  </r>
  <r>
    <n v="324811"/>
    <s v="Ayman Elmoustafa"/>
    <s v="El Moustafa"/>
    <x v="2"/>
    <s v="Work in Store"/>
    <s v="Anaconda Working in Stores - Epping"/>
    <x v="0"/>
    <d v="2023-05-03T00:00:00"/>
    <d v="2023-05-12T00:00:00"/>
    <s v="Working in Store - Anaconda Epping"/>
    <s v="Learning"/>
    <n v="1"/>
    <s v="Epping"/>
    <x v="2"/>
    <n v="1"/>
    <s v="A052"/>
    <x v="27"/>
    <x v="1"/>
    <x v="30"/>
    <s v="Q4, FY23"/>
  </r>
  <r>
    <n v="327402"/>
    <s v="Sal"/>
    <s v="Vitiello"/>
    <x v="2"/>
    <s v="Work in Store"/>
    <s v="Harris Scarfe Working in Stores - Airport West"/>
    <x v="0"/>
    <d v="2023-05-02T00:00:00"/>
    <d v="2023-05-30T00:00:00"/>
    <s v="Working in Store - Harris Scarfe Airport West"/>
    <s v="Learning"/>
    <n v="1"/>
    <s v="Airport West"/>
    <x v="2"/>
    <n v="1"/>
    <s v="HS2027"/>
    <x v="24"/>
    <x v="2"/>
    <x v="29"/>
    <s v="Q4, FY23"/>
  </r>
  <r>
    <n v="327402"/>
    <s v="Sal"/>
    <s v="Vitiello"/>
    <x v="2"/>
    <s v="Work in Store"/>
    <s v="Working in Store - Spotlight Essendon"/>
    <x v="0"/>
    <d v="2023-04-17T00:00:00"/>
    <d v="2023-05-16T00:00:00"/>
    <s v="Working in Store - Spotlight Essendon"/>
    <s v="Learning"/>
    <n v="1"/>
    <s v="Strathmore"/>
    <x v="2"/>
    <n v="1"/>
    <s v="S008"/>
    <x v="11"/>
    <x v="0"/>
    <x v="30"/>
    <s v="Q4, FY23"/>
  </r>
  <r>
    <n v="312552"/>
    <s v="Ben"/>
    <s v="Palmer"/>
    <x v="4"/>
    <s v="Work in Store"/>
    <s v="Anaconda Working in Stores - Bayswater"/>
    <x v="0"/>
    <d v="2023-04-17T00:00:00"/>
    <d v="2023-05-05T00:00:00"/>
    <s v="Working in Store - Anaconda Bayswater"/>
    <s v="Learning"/>
    <n v="1"/>
    <s v="Bayswater"/>
    <x v="2"/>
    <n v="1"/>
    <s v="A001"/>
    <x v="2"/>
    <x v="1"/>
    <x v="30"/>
    <s v="Q4, FY23"/>
  </r>
  <r>
    <n v="235543"/>
    <s v="Celeste"/>
    <s v="Burgess"/>
    <x v="1"/>
    <s v="Work in Store"/>
    <s v="Harris Scarfe Working in Stores - Spencer Outlet"/>
    <x v="0"/>
    <d v="2023-04-17T00:00:00"/>
    <d v="2023-04-26T00:00:00"/>
    <s v="Working in Store - Harris Scarfe Spencer Outlet"/>
    <s v="Learning"/>
    <n v="1"/>
    <s v="Docklands"/>
    <x v="2"/>
    <n v="1"/>
    <s v="HS2016"/>
    <x v="16"/>
    <x v="2"/>
    <x v="30"/>
    <s v="Q4, FY23"/>
  </r>
  <r>
    <n v="317899"/>
    <s v="Dean"/>
    <s v="Gerst"/>
    <x v="0"/>
    <s v="Work in Store"/>
    <s v="Working in Store - Spotlight South Melbourne"/>
    <x v="0"/>
    <d v="2023-04-17T00:00:00"/>
    <d v="2023-04-26T00:00:00"/>
    <s v="Working in Store - Spotlight South Melbourne"/>
    <s v="Learning"/>
    <n v="1"/>
    <s v="South Melbourne"/>
    <x v="2"/>
    <n v="1"/>
    <s v="S027"/>
    <x v="13"/>
    <x v="0"/>
    <x v="30"/>
    <s v="Q4, FY23"/>
  </r>
  <r>
    <n v="236788"/>
    <s v="David"/>
    <s v="Puli"/>
    <x v="4"/>
    <s v="Work in Store"/>
    <s v="Anaconda Working in Stores - Maribyrnong"/>
    <x v="0"/>
    <d v="2023-04-10T00:00:00"/>
    <d v="2023-04-18T00:00:00"/>
    <s v="Working in Store - Anaconda Maribyrnong"/>
    <s v="Learning"/>
    <n v="2"/>
    <s v="Maribyrnong"/>
    <x v="2"/>
    <n v="0"/>
    <s v="A042"/>
    <x v="32"/>
    <x v="1"/>
    <x v="31"/>
    <s v="Q4, FY23"/>
  </r>
  <r>
    <n v="215865"/>
    <s v="Anita"/>
    <s v="Mucic"/>
    <x v="1"/>
    <s v="Work in Store"/>
    <s v="Working in Store - Spotlight Essendon"/>
    <x v="0"/>
    <d v="2023-04-04T00:00:00"/>
    <d v="2023-05-09T00:00:00"/>
    <s v="Working in Store - Spotlight Essendon"/>
    <s v="Learning"/>
    <n v="2"/>
    <s v="Strathmore"/>
    <x v="2"/>
    <n v="0"/>
    <s v="S008"/>
    <x v="11"/>
    <x v="0"/>
    <x v="30"/>
    <s v="Q4, FY23"/>
  </r>
  <r>
    <n v="327648"/>
    <s v="Pieter"/>
    <s v="Van Der Berg"/>
    <x v="2"/>
    <s v="Work in Store"/>
    <s v="Anaconda Working in Stores - Bayswater"/>
    <x v="0"/>
    <d v="2023-04-04T00:00:00"/>
    <d v="2023-04-20T00:00:00"/>
    <s v="Working in Store - Anaconda Bayswater"/>
    <s v="Learning"/>
    <n v="1"/>
    <s v="Bayswater"/>
    <x v="2"/>
    <n v="1"/>
    <s v="A001"/>
    <x v="2"/>
    <x v="1"/>
    <x v="31"/>
    <s v="Q4, FY23"/>
  </r>
  <r>
    <n v="215131"/>
    <s v="Dimitri"/>
    <s v="Sioutkos"/>
    <x v="2"/>
    <s v="Work in Store"/>
    <s v="Harris Scarfe Working in Stores - Spencer Outlet"/>
    <x v="0"/>
    <d v="2023-03-27T00:00:00"/>
    <d v="2023-04-11T00:00:00"/>
    <s v="Working in Store - Harris Scarfe Spencer Outlet"/>
    <s v="Learning"/>
    <n v="2"/>
    <s v="Docklands"/>
    <x v="2"/>
    <n v="0"/>
    <s v="HS2016"/>
    <x v="16"/>
    <x v="2"/>
    <x v="31"/>
    <s v="Q4, FY23"/>
  </r>
  <r>
    <n v="305409"/>
    <s v="Jose"/>
    <s v="Rivera Cordoba"/>
    <x v="2"/>
    <s v="Work in Store"/>
    <s v="Harris Scarfe Working in Stores - Spencer Outlet"/>
    <x v="0"/>
    <d v="2023-03-27T00:00:00"/>
    <d v="2023-04-11T00:00:00"/>
    <s v="Working in Store - Harris Scarfe Spencer Outlet"/>
    <s v="Learning"/>
    <n v="2"/>
    <s v="Docklands"/>
    <x v="2"/>
    <n v="0"/>
    <s v="HS2016"/>
    <x v="16"/>
    <x v="2"/>
    <x v="31"/>
    <s v="Q4, FY23"/>
  </r>
  <r>
    <n v="230709"/>
    <s v="Anh"/>
    <s v="Truong"/>
    <x v="2"/>
    <s v="Work in Store"/>
    <s v="Harris Scarfe Working in Stores - Tarneit"/>
    <x v="0"/>
    <d v="2023-03-24T00:00:00"/>
    <d v="2023-12-01T00:00:00"/>
    <s v="Working in Store - Harris Scarfe Tarneit"/>
    <s v="Learning"/>
    <n v="1"/>
    <s v="Tarneit"/>
    <x v="2"/>
    <n v="1"/>
    <s v="HS2048"/>
    <x v="35"/>
    <x v="2"/>
    <x v="22"/>
    <s v="Q2, FY24"/>
  </r>
  <r>
    <n v="312818"/>
    <s v="Michael"/>
    <s v="Girardi"/>
    <x v="0"/>
    <s v="Work in Store"/>
    <s v="Anaconda Working in Stores - Hawthorn East"/>
    <x v="0"/>
    <d v="2023-03-24T00:00:00"/>
    <d v="2023-03-31T00:00:00"/>
    <s v="Working in Store - Anaconda Hawthorn East"/>
    <s v="Learning"/>
    <n v="1"/>
    <s v="Hawthorn East"/>
    <x v="2"/>
    <n v="1"/>
    <s v="A058"/>
    <x v="21"/>
    <x v="1"/>
    <x v="31"/>
    <s v="Q4, FY23"/>
  </r>
  <r>
    <n v="225218"/>
    <s v="Carol"/>
    <s v="Brown"/>
    <x v="1"/>
    <s v="Work in Store"/>
    <s v="Exemption - Working in Store"/>
    <x v="0"/>
    <d v="2023-03-23T00:00:00"/>
    <d v="2023-12-01T00:00:00"/>
    <s v="Working in Store - Exempt"/>
    <s v="Learning"/>
    <n v="3"/>
    <s v="South Melbourne"/>
    <x v="0"/>
    <n v="197"/>
    <s v="Exempt"/>
    <x v="50"/>
    <x v="3"/>
    <x v="22"/>
    <s v="Q2, FY24"/>
  </r>
  <r>
    <n v="321421"/>
    <s v="May"/>
    <s v="Lam"/>
    <x v="0"/>
    <s v="Work in Store"/>
    <s v="Anaconda Working in Stores - Preston"/>
    <x v="0"/>
    <d v="2023-03-23T00:00:00"/>
    <d v="2023-04-20T00:00:00"/>
    <s v="Working in Store - Anaconda Preston"/>
    <s v="Learning"/>
    <n v="1"/>
    <s v="Preston"/>
    <x v="2"/>
    <n v="1"/>
    <s v="A020"/>
    <x v="19"/>
    <x v="1"/>
    <x v="31"/>
    <s v="Q4, FY23"/>
  </r>
  <r>
    <n v="313085"/>
    <s v="Arlyn"/>
    <s v="Abaldonado"/>
    <x v="8"/>
    <s v="Work in Store"/>
    <s v="Anaconda Working in Stores - Epping"/>
    <x v="0"/>
    <d v="2023-03-22T00:00:00"/>
    <d v="2023-03-30T00:00:00"/>
    <s v="Working in Store - Anaconda Epping"/>
    <s v="Learning"/>
    <n v="1"/>
    <s v="Epping"/>
    <x v="2"/>
    <n v="1"/>
    <s v="A052"/>
    <x v="27"/>
    <x v="1"/>
    <x v="31"/>
    <s v="Q4, FY23"/>
  </r>
  <r>
    <n v="321931"/>
    <s v="Charmaine"/>
    <s v="Chin"/>
    <x v="0"/>
    <s v="Work in Store"/>
    <s v="Working in Store - Spotlight The Glen Creative"/>
    <x v="0"/>
    <d v="2023-03-20T00:00:00"/>
    <d v="2023-05-24T00:00:00"/>
    <s v="Working in Store - Spotlight The Glen Creative"/>
    <s v="Learning"/>
    <n v="1"/>
    <s v="Glen Waverley"/>
    <x v="2"/>
    <n v="1"/>
    <s v="S159"/>
    <x v="8"/>
    <x v="0"/>
    <x v="30"/>
    <s v="Q4, FY23"/>
  </r>
  <r>
    <n v="311842"/>
    <s v="Sneha"/>
    <s v="Bhegade"/>
    <x v="2"/>
    <s v="Work in Store"/>
    <s v="Anaconda Working in Stores - Hoppers Crossing"/>
    <x v="0"/>
    <d v="2023-03-20T00:00:00"/>
    <d v="2023-04-27T00:00:00"/>
    <s v="Working in Store - Anaconda Hoppers Crossing"/>
    <s v="Learning"/>
    <n v="1"/>
    <s v="Hoppers Crossing"/>
    <x v="2"/>
    <n v="1"/>
    <s v="A030"/>
    <x v="39"/>
    <x v="1"/>
    <x v="30"/>
    <s v="Q4, FY23"/>
  </r>
  <r>
    <n v="312878"/>
    <s v="Shaistha"/>
    <s v="Begum"/>
    <x v="2"/>
    <s v="Work in Store"/>
    <s v="Harris Scarfe Working in Stores - Spencer Outlet"/>
    <x v="0"/>
    <d v="2023-03-20T00:00:00"/>
    <d v="2023-03-23T00:00:00"/>
    <s v="Working in Store - Harris Scarfe Spencer Outlet"/>
    <s v="Learning"/>
    <n v="2"/>
    <s v="Docklands"/>
    <x v="2"/>
    <n v="0"/>
    <s v="HS2016"/>
    <x v="16"/>
    <x v="2"/>
    <x v="32"/>
    <s v="Q3, FY23"/>
  </r>
  <r>
    <n v="323285"/>
    <s v="Gaurav"/>
    <s v="Bhat"/>
    <x v="2"/>
    <s v="Work in Store"/>
    <s v="Harris Scarfe Working in Stores - Spencer Outlet"/>
    <x v="0"/>
    <d v="2023-03-16T00:00:00"/>
    <d v="2023-04-27T00:00:00"/>
    <s v="Working in Store - Harris Scarfe Spencer Outlet"/>
    <s v="Learning"/>
    <n v="1"/>
    <s v="Docklands"/>
    <x v="2"/>
    <n v="1"/>
    <s v="HS2016"/>
    <x v="16"/>
    <x v="2"/>
    <x v="30"/>
    <s v="Q4, FY23"/>
  </r>
  <r>
    <n v="225211"/>
    <s v="Chris"/>
    <s v="Galea"/>
    <x v="2"/>
    <s v="Work in Store"/>
    <s v="Harris Scarfe Working in Stores - Airport West"/>
    <x v="0"/>
    <d v="2023-03-15T00:00:00"/>
    <d v="2023-07-11T00:00:00"/>
    <s v="Working in Store - Harris Scarfe Airport West"/>
    <s v="Learning"/>
    <n v="1"/>
    <s v="Airport West"/>
    <x v="2"/>
    <n v="1"/>
    <s v="HS2027"/>
    <x v="24"/>
    <x v="2"/>
    <x v="28"/>
    <s v="Q1, FY24"/>
  </r>
  <r>
    <n v="230701"/>
    <s v="Vijay"/>
    <s v="Shanbhag"/>
    <x v="2"/>
    <s v="Work in Store"/>
    <s v="Harris Scarfe Working in Stores - Tarneit"/>
    <x v="0"/>
    <d v="2023-03-15T00:00:00"/>
    <d v="2023-05-03T00:00:00"/>
    <s v="Working in Store - Harris Scarfe Tarneit"/>
    <s v="Learning"/>
    <n v="1"/>
    <s v="Tarneit"/>
    <x v="2"/>
    <n v="1"/>
    <s v="HS2048"/>
    <x v="35"/>
    <x v="2"/>
    <x v="30"/>
    <s v="Q4, FY23"/>
  </r>
  <r>
    <n v="320141"/>
    <s v="Adam"/>
    <s v="Luu"/>
    <x v="8"/>
    <s v="Work in Store"/>
    <s v="Working in Store - Spotlight Carnegie"/>
    <x v="0"/>
    <d v="2023-03-14T00:00:00"/>
    <d v="2023-05-12T00:00:00"/>
    <s v="Working in Store- Spotlight Cranegie"/>
    <s v="Learning"/>
    <n v="1"/>
    <s v="Carnegie"/>
    <x v="2"/>
    <n v="1"/>
    <s v="S114"/>
    <x v="5"/>
    <x v="0"/>
    <x v="30"/>
    <s v="Q4, FY23"/>
  </r>
  <r>
    <n v="307502"/>
    <s v="Gill"/>
    <s v="Couper"/>
    <x v="1"/>
    <s v="Work in Store"/>
    <s v="Harris Scarfe Working in Stores - Spencer Outlet"/>
    <x v="0"/>
    <d v="2023-03-14T00:00:00"/>
    <d v="2023-03-22T00:00:00"/>
    <s v="Working in Store - Harris Scarfe Spencer Outlet"/>
    <s v="Learning"/>
    <n v="2"/>
    <s v="Docklands"/>
    <x v="2"/>
    <n v="0"/>
    <s v="HS2016"/>
    <x v="16"/>
    <x v="2"/>
    <x v="32"/>
    <s v="Q3, FY23"/>
  </r>
  <r>
    <n v="312829"/>
    <s v="Chris"/>
    <s v="Hazlett"/>
    <x v="0"/>
    <s v="Work in Store"/>
    <s v="Anaconda Working in Stores - Hawthorn East"/>
    <x v="0"/>
    <d v="2023-03-10T00:00:00"/>
    <d v="2023-03-24T00:00:00"/>
    <s v="Working in Store - Anaconda Hawthorn East"/>
    <s v="Learning"/>
    <n v="1"/>
    <s v="Hawthorn East"/>
    <x v="2"/>
    <n v="1"/>
    <s v="A058"/>
    <x v="21"/>
    <x v="1"/>
    <x v="32"/>
    <s v="Q3, FY23"/>
  </r>
  <r>
    <n v="321424"/>
    <s v="Vicki"/>
    <s v="Liassos"/>
    <x v="5"/>
    <s v="Work in Store"/>
    <s v="Working in Store - Spotlight Essendon"/>
    <x v="0"/>
    <d v="2023-03-09T00:00:00"/>
    <d v="2023-05-09T00:00:00"/>
    <s v="Working in Store - Spotlight Essendon"/>
    <s v="Learning"/>
    <n v="2"/>
    <s v="Strathmore"/>
    <x v="2"/>
    <n v="0"/>
    <s v="S008"/>
    <x v="11"/>
    <x v="0"/>
    <x v="30"/>
    <s v="Q4, FY23"/>
  </r>
  <r>
    <n v="201940"/>
    <s v="Angela"/>
    <s v="Puopolo"/>
    <x v="5"/>
    <s v="Work in Store"/>
    <s v="Exemption - Working in Store"/>
    <x v="0"/>
    <d v="2023-03-07T00:00:00"/>
    <d v="2023-12-01T00:00:00"/>
    <s v="Working in Store - Exempt"/>
    <s v="Learning"/>
    <n v="3"/>
    <s v="South Melbourne"/>
    <x v="0"/>
    <n v="197"/>
    <s v="Exempt"/>
    <x v="50"/>
    <x v="3"/>
    <x v="22"/>
    <s v="Q2, FY24"/>
  </r>
  <r>
    <n v="328014"/>
    <s v="Yuan"/>
    <s v="Jiang"/>
    <x v="5"/>
    <s v="Work in Store"/>
    <s v="Working in Store - Spotlight Box Hill"/>
    <x v="0"/>
    <d v="2023-03-07T00:00:00"/>
    <d v="2023-05-19T00:00:00"/>
    <s v="Working in Store - Spotlight Box Hill"/>
    <s v="Learning"/>
    <n v="2"/>
    <s v="Box Hill"/>
    <x v="2"/>
    <n v="0"/>
    <s v="S002"/>
    <x v="17"/>
    <x v="0"/>
    <x v="30"/>
    <s v="Q4, FY23"/>
  </r>
  <r>
    <n v="322115"/>
    <s v="Lina"/>
    <s v="Carrillo"/>
    <x v="0"/>
    <s v="Work in Store"/>
    <s v="Working in Store - Spotlight South Melbourne"/>
    <x v="0"/>
    <d v="2023-03-07T00:00:00"/>
    <d v="2023-03-24T00:00:00"/>
    <s v="Working in Store - Spotlight South Melbourne"/>
    <s v="Learning"/>
    <n v="1"/>
    <s v="South Melbourne"/>
    <x v="2"/>
    <n v="1"/>
    <s v="S027"/>
    <x v="13"/>
    <x v="0"/>
    <x v="32"/>
    <s v="Q3, FY23"/>
  </r>
  <r>
    <n v="297919"/>
    <s v="Anthony"/>
    <s v="Geary"/>
    <x v="4"/>
    <s v="Work in Store"/>
    <s v="Anaconda Working in Stores - Watergardens"/>
    <x v="0"/>
    <d v="2023-03-07T00:00:00"/>
    <d v="2023-03-16T00:00:00"/>
    <s v="Working in Store - Anaconda Watergardens"/>
    <s v="Learning"/>
    <n v="1"/>
    <s v="Taylors Lake"/>
    <x v="2"/>
    <n v="1"/>
    <s v="A040"/>
    <x v="6"/>
    <x v="1"/>
    <x v="32"/>
    <s v="Q3, FY23"/>
  </r>
  <r>
    <n v="221119"/>
    <s v="Brett"/>
    <s v="Wallace"/>
    <x v="2"/>
    <s v="Work in Store"/>
    <s v="Anaconda Working in Stores - Maribyrnong"/>
    <x v="0"/>
    <d v="2023-03-06T00:00:00"/>
    <d v="2023-06-08T00:00:00"/>
    <s v="Working in Store - Anaconda Maribyrnong"/>
    <s v="Learning"/>
    <n v="1"/>
    <s v="Maribyrnong"/>
    <x v="2"/>
    <n v="1"/>
    <s v="A042"/>
    <x v="32"/>
    <x v="1"/>
    <x v="29"/>
    <s v="Q4, FY23"/>
  </r>
  <r>
    <n v="317842"/>
    <s v="Sarah"/>
    <s v="Michail"/>
    <x v="4"/>
    <s v="Work in Store"/>
    <s v="Harris Scarfe Working in Stores - Woodgrove"/>
    <x v="0"/>
    <d v="2023-03-06T00:00:00"/>
    <d v="2023-05-02T00:00:00"/>
    <s v="Working in Store - Harris Scarfe Woodgrove"/>
    <s v="Learning"/>
    <n v="1"/>
    <s v="Melton"/>
    <x v="2"/>
    <n v="1"/>
    <s v="HS2017"/>
    <x v="34"/>
    <x v="2"/>
    <x v="30"/>
    <s v="Q4, FY23"/>
  </r>
  <r>
    <n v="312762"/>
    <s v="Andrew"/>
    <s v="Fountain"/>
    <x v="2"/>
    <s v="Work in Store"/>
    <s v="Working in Store - Spotlight South Melbourne"/>
    <x v="0"/>
    <d v="2023-03-06T00:00:00"/>
    <d v="2023-03-29T00:00:00"/>
    <s v="Working in Store - Spotlight South Melbourne"/>
    <s v="Learning"/>
    <n v="1"/>
    <s v="South Melbourne"/>
    <x v="2"/>
    <n v="1"/>
    <s v="S027"/>
    <x v="13"/>
    <x v="0"/>
    <x v="31"/>
    <s v="Q4, FY23"/>
  </r>
  <r>
    <n v="316728"/>
    <s v="Lynne Barron"/>
    <s v="Barron"/>
    <x v="0"/>
    <s v="Work in Store"/>
    <s v="Working in Store - Spotlight Box Hill"/>
    <x v="0"/>
    <d v="2023-03-03T00:00:00"/>
    <d v="2023-04-14T00:00:00"/>
    <s v="Working in Store - Spotlight Box Hill"/>
    <s v="Learning"/>
    <n v="1"/>
    <s v="Box Hill"/>
    <x v="2"/>
    <n v="1"/>
    <s v="S002"/>
    <x v="17"/>
    <x v="0"/>
    <x v="31"/>
    <s v="Q4, FY23"/>
  </r>
  <r>
    <n v="239765"/>
    <s v="Adrian"/>
    <s v="Santos"/>
    <x v="0"/>
    <s v="Work in Store"/>
    <s v="Working in Stores - Spotlight Bayswater"/>
    <x v="0"/>
    <d v="2023-03-02T00:00:00"/>
    <d v="2023-04-12T00:00:00"/>
    <s v="Working in Store - Spotlight Bayswater"/>
    <s v="Learning"/>
    <n v="1"/>
    <s v="Bayswater"/>
    <x v="2"/>
    <n v="1"/>
    <s v="S014"/>
    <x v="15"/>
    <x v="0"/>
    <x v="31"/>
    <s v="Q4, FY23"/>
  </r>
  <r>
    <n v="298118"/>
    <s v="Kristy"/>
    <s v="Rosengren-Loughry"/>
    <x v="5"/>
    <s v="Work in Store"/>
    <s v="Anaconda Working in Stores - Albury"/>
    <x v="0"/>
    <d v="2023-03-01T00:00:00"/>
    <d v="2023-06-29T00:00:00"/>
    <s v="Working in Store - Anaconda Albury"/>
    <s v="Learning"/>
    <n v="1"/>
    <s v="Albury"/>
    <x v="2"/>
    <n v="1"/>
    <s v="A050"/>
    <x v="48"/>
    <x v="1"/>
    <x v="28"/>
    <s v="Q1, FY24"/>
  </r>
  <r>
    <n v="298118"/>
    <s v="Kristy"/>
    <s v="Rosengren-Loughry"/>
    <x v="5"/>
    <s v="Work in Store"/>
    <s v="Working in Store - Spotlight Albury"/>
    <x v="0"/>
    <d v="2023-03-01T00:00:00"/>
    <d v="2023-05-02T00:00:00"/>
    <s v="Working in Store - SpotlightAlbury"/>
    <s v="Learning"/>
    <n v="1"/>
    <m/>
    <x v="2"/>
    <n v="1"/>
    <s v="S021"/>
    <x v="78"/>
    <x v="0"/>
    <x v="30"/>
    <s v="Q4, FY23"/>
  </r>
  <r>
    <n v="307816"/>
    <s v="Su"/>
    <s v="Xie"/>
    <x v="6"/>
    <s v="Work in Store"/>
    <s v="Working in Store - Spotlight Carnegie"/>
    <x v="0"/>
    <d v="2023-03-01T00:00:00"/>
    <d v="2023-04-21T00:00:00"/>
    <s v="Working in Store- Spotlight Cranegie"/>
    <s v="Learning"/>
    <n v="1"/>
    <s v="Carnegie"/>
    <x v="2"/>
    <n v="1"/>
    <s v="S114"/>
    <x v="5"/>
    <x v="0"/>
    <x v="31"/>
    <s v="Q4, FY23"/>
  </r>
  <r>
    <n v="231599"/>
    <s v="Allison"/>
    <s v="Bell"/>
    <x v="1"/>
    <s v="Work in Store"/>
    <s v="Working in Store - Spotlight Roxburgh Park"/>
    <x v="0"/>
    <d v="2023-03-01T00:00:00"/>
    <d v="2023-04-18T00:00:00"/>
    <s v="Working in Store - Spotlight Roxburgh Park"/>
    <s v="Learning"/>
    <n v="1"/>
    <s v="Roxburgh Park"/>
    <x v="2"/>
    <n v="1"/>
    <s v="S145"/>
    <x v="1"/>
    <x v="0"/>
    <x v="31"/>
    <s v="Q4, FY23"/>
  </r>
  <r>
    <n v="200391"/>
    <s v="Paul"/>
    <s v="Barnard"/>
    <x v="2"/>
    <s v="Work in Store"/>
    <s v="Working in Store - Spotlight Bundaberg"/>
    <x v="0"/>
    <d v="2023-03-01T00:00:00"/>
    <d v="2023-04-12T00:00:00"/>
    <s v="Working in Store - Spotlight Bundaberg"/>
    <s v="Learning"/>
    <n v="1"/>
    <s v="Bundaberg"/>
    <x v="2"/>
    <n v="1"/>
    <s v="S069"/>
    <x v="79"/>
    <x v="0"/>
    <x v="31"/>
    <s v="Q4, FY23"/>
  </r>
  <r>
    <n v="324258"/>
    <s v="Nez"/>
    <s v="Toprak"/>
    <x v="4"/>
    <s v="Work in Store"/>
    <s v="Anaconda Working in Stores - Frankston"/>
    <x v="0"/>
    <d v="2023-02-27T00:00:00"/>
    <d v="2023-04-19T00:00:00"/>
    <s v="Working in Store - Anaconda Frankston"/>
    <s v="Learning"/>
    <n v="1"/>
    <s v="Frankston"/>
    <x v="2"/>
    <n v="1"/>
    <s v="A013"/>
    <x v="80"/>
    <x v="1"/>
    <x v="31"/>
    <s v="Q4, FY23"/>
  </r>
  <r>
    <n v="240591"/>
    <s v="Escarlett"/>
    <s v="Patriarca"/>
    <x v="1"/>
    <s v="Work in Store"/>
    <s v="Working in Store - Spotlight Essendon"/>
    <x v="0"/>
    <d v="2023-02-24T00:00:00"/>
    <d v="2023-03-16T00:00:00"/>
    <s v="Working in Store - Spotlight Essendon"/>
    <s v="Learning"/>
    <n v="1"/>
    <s v="Strathmore"/>
    <x v="2"/>
    <n v="1"/>
    <s v="S008"/>
    <x v="11"/>
    <x v="0"/>
    <x v="32"/>
    <s v="Q3, FY23"/>
  </r>
  <r>
    <n v="320578"/>
    <s v="Michelle"/>
    <s v="Bowden"/>
    <x v="8"/>
    <s v="Work in Store"/>
    <s v="Working in Store - Spotlight Mentone"/>
    <x v="0"/>
    <d v="2023-02-23T00:00:00"/>
    <d v="2023-03-29T00:00:00"/>
    <s v="Working in Store - Spotlight Mentone"/>
    <s v="Learning"/>
    <n v="1"/>
    <s v="Mentone"/>
    <x v="2"/>
    <n v="1"/>
    <s v="S004"/>
    <x v="69"/>
    <x v="0"/>
    <x v="31"/>
    <s v="Q4, FY23"/>
  </r>
  <r>
    <n v="209435"/>
    <s v="Mondoni"/>
    <s v="Chung"/>
    <x v="2"/>
    <s v="Work in Store"/>
    <s v="Working in Store - Spotlight South Melbourne"/>
    <x v="0"/>
    <d v="2023-02-23T00:00:00"/>
    <d v="2023-03-21T00:00:00"/>
    <s v="Working in Store - Spotlight South Melbourne"/>
    <s v="Learning"/>
    <n v="1"/>
    <s v="South Melbourne"/>
    <x v="2"/>
    <n v="1"/>
    <s v="S027"/>
    <x v="13"/>
    <x v="0"/>
    <x v="32"/>
    <s v="Q3, FY23"/>
  </r>
  <r>
    <n v="319925"/>
    <s v="Fuad"/>
    <s v="Abdi"/>
    <x v="0"/>
    <s v="Work in Store"/>
    <s v="Harris Scarfe Working in Stores - Spencer Outlet"/>
    <x v="0"/>
    <d v="2023-02-23T00:00:00"/>
    <d v="2023-03-21T00:00:00"/>
    <s v="Working in Store - Harris Scarfe Spencer Outlet"/>
    <s v="Learning"/>
    <n v="1"/>
    <s v="Docklands"/>
    <x v="2"/>
    <n v="1"/>
    <s v="HS2016"/>
    <x v="16"/>
    <x v="2"/>
    <x v="32"/>
    <s v="Q3, FY23"/>
  </r>
  <r>
    <n v="312259"/>
    <s v="Sonal"/>
    <s v="Bhatia"/>
    <x v="2"/>
    <s v="Work in Store"/>
    <s v="Anaconda Working in Stores - Hawthorn East"/>
    <x v="0"/>
    <d v="2023-02-22T00:00:00"/>
    <d v="2023-08-18T00:00:00"/>
    <s v="Working in Store - Anaconda Hawthorn East"/>
    <s v="Learning"/>
    <n v="1"/>
    <s v="Hawthorn East"/>
    <x v="2"/>
    <n v="1"/>
    <s v="A058"/>
    <x v="21"/>
    <x v="1"/>
    <x v="27"/>
    <s v="Q1, FY24"/>
  </r>
  <r>
    <n v="236950"/>
    <s v="Joseph"/>
    <s v="Zooeff"/>
    <x v="2"/>
    <s v="Work in Store"/>
    <s v="Working in Store - Spotlight Maribyrnong"/>
    <x v="0"/>
    <d v="2023-02-22T00:00:00"/>
    <d v="2023-08-17T00:00:00"/>
    <s v="Working in Store - Spotlight Maribyrnong"/>
    <s v="Learning"/>
    <n v="1"/>
    <s v="Maribyrnong"/>
    <x v="2"/>
    <n v="1"/>
    <s v="S010"/>
    <x v="33"/>
    <x v="0"/>
    <x v="27"/>
    <s v="Q1, FY24"/>
  </r>
  <r>
    <n v="327314"/>
    <s v="Rachael"/>
    <s v="Mendez"/>
    <x v="1"/>
    <s v="Work in Store"/>
    <s v="Anaconda Working in Stores - Hoppers Crossing"/>
    <x v="0"/>
    <d v="2023-02-22T00:00:00"/>
    <d v="2023-06-07T00:00:00"/>
    <s v="Working in Store - Anaconda Hoppers Crossing"/>
    <s v="Learning"/>
    <n v="1"/>
    <s v="Hoppers Crossing"/>
    <x v="2"/>
    <n v="1"/>
    <s v="A030"/>
    <x v="39"/>
    <x v="1"/>
    <x v="29"/>
    <s v="Q4, FY23"/>
  </r>
  <r>
    <n v="325839"/>
    <s v="Kelley"/>
    <s v="Brydon"/>
    <x v="6"/>
    <s v="Work in Store"/>
    <s v="Working in Store - Spotlight Geelong"/>
    <x v="0"/>
    <d v="2023-02-22T00:00:00"/>
    <d v="2023-05-09T00:00:00"/>
    <s v="Working in Store - Spotlight Geelong"/>
    <s v="Learning"/>
    <n v="1"/>
    <s v="Belmont"/>
    <x v="2"/>
    <n v="1"/>
    <s v="S006"/>
    <x v="81"/>
    <x v="0"/>
    <x v="30"/>
    <s v="Q4, FY23"/>
  </r>
  <r>
    <n v="318222"/>
    <s v="Gessica"/>
    <s v="Vittone Taylor"/>
    <x v="0"/>
    <s v="Work in Store"/>
    <s v="Anaconda Working in Stores - Box Hill"/>
    <x v="0"/>
    <d v="2023-02-22T00:00:00"/>
    <d v="2023-04-19T00:00:00"/>
    <s v="Working in Store - Anaconda Box Hill"/>
    <s v="Learning"/>
    <n v="2"/>
    <s v="Box Hill"/>
    <x v="2"/>
    <n v="0"/>
    <s v="A041"/>
    <x v="4"/>
    <x v="1"/>
    <x v="31"/>
    <s v="Q4, FY23"/>
  </r>
  <r>
    <n v="321931"/>
    <s v="Charmaine"/>
    <s v="Chin"/>
    <x v="0"/>
    <s v="Work in Store"/>
    <s v="Anaconda Working in Stores - Box Hill"/>
    <x v="0"/>
    <d v="2023-02-22T00:00:00"/>
    <d v="2023-04-19T00:00:00"/>
    <s v="Working in Store - Anaconda Box Hill"/>
    <s v="Learning"/>
    <n v="2"/>
    <s v="Box Hill"/>
    <x v="2"/>
    <n v="0"/>
    <s v="A041"/>
    <x v="4"/>
    <x v="1"/>
    <x v="31"/>
    <s v="Q4, FY23"/>
  </r>
  <r>
    <n v="215865"/>
    <s v="Anita"/>
    <s v="Mucic"/>
    <x v="1"/>
    <s v="Work in Store"/>
    <s v="Harris Scarfe Working in Stores - Airport West"/>
    <x v="0"/>
    <d v="2023-02-22T00:00:00"/>
    <d v="2023-04-12T00:00:00"/>
    <s v="Working in Store - Harris Scarfe Airport West"/>
    <s v="Learning"/>
    <n v="1"/>
    <s v="Airport West"/>
    <x v="2"/>
    <n v="1"/>
    <s v="HS2027"/>
    <x v="24"/>
    <x v="2"/>
    <x v="31"/>
    <s v="Q4, FY23"/>
  </r>
  <r>
    <n v="231954"/>
    <s v="Annie"/>
    <s v="Chung"/>
    <x v="0"/>
    <s v="Work in Store"/>
    <s v="Working in Store - Spotlight Maribyrnong"/>
    <x v="0"/>
    <d v="2023-02-22T00:00:00"/>
    <d v="2023-04-05T00:00:00"/>
    <s v="Working in Store - Spotlight Maribyrnong"/>
    <s v="Learning"/>
    <n v="1"/>
    <s v="Maribyrnong"/>
    <x v="2"/>
    <n v="1"/>
    <s v="S010"/>
    <x v="33"/>
    <x v="0"/>
    <x v="31"/>
    <s v="Q4, FY23"/>
  </r>
  <r>
    <n v="231954"/>
    <s v="Annie"/>
    <s v="Chung"/>
    <x v="0"/>
    <s v="Work in Store"/>
    <s v="Harris Scarfe Working in Stores - Airport West"/>
    <x v="0"/>
    <d v="2023-02-22T00:00:00"/>
    <d v="2023-03-29T00:00:00"/>
    <s v="Working in Store - Harris Scarfe Airport West"/>
    <s v="Learning"/>
    <n v="1"/>
    <s v="Airport West"/>
    <x v="2"/>
    <n v="1"/>
    <s v="HS2027"/>
    <x v="24"/>
    <x v="2"/>
    <x v="31"/>
    <s v="Q4, FY23"/>
  </r>
  <r>
    <n v="318222"/>
    <s v="Gessica"/>
    <s v="Vittone Taylor"/>
    <x v="0"/>
    <s v="Work in Store"/>
    <s v="Working in Store - Spotlight South Melbourne"/>
    <x v="0"/>
    <d v="2023-02-22T00:00:00"/>
    <d v="2023-03-22T00:00:00"/>
    <s v="Working in Store - Spotlight South Melbourne"/>
    <s v="Learning"/>
    <n v="1"/>
    <s v="South Melbourne"/>
    <x v="2"/>
    <n v="1"/>
    <s v="S027"/>
    <x v="13"/>
    <x v="0"/>
    <x v="32"/>
    <s v="Q3, FY23"/>
  </r>
  <r>
    <n v="236950"/>
    <s v="Joseph"/>
    <s v="Zooeff"/>
    <x v="2"/>
    <s v="Work in Store"/>
    <s v="Harris Scarfe Working in Stores - Spencer Outlet"/>
    <x v="0"/>
    <d v="2023-02-22T00:00:00"/>
    <d v="2023-03-16T00:00:00"/>
    <s v="Working in Store - Harris Scarfe Spencer Outlet"/>
    <s v="Learning"/>
    <n v="1"/>
    <s v="Docklands"/>
    <x v="2"/>
    <n v="1"/>
    <s v="HS2016"/>
    <x v="16"/>
    <x v="2"/>
    <x v="32"/>
    <s v="Q3, FY23"/>
  </r>
  <r>
    <n v="323016"/>
    <s v="Christian"/>
    <s v="Ferrero"/>
    <x v="0"/>
    <s v="Work in Store"/>
    <s v="Anaconda Working in Stores - Hawthorn East"/>
    <x v="0"/>
    <d v="2023-02-22T00:00:00"/>
    <d v="2023-03-09T00:00:00"/>
    <s v="Working in Store - Anaconda Hawthorn East"/>
    <s v="Learning"/>
    <n v="1"/>
    <s v="Hawthorn East"/>
    <x v="2"/>
    <n v="1"/>
    <s v="A058"/>
    <x v="21"/>
    <x v="1"/>
    <x v="32"/>
    <s v="Q3, FY23"/>
  </r>
  <r>
    <n v="232262"/>
    <s v="Nathan"/>
    <s v="Mclelland"/>
    <x v="4"/>
    <s v="Work in Store"/>
    <s v="Working in Store - Spotlight Carnegie"/>
    <x v="0"/>
    <d v="2023-02-22T00:00:00"/>
    <d v="2023-03-08T00:00:00"/>
    <s v="Working in Store- Spotlight Cranegie"/>
    <s v="Learning"/>
    <n v="2"/>
    <s v="Carnegie"/>
    <x v="2"/>
    <n v="0"/>
    <s v="S114"/>
    <x v="5"/>
    <x v="0"/>
    <x v="32"/>
    <s v="Q3, FY23"/>
  </r>
  <r>
    <n v="232850"/>
    <s v="Chris"/>
    <s v="Berlin"/>
    <x v="1"/>
    <s v="Work in Store"/>
    <s v="Harris Scarfe Working in Stores - Spencer Outlet"/>
    <x v="0"/>
    <d v="2023-02-22T00:00:00"/>
    <d v="2023-03-08T00:00:00"/>
    <s v="Working in Store - Harris Scarfe Spencer Outlet"/>
    <s v="Learning"/>
    <n v="2"/>
    <s v="Docklands"/>
    <x v="2"/>
    <n v="0"/>
    <s v="HS2016"/>
    <x v="16"/>
    <x v="2"/>
    <x v="32"/>
    <s v="Q3, FY23"/>
  </r>
  <r>
    <n v="238720"/>
    <s v="Nikkie"/>
    <s v="Nardo"/>
    <x v="1"/>
    <s v="Work in Store"/>
    <s v="Harris Scarfe Working in Stores - Spencer Outlet"/>
    <x v="0"/>
    <d v="2023-02-22T00:00:00"/>
    <d v="2023-03-08T00:00:00"/>
    <s v="Working in Store - Harris Scarfe Spencer Outlet"/>
    <s v="Learning"/>
    <n v="2"/>
    <s v="Docklands"/>
    <x v="2"/>
    <n v="0"/>
    <s v="HS2016"/>
    <x v="16"/>
    <x v="2"/>
    <x v="32"/>
    <s v="Q3, FY23"/>
  </r>
  <r>
    <n v="300612"/>
    <s v="Tori"/>
    <s v="Burrows"/>
    <x v="1"/>
    <s v="Work in Store"/>
    <s v="Working in Store - Spotlight Carnegie"/>
    <x v="0"/>
    <d v="2023-02-22T00:00:00"/>
    <d v="2023-03-07T00:00:00"/>
    <s v="Working in Store- Spotlight Cranegie"/>
    <s v="Learning"/>
    <n v="1"/>
    <s v="Carnegie"/>
    <x v="2"/>
    <n v="1"/>
    <s v="S114"/>
    <x v="5"/>
    <x v="0"/>
    <x v="32"/>
    <s v="Q3, FY23"/>
  </r>
  <r>
    <n v="323469"/>
    <s v="Tara"/>
    <s v="Saltzman"/>
    <x v="0"/>
    <s v="Work in Store"/>
    <s v="Harris Scarfe Working in Stores - Fountain Gate"/>
    <x v="0"/>
    <d v="2023-02-22T00:00:00"/>
    <d v="2023-03-03T00:00:00"/>
    <s v="Working in Store - Harris Scarfe Fountain Gate"/>
    <s v="Learning"/>
    <n v="1"/>
    <s v="Fountain Gate"/>
    <x v="2"/>
    <n v="1"/>
    <s v="HS2039"/>
    <x v="54"/>
    <x v="2"/>
    <x v="32"/>
    <s v="Q3, FY23"/>
  </r>
  <r>
    <n v="205869"/>
    <s v="Enza"/>
    <s v="Galea"/>
    <x v="2"/>
    <s v="Work in Store"/>
    <s v="Working in Store - Spotlight Hoppers Crossing"/>
    <x v="0"/>
    <d v="2023-02-22T00:00:00"/>
    <d v="2023-03-01T00:00:00"/>
    <s v="Working in Store - Spotlight Hoppers Crossing"/>
    <s v="Learning"/>
    <n v="1"/>
    <s v="Hoppers Crossing"/>
    <x v="2"/>
    <n v="1"/>
    <s v="S034"/>
    <x v="7"/>
    <x v="0"/>
    <x v="32"/>
    <s v="Q3, FY23"/>
  </r>
  <r>
    <n v="239766"/>
    <s v="Vanessa"/>
    <s v="Mccandlish"/>
    <x v="5"/>
    <s v="Work in Store"/>
    <s v="Working in Store - Spotlight Box Hill"/>
    <x v="0"/>
    <d v="2023-02-21T00:00:00"/>
    <d v="2023-12-07T00:00:00"/>
    <s v="Working in Store - Spotlight Box Hill"/>
    <s v="Learning"/>
    <n v="1"/>
    <s v="Box Hill"/>
    <x v="2"/>
    <n v="1"/>
    <s v="S002"/>
    <x v="17"/>
    <x v="0"/>
    <x v="22"/>
    <s v="Q2, FY24"/>
  </r>
  <r>
    <n v="310753"/>
    <s v="Jason"/>
    <s v="Wolff"/>
    <x v="0"/>
    <s v="Work in Store"/>
    <s v="Working in Store - Spotlight Creative Carindale"/>
    <x v="0"/>
    <d v="2023-02-21T00:00:00"/>
    <d v="2023-09-08T00:00:00"/>
    <s v="Working in Store - Spotlight Creative Carindale"/>
    <s v="Learning"/>
    <n v="1"/>
    <m/>
    <x v="2"/>
    <n v="1"/>
    <s v="S161"/>
    <x v="82"/>
    <x v="0"/>
    <x v="26"/>
    <s v="Q1, FY24"/>
  </r>
  <r>
    <n v="302489"/>
    <s v="Maritsa"/>
    <s v="Georgiou"/>
    <x v="2"/>
    <s v="Work in Store"/>
    <s v="Harris Scarfe Working in Stores - Forest Hill"/>
    <x v="0"/>
    <d v="2023-02-21T00:00:00"/>
    <d v="2023-07-27T00:00:00"/>
    <s v="Working in Store - Harris Scarfe Forest Hill"/>
    <s v="Learning"/>
    <n v="1"/>
    <s v="Forest Hill"/>
    <x v="2"/>
    <n v="1"/>
    <s v="HS2020"/>
    <x v="44"/>
    <x v="2"/>
    <x v="27"/>
    <s v="Q1, FY24"/>
  </r>
  <r>
    <n v="325608"/>
    <s v="Drew"/>
    <s v="Wells"/>
    <x v="1"/>
    <s v="Work in Store"/>
    <s v="Harris Scarfe Working in Stores - Southland"/>
    <x v="0"/>
    <d v="2023-02-21T00:00:00"/>
    <d v="2023-07-11T00:00:00"/>
    <s v="Working in Store - Harris Scarfe Southland"/>
    <s v="Learning"/>
    <n v="1"/>
    <s v="Cheltenham"/>
    <x v="2"/>
    <n v="1"/>
    <s v="HS2025"/>
    <x v="55"/>
    <x v="2"/>
    <x v="28"/>
    <s v="Q1, FY24"/>
  </r>
  <r>
    <n v="325030"/>
    <s v="Tarryn"/>
    <s v="Eddy"/>
    <x v="5"/>
    <s v="Work in Store"/>
    <s v="Working in Stores - Spotlight Bayswater"/>
    <x v="0"/>
    <d v="2023-02-21T00:00:00"/>
    <d v="2023-07-05T00:00:00"/>
    <s v="Working in Store - Spotlight Bayswater"/>
    <s v="Learning"/>
    <n v="1"/>
    <s v="Bayswater"/>
    <x v="2"/>
    <n v="1"/>
    <s v="S014"/>
    <x v="15"/>
    <x v="0"/>
    <x v="28"/>
    <s v="Q1, FY24"/>
  </r>
  <r>
    <n v="314764"/>
    <s v="Jodi"/>
    <s v="Muzir"/>
    <x v="0"/>
    <s v="Work in Store"/>
    <s v="Harris Scarfe Working in Stores - Airport West"/>
    <x v="0"/>
    <d v="2023-02-21T00:00:00"/>
    <d v="2023-06-22T00:00:00"/>
    <s v="Working in Store - Harris Scarfe Airport West"/>
    <s v="Learning"/>
    <n v="1"/>
    <s v="Airport West"/>
    <x v="2"/>
    <n v="1"/>
    <s v="HS2027"/>
    <x v="24"/>
    <x v="2"/>
    <x v="29"/>
    <s v="Q4, FY23"/>
  </r>
  <r>
    <n v="239177"/>
    <s v="Aaron"/>
    <s v="Muscara"/>
    <x v="0"/>
    <s v="Work in Store"/>
    <s v="Anaconda Working in Stores - Epping"/>
    <x v="0"/>
    <d v="2023-02-21T00:00:00"/>
    <d v="2023-06-20T00:00:00"/>
    <s v="Working in Store - Anaconda Epping"/>
    <s v="Learning"/>
    <n v="1"/>
    <s v="Epping"/>
    <x v="2"/>
    <n v="1"/>
    <s v="A052"/>
    <x v="27"/>
    <x v="1"/>
    <x v="29"/>
    <s v="Q4, FY23"/>
  </r>
  <r>
    <n v="239689"/>
    <s v="Wi"/>
    <s v="Tanto"/>
    <x v="2"/>
    <s v="Work in Store"/>
    <s v="Anaconda Working in Stores - Box Hill"/>
    <x v="0"/>
    <d v="2023-02-21T00:00:00"/>
    <d v="2023-06-16T00:00:00"/>
    <s v="Working in Store - Anaconda Box Hill"/>
    <s v="Learning"/>
    <n v="1"/>
    <s v="Box Hill"/>
    <x v="2"/>
    <n v="1"/>
    <s v="A041"/>
    <x v="4"/>
    <x v="1"/>
    <x v="29"/>
    <s v="Q4, FY23"/>
  </r>
  <r>
    <n v="240963"/>
    <s v="Robert"/>
    <s v="Ryan"/>
    <x v="0"/>
    <s v="Work in Store"/>
    <s v="Harris Scarfe Working in Stores - Southland"/>
    <x v="0"/>
    <d v="2023-02-21T00:00:00"/>
    <d v="2023-06-09T00:00:00"/>
    <s v="Working in Store - Harris Scarfe Southland"/>
    <s v="Learning"/>
    <n v="1"/>
    <s v="Cheltenham"/>
    <x v="2"/>
    <n v="1"/>
    <s v="HS2025"/>
    <x v="55"/>
    <x v="2"/>
    <x v="29"/>
    <s v="Q4, FY23"/>
  </r>
  <r>
    <n v="231624"/>
    <s v="Jesvinder"/>
    <s v="Chaal"/>
    <x v="2"/>
    <s v="Work in Store"/>
    <s v="Anaconda Working in Stores - Hawthorn East"/>
    <x v="0"/>
    <d v="2023-02-21T00:00:00"/>
    <d v="2023-05-25T00:00:00"/>
    <s v="Working in Store - Anaconda Hawthorn East"/>
    <s v="Learning"/>
    <n v="1"/>
    <s v="Hawthorn East"/>
    <x v="2"/>
    <n v="1"/>
    <s v="A058"/>
    <x v="21"/>
    <x v="1"/>
    <x v="30"/>
    <s v="Q4, FY23"/>
  </r>
  <r>
    <n v="323017"/>
    <s v="Justin"/>
    <s v="Scollo"/>
    <x v="2"/>
    <s v="Work in Store"/>
    <s v="Harris Scarfe Working in Stores - Woodgrove"/>
    <x v="0"/>
    <d v="2023-02-21T00:00:00"/>
    <d v="2023-05-25T00:00:00"/>
    <s v="Working in Store - Harris Scarfe Woodgrove"/>
    <s v="Learning"/>
    <n v="1"/>
    <s v="Melton"/>
    <x v="2"/>
    <n v="1"/>
    <s v="HS2017"/>
    <x v="34"/>
    <x v="2"/>
    <x v="30"/>
    <s v="Q4, FY23"/>
  </r>
  <r>
    <n v="323623"/>
    <s v="Julie"/>
    <s v="Huang"/>
    <x v="5"/>
    <s v="Work in Store"/>
    <s v="Working in Store - Spotlight Box Hill"/>
    <x v="0"/>
    <d v="2023-02-21T00:00:00"/>
    <d v="2023-05-19T00:00:00"/>
    <s v="Working in Store - Spotlight Box Hill"/>
    <s v="Learning"/>
    <n v="2"/>
    <s v="Box Hill"/>
    <x v="2"/>
    <n v="0"/>
    <s v="S002"/>
    <x v="17"/>
    <x v="0"/>
    <x v="30"/>
    <s v="Q4, FY23"/>
  </r>
  <r>
    <n v="323017"/>
    <s v="Justin"/>
    <s v="Scollo"/>
    <x v="2"/>
    <s v="Work in Store"/>
    <s v="Working in Store - Spotlight Burnside"/>
    <x v="0"/>
    <d v="2023-02-21T00:00:00"/>
    <d v="2023-05-18T00:00:00"/>
    <s v="Working in Store - Spotlight Burnside"/>
    <s v="Learning"/>
    <n v="1"/>
    <s v="Caroline Springs"/>
    <x v="2"/>
    <n v="1"/>
    <s v="S098"/>
    <x v="26"/>
    <x v="0"/>
    <x v="30"/>
    <s v="Q4, FY23"/>
  </r>
  <r>
    <n v="231624"/>
    <s v="Jesvinder"/>
    <s v="Chaal"/>
    <x v="2"/>
    <s v="Work in Store"/>
    <s v="Working in Store - Spotlight South Melbourne"/>
    <x v="0"/>
    <d v="2023-02-21T00:00:00"/>
    <d v="2023-05-11T00:00:00"/>
    <s v="Working in Store - Spotlight South Melbourne"/>
    <s v="Learning"/>
    <n v="1"/>
    <s v="South Melbourne"/>
    <x v="2"/>
    <n v="1"/>
    <s v="S027"/>
    <x v="13"/>
    <x v="0"/>
    <x v="30"/>
    <s v="Q4, FY23"/>
  </r>
  <r>
    <n v="322987"/>
    <s v="Gabbi"/>
    <s v="Fetalvero"/>
    <x v="0"/>
    <s v="Work in Store"/>
    <s v="Anaconda Working in Stores - Watergardens"/>
    <x v="0"/>
    <d v="2023-02-21T00:00:00"/>
    <d v="2023-05-10T00:00:00"/>
    <s v="Working in Store - Anaconda Watergardens"/>
    <s v="Learning"/>
    <n v="1"/>
    <s v="Taylors Lake"/>
    <x v="2"/>
    <n v="1"/>
    <s v="A040"/>
    <x v="6"/>
    <x v="1"/>
    <x v="30"/>
    <s v="Q4, FY23"/>
  </r>
  <r>
    <n v="204365"/>
    <s v="Catherine"/>
    <s v="Louey"/>
    <x v="2"/>
    <s v="Work in Store"/>
    <s v="Anaconda Working in Stores - Springvale"/>
    <x v="0"/>
    <d v="2023-02-21T00:00:00"/>
    <d v="2023-05-09T00:00:00"/>
    <s v="Working in Store - Anaconda Springvale"/>
    <s v="Learning"/>
    <n v="2"/>
    <s v="Springvale"/>
    <x v="2"/>
    <n v="0"/>
    <s v="A026"/>
    <x v="3"/>
    <x v="1"/>
    <x v="30"/>
    <s v="Q4, FY23"/>
  </r>
  <r>
    <n v="302489"/>
    <s v="Maritsa"/>
    <s v="Georgiou"/>
    <x v="2"/>
    <s v="Work in Store"/>
    <s v="Anaconda Working in Stores - Springvale"/>
    <x v="0"/>
    <d v="2023-02-21T00:00:00"/>
    <d v="2023-05-09T00:00:00"/>
    <s v="Working in Store - Anaconda Springvale"/>
    <s v="Learning"/>
    <n v="2"/>
    <s v="Springvale"/>
    <x v="2"/>
    <n v="0"/>
    <s v="A026"/>
    <x v="3"/>
    <x v="1"/>
    <x v="30"/>
    <s v="Q4, FY23"/>
  </r>
  <r>
    <n v="310753"/>
    <s v="Jason"/>
    <s v="Wolff"/>
    <x v="0"/>
    <s v="Work in Store"/>
    <s v="Harris Scarfe Working in Stores -Loganholme"/>
    <x v="0"/>
    <d v="2023-02-21T00:00:00"/>
    <d v="2023-05-05T00:00:00"/>
    <s v="Working in Store -Harris Scarfe Loganholme"/>
    <s v="Learning"/>
    <n v="1"/>
    <m/>
    <x v="2"/>
    <n v="1"/>
    <s v="HS9087"/>
    <x v="83"/>
    <x v="2"/>
    <x v="30"/>
    <s v="Q4, FY23"/>
  </r>
  <r>
    <n v="323325"/>
    <s v="Christopher"/>
    <s v="Bond"/>
    <x v="0"/>
    <s v="Work in Store"/>
    <s v="Working in Store - Spotlight Mentone"/>
    <x v="0"/>
    <d v="2023-02-21T00:00:00"/>
    <d v="2023-05-04T00:00:00"/>
    <s v="Working in Store - Spotlight Mentone"/>
    <s v="Learning"/>
    <n v="1"/>
    <s v="Mentone"/>
    <x v="2"/>
    <n v="1"/>
    <s v="S004"/>
    <x v="69"/>
    <x v="0"/>
    <x v="30"/>
    <s v="Q4, FY23"/>
  </r>
  <r>
    <n v="326005"/>
    <s v="Cass"/>
    <s v="Ambrosino"/>
    <x v="0"/>
    <s v="Work in Store"/>
    <s v="Harris Scarfe Working in Stores - Airport West"/>
    <x v="0"/>
    <d v="2023-02-21T00:00:00"/>
    <d v="2023-05-04T00:00:00"/>
    <s v="Working in Store - Harris Scarfe Airport West"/>
    <s v="Learning"/>
    <n v="1"/>
    <s v="Airport West"/>
    <x v="2"/>
    <n v="1"/>
    <s v="HS2027"/>
    <x v="24"/>
    <x v="2"/>
    <x v="30"/>
    <s v="Q4, FY23"/>
  </r>
  <r>
    <n v="235135"/>
    <s v="Penny"/>
    <s v="Robin"/>
    <x v="2"/>
    <s v="Work in Store"/>
    <s v="Anaconda Working in Stores - Highett"/>
    <x v="0"/>
    <d v="2023-02-21T00:00:00"/>
    <d v="2023-04-27T00:00:00"/>
    <s v="Working in Store - Anaconda Highett"/>
    <s v="Learning"/>
    <n v="2"/>
    <s v="Highett"/>
    <x v="2"/>
    <n v="0"/>
    <s v="A039"/>
    <x v="18"/>
    <x v="1"/>
    <x v="30"/>
    <s v="Q4, FY23"/>
  </r>
  <r>
    <n v="321433"/>
    <s v="Bec"/>
    <s v="Luong"/>
    <x v="0"/>
    <s v="Work in Store"/>
    <s v="Anaconda Working in Stores - Highett"/>
    <x v="0"/>
    <d v="2023-02-21T00:00:00"/>
    <d v="2023-04-27T00:00:00"/>
    <s v="Working in Store - Anaconda Highett"/>
    <s v="Learning"/>
    <n v="2"/>
    <s v="Highett"/>
    <x v="2"/>
    <n v="0"/>
    <s v="A039"/>
    <x v="18"/>
    <x v="1"/>
    <x v="30"/>
    <s v="Q4, FY23"/>
  </r>
  <r>
    <n v="311114"/>
    <s v="Trina"/>
    <s v="Littlepage"/>
    <x v="2"/>
    <s v="Work in Store"/>
    <s v="Harris Scarfe Working in Stores - Woodgrove"/>
    <x v="0"/>
    <d v="2023-02-21T00:00:00"/>
    <d v="2023-04-26T00:00:00"/>
    <s v="Working in Store - Harris Scarfe Woodgrove"/>
    <s v="Learning"/>
    <n v="1"/>
    <s v="Melton"/>
    <x v="2"/>
    <n v="1"/>
    <s v="HS2017"/>
    <x v="34"/>
    <x v="2"/>
    <x v="30"/>
    <s v="Q4, FY23"/>
  </r>
  <r>
    <n v="314741"/>
    <s v="Alex"/>
    <s v="James"/>
    <x v="2"/>
    <s v="Work in Store"/>
    <s v="Working in Store - Spotlight Carnegie"/>
    <x v="0"/>
    <d v="2023-02-21T00:00:00"/>
    <d v="2023-04-26T00:00:00"/>
    <s v="Working in Store- Spotlight Cranegie"/>
    <s v="Learning"/>
    <n v="1"/>
    <s v="Carnegie"/>
    <x v="2"/>
    <n v="1"/>
    <s v="S114"/>
    <x v="5"/>
    <x v="0"/>
    <x v="30"/>
    <s v="Q4, FY23"/>
  </r>
  <r>
    <n v="324480"/>
    <s v="Isla"/>
    <s v="Belcher"/>
    <x v="2"/>
    <s v="Work in Store"/>
    <s v="Working in Store - Spotlight South Melbourne"/>
    <x v="0"/>
    <d v="2023-02-21T00:00:00"/>
    <d v="2023-04-20T00:00:00"/>
    <s v="Working in Store - Spotlight South Melbourne"/>
    <s v="Learning"/>
    <n v="1"/>
    <s v="South Melbourne"/>
    <x v="2"/>
    <n v="1"/>
    <s v="S027"/>
    <x v="13"/>
    <x v="0"/>
    <x v="31"/>
    <s v="Q4, FY23"/>
  </r>
  <r>
    <n v="317967"/>
    <s v="Katie"/>
    <s v="Van Leeuwen"/>
    <x v="0"/>
    <s v="Work in Store"/>
    <s v="Working in Store - Spotlight Maribyrnong"/>
    <x v="0"/>
    <d v="2023-02-21T00:00:00"/>
    <d v="2023-04-19T00:00:00"/>
    <s v="Working in Store - Spotlight Maribyrnong"/>
    <s v="Learning"/>
    <n v="1"/>
    <s v="Maribyrnong"/>
    <x v="2"/>
    <n v="1"/>
    <s v="S010"/>
    <x v="33"/>
    <x v="0"/>
    <x v="31"/>
    <s v="Q4, FY23"/>
  </r>
  <r>
    <n v="324195"/>
    <s v="Erin"/>
    <s v="Sidwell"/>
    <x v="0"/>
    <s v="Work in Store"/>
    <s v="Anaconda Working in Stores - Hoppers Crossing"/>
    <x v="0"/>
    <d v="2023-02-21T00:00:00"/>
    <d v="2023-04-19T00:00:00"/>
    <s v="Working in Store - Anaconda Hoppers Crossing"/>
    <s v="Learning"/>
    <n v="1"/>
    <s v="Hoppers Crossing"/>
    <x v="2"/>
    <n v="1"/>
    <s v="A030"/>
    <x v="39"/>
    <x v="1"/>
    <x v="31"/>
    <s v="Q4, FY23"/>
  </r>
  <r>
    <n v="231788"/>
    <s v="Janet"/>
    <s v="Townsend"/>
    <x v="4"/>
    <s v="Work in Store"/>
    <s v="Working in Store - Spotlight Frankston"/>
    <x v="0"/>
    <d v="2023-02-21T00:00:00"/>
    <d v="2023-04-14T00:00:00"/>
    <s v="Working in Store- Spotlight Frankston"/>
    <s v="Learning"/>
    <n v="1"/>
    <s v="Frankston"/>
    <x v="2"/>
    <n v="1"/>
    <s v="S110"/>
    <x v="84"/>
    <x v="0"/>
    <x v="31"/>
    <s v="Q4, FY23"/>
  </r>
  <r>
    <n v="326563"/>
    <s v="Naveen"/>
    <s v="Prakash"/>
    <x v="2"/>
    <s v="Work in Store"/>
    <s v="Working in Store - Spotlight Preston"/>
    <x v="0"/>
    <d v="2023-02-21T00:00:00"/>
    <d v="2023-04-14T00:00:00"/>
    <s v="Working in Store - Spotlight Preston"/>
    <s v="Learning"/>
    <n v="1"/>
    <s v="Preston"/>
    <x v="2"/>
    <n v="1"/>
    <s v="S120"/>
    <x v="57"/>
    <x v="0"/>
    <x v="31"/>
    <s v="Q4, FY23"/>
  </r>
  <r>
    <n v="311114"/>
    <s v="Trina"/>
    <s v="Littlepage"/>
    <x v="2"/>
    <s v="Work in Store"/>
    <s v="Anaconda Working in Stores - Hoppers Crossing"/>
    <x v="0"/>
    <d v="2023-02-21T00:00:00"/>
    <d v="2023-03-30T00:00:00"/>
    <s v="Working in Store - Anaconda Hoppers Crossing"/>
    <s v="Learning"/>
    <n v="1"/>
    <s v="Hoppers Crossing"/>
    <x v="2"/>
    <n v="1"/>
    <s v="A030"/>
    <x v="39"/>
    <x v="1"/>
    <x v="31"/>
    <s v="Q4, FY23"/>
  </r>
  <r>
    <n v="203902"/>
    <s v="Ganda"/>
    <s v="Sandjaja"/>
    <x v="2"/>
    <s v="Work in Store"/>
    <s v="Harris Scarfe Working in Stores - Spencer Outlet"/>
    <x v="0"/>
    <d v="2023-02-21T00:00:00"/>
    <d v="2023-03-28T00:00:00"/>
    <s v="Working in Store - Harris Scarfe Spencer Outlet"/>
    <s v="Learning"/>
    <n v="1"/>
    <s v="Docklands"/>
    <x v="2"/>
    <n v="1"/>
    <s v="HS2016"/>
    <x v="16"/>
    <x v="2"/>
    <x v="31"/>
    <s v="Q4, FY23"/>
  </r>
  <r>
    <n v="239383"/>
    <s v="Harry"/>
    <s v="Ashton"/>
    <x v="4"/>
    <s v="Work in Store"/>
    <s v="Working in Store - Spotlight Carnegie"/>
    <x v="0"/>
    <d v="2023-02-21T00:00:00"/>
    <d v="2023-03-28T00:00:00"/>
    <s v="Working in Store- Spotlight Cranegie"/>
    <s v="Learning"/>
    <n v="1"/>
    <s v="Carnegie"/>
    <x v="2"/>
    <n v="1"/>
    <s v="S114"/>
    <x v="5"/>
    <x v="0"/>
    <x v="31"/>
    <s v="Q4, FY23"/>
  </r>
  <r>
    <n v="323732"/>
    <s v="Jennelle"/>
    <s v="Devereux"/>
    <x v="0"/>
    <s v="Work in Store"/>
    <s v="Working in Store - Spotlight Essendon"/>
    <x v="0"/>
    <d v="2023-02-21T00:00:00"/>
    <d v="2023-03-28T00:00:00"/>
    <s v="Working in Store - Spotlight Essendon"/>
    <s v="Learning"/>
    <n v="1"/>
    <s v="Strathmore"/>
    <x v="2"/>
    <n v="1"/>
    <s v="S008"/>
    <x v="11"/>
    <x v="0"/>
    <x v="31"/>
    <s v="Q4, FY23"/>
  </r>
  <r>
    <n v="324195"/>
    <s v="Erin"/>
    <s v="Sidwell"/>
    <x v="0"/>
    <s v="Work in Store"/>
    <s v="Harris Scarfe Working in Stores - Tarneit"/>
    <x v="0"/>
    <d v="2023-02-21T00:00:00"/>
    <d v="2023-03-22T00:00:00"/>
    <s v="Working in Store - Harris Scarfe Tarneit"/>
    <s v="Learning"/>
    <n v="1"/>
    <s v="Tarneit"/>
    <x v="2"/>
    <n v="1"/>
    <s v="HS2048"/>
    <x v="35"/>
    <x v="2"/>
    <x v="32"/>
    <s v="Q3, FY23"/>
  </r>
  <r>
    <n v="314449"/>
    <s v="Chris"/>
    <s v="Howard"/>
    <x v="2"/>
    <s v="Work in Store"/>
    <s v="Working in Store - Spotlight South Morang"/>
    <x v="0"/>
    <d v="2023-02-21T00:00:00"/>
    <d v="2023-03-15T00:00:00"/>
    <s v="Working in Store - Spotlight South Morang"/>
    <s v="Learning"/>
    <n v="1"/>
    <s v="South Morang"/>
    <x v="2"/>
    <n v="1"/>
    <s v="S113"/>
    <x v="51"/>
    <x v="0"/>
    <x v="32"/>
    <s v="Q3, FY23"/>
  </r>
  <r>
    <n v="239383"/>
    <s v="Harry"/>
    <s v="Ashton"/>
    <x v="4"/>
    <s v="Work in Store"/>
    <s v="Harris Scarfe Working in Stores - Spencer Outlet"/>
    <x v="0"/>
    <d v="2023-02-21T00:00:00"/>
    <d v="2023-03-14T00:00:00"/>
    <s v="Working in Store - Harris Scarfe Spencer Outlet"/>
    <s v="Learning"/>
    <n v="1"/>
    <s v="Docklands"/>
    <x v="2"/>
    <n v="1"/>
    <s v="HS2016"/>
    <x v="16"/>
    <x v="2"/>
    <x v="32"/>
    <s v="Q3, FY23"/>
  </r>
  <r>
    <n v="314295"/>
    <s v="Fi"/>
    <s v="Cassidy"/>
    <x v="5"/>
    <s v="Work in Store"/>
    <s v="Working in Store - Spotlight Fountain Gate"/>
    <x v="0"/>
    <d v="2023-02-21T00:00:00"/>
    <d v="2023-03-10T00:00:00"/>
    <s v="Working in Store - Spotlight Fountain Gate"/>
    <s v="Learning"/>
    <n v="1"/>
    <s v="Fountain Gate"/>
    <x v="2"/>
    <n v="1"/>
    <s v="S070"/>
    <x v="0"/>
    <x v="0"/>
    <x v="32"/>
    <s v="Q3, FY23"/>
  </r>
  <r>
    <n v="326647"/>
    <s v="Richard"/>
    <s v="Jones"/>
    <x v="2"/>
    <s v="Work in Store"/>
    <s v="Anaconda Working in Stores - Preston"/>
    <x v="0"/>
    <d v="2023-02-21T00:00:00"/>
    <d v="2023-03-10T00:00:00"/>
    <s v="Working in Store - Anaconda Preston"/>
    <s v="Learning"/>
    <n v="1"/>
    <s v="Preston"/>
    <x v="2"/>
    <n v="1"/>
    <s v="A020"/>
    <x v="19"/>
    <x v="1"/>
    <x v="32"/>
    <s v="Q3, FY23"/>
  </r>
  <r>
    <n v="326713"/>
    <s v="Gabbie"/>
    <s v="Ciavarella"/>
    <x v="0"/>
    <s v="Work in Store"/>
    <s v="Working in Store - Spotlight Essendon"/>
    <x v="0"/>
    <d v="2023-02-21T00:00:00"/>
    <d v="2023-03-10T00:00:00"/>
    <s v="Working in Store - Spotlight Essendon"/>
    <s v="Learning"/>
    <n v="1"/>
    <s v="Strathmore"/>
    <x v="2"/>
    <n v="1"/>
    <s v="S008"/>
    <x v="11"/>
    <x v="0"/>
    <x v="32"/>
    <s v="Q3, FY23"/>
  </r>
  <r>
    <n v="324114"/>
    <s v="Jeremy"/>
    <s v="Gaffney"/>
    <x v="4"/>
    <s v="Work in Store"/>
    <s v="Harris Scarfe Working in Stores - Fountain Gate"/>
    <x v="0"/>
    <d v="2023-02-21T00:00:00"/>
    <d v="2023-03-09T00:00:00"/>
    <s v="Working in Store - Harris Scarfe Fountain Gate"/>
    <s v="Learning"/>
    <n v="2"/>
    <s v="Fountain Gate"/>
    <x v="2"/>
    <n v="0"/>
    <s v="HS2039"/>
    <x v="54"/>
    <x v="2"/>
    <x v="32"/>
    <s v="Q3, FY23"/>
  </r>
  <r>
    <n v="323983"/>
    <s v="Nathan"/>
    <s v="Cook"/>
    <x v="0"/>
    <s v="Work in Store"/>
    <s v="Anaconda Working in Stores - Hawthorn East"/>
    <x v="0"/>
    <d v="2023-02-21T00:00:00"/>
    <d v="2023-03-08T00:00:00"/>
    <s v="Working in Store - Anaconda Hawthorn East"/>
    <s v="Learning"/>
    <n v="1"/>
    <s v="Hawthorn East"/>
    <x v="2"/>
    <n v="1"/>
    <s v="A058"/>
    <x v="21"/>
    <x v="1"/>
    <x v="32"/>
    <s v="Q3, FY23"/>
  </r>
  <r>
    <n v="321839"/>
    <s v="Harveen"/>
    <s v="Puri"/>
    <x v="0"/>
    <s v="Work in Store"/>
    <s v="Anaconda Working in Stores - Box Hill"/>
    <x v="0"/>
    <d v="2023-02-21T00:00:00"/>
    <d v="2023-03-03T00:00:00"/>
    <s v="Working in Store - Anaconda Box Hill"/>
    <s v="Learning"/>
    <n v="1"/>
    <s v="Box Hill"/>
    <x v="2"/>
    <n v="1"/>
    <s v="A041"/>
    <x v="4"/>
    <x v="1"/>
    <x v="32"/>
    <s v="Q3, FY23"/>
  </r>
  <r>
    <n v="208633"/>
    <s v="Sally"/>
    <s v="Tavernier"/>
    <x v="8"/>
    <s v="Work in Store"/>
    <s v="Working in Store - Spotlight Essendon"/>
    <x v="0"/>
    <d v="2023-02-21T00:00:00"/>
    <d v="2023-03-01T00:00:00"/>
    <s v="Working in Store - Spotlight Essendon"/>
    <s v="Learning"/>
    <n v="1"/>
    <s v="Strathmore"/>
    <x v="2"/>
    <n v="1"/>
    <s v="S008"/>
    <x v="11"/>
    <x v="0"/>
    <x v="32"/>
    <s v="Q3, FY23"/>
  </r>
  <r>
    <n v="228551"/>
    <s v="Amanda"/>
    <s v="Rees"/>
    <x v="4"/>
    <s v="Work in Store"/>
    <s v="Working in Store - Spotlight Box Hill"/>
    <x v="0"/>
    <d v="2023-02-21T00:00:00"/>
    <d v="2023-03-01T00:00:00"/>
    <s v="Working in Store - Spotlight Box Hill"/>
    <s v="Learning"/>
    <n v="1"/>
    <s v="Box Hill"/>
    <x v="2"/>
    <n v="1"/>
    <s v="S002"/>
    <x v="17"/>
    <x v="0"/>
    <x v="32"/>
    <s v="Q3, FY23"/>
  </r>
  <r>
    <n v="232850"/>
    <s v="Chris"/>
    <s v="Berlin"/>
    <x v="1"/>
    <s v="Work in Store"/>
    <s v="Working in Store - Spotlight South Melbourne"/>
    <x v="0"/>
    <d v="2023-02-21T00:00:00"/>
    <d v="2023-03-01T00:00:00"/>
    <s v="Working in Store - Spotlight South Melbourne"/>
    <s v="Learning"/>
    <n v="2"/>
    <s v="South Melbourne"/>
    <x v="2"/>
    <n v="0"/>
    <s v="S027"/>
    <x v="13"/>
    <x v="0"/>
    <x v="32"/>
    <s v="Q3, FY23"/>
  </r>
  <r>
    <n v="238720"/>
    <s v="Nikkie"/>
    <s v="Nardo"/>
    <x v="1"/>
    <s v="Work in Store"/>
    <s v="Working in Store - Spotlight South Melbourne"/>
    <x v="0"/>
    <d v="2023-02-21T00:00:00"/>
    <d v="2023-03-01T00:00:00"/>
    <s v="Working in Store - Spotlight South Melbourne"/>
    <s v="Learning"/>
    <n v="2"/>
    <s v="South Melbourne"/>
    <x v="2"/>
    <n v="0"/>
    <s v="S027"/>
    <x v="13"/>
    <x v="0"/>
    <x v="32"/>
    <s v="Q3, FY23"/>
  </r>
  <r>
    <n v="313819"/>
    <s v="Sai Kavya"/>
    <s v="Koppolu"/>
    <x v="5"/>
    <s v="Work in Store"/>
    <s v="Exemption - Working in Store"/>
    <x v="0"/>
    <d v="2023-02-20T00:00:00"/>
    <d v="2023-12-01T00:00:00"/>
    <s v="Working in Store - Exempt"/>
    <s v="Learning"/>
    <n v="3"/>
    <s v="South Melbourne"/>
    <x v="0"/>
    <n v="197"/>
    <s v="Exempt"/>
    <x v="50"/>
    <x v="3"/>
    <x v="22"/>
    <s v="Q2, FY24"/>
  </r>
  <r>
    <n v="318079"/>
    <s v="Niki"/>
    <s v="Campbell"/>
    <x v="0"/>
    <s v="Work in Store"/>
    <s v="Exemption - Working in Store"/>
    <x v="0"/>
    <d v="2023-02-20T00:00:00"/>
    <d v="2023-12-01T00:00:00"/>
    <s v="Working in Store - Exempt"/>
    <s v="Learning"/>
    <n v="3"/>
    <s v="South Melbourne"/>
    <x v="0"/>
    <n v="197"/>
    <s v="Exempt"/>
    <x v="50"/>
    <x v="3"/>
    <x v="22"/>
    <s v="Q2, FY24"/>
  </r>
  <r>
    <n v="307816"/>
    <s v="Su"/>
    <s v="Xie"/>
    <x v="6"/>
    <s v="Work in Store"/>
    <s v="Anaconda Working in Stores - Hawthorn East"/>
    <x v="0"/>
    <d v="2023-02-20T00:00:00"/>
    <d v="2023-05-19T00:00:00"/>
    <s v="Working in Store - Anaconda Hawthorn East"/>
    <s v="Learning"/>
    <n v="1"/>
    <s v="Hawthorn East"/>
    <x v="2"/>
    <n v="1"/>
    <s v="A058"/>
    <x v="21"/>
    <x v="1"/>
    <x v="30"/>
    <s v="Q4, FY23"/>
  </r>
  <r>
    <n v="314473"/>
    <s v="Melissa"/>
    <s v="Adeson"/>
    <x v="5"/>
    <s v="Work in Store"/>
    <s v="Working in Stores - Spotlight Bayswater"/>
    <x v="0"/>
    <d v="2023-02-20T00:00:00"/>
    <d v="2023-05-04T00:00:00"/>
    <s v="Working in Store - Spotlight Bayswater"/>
    <s v="Learning"/>
    <n v="1"/>
    <s v="Bayswater"/>
    <x v="2"/>
    <n v="1"/>
    <s v="S014"/>
    <x v="15"/>
    <x v="0"/>
    <x v="30"/>
    <s v="Q4, FY23"/>
  </r>
  <r>
    <n v="305365"/>
    <s v="Christina"/>
    <s v="Koutsaplis"/>
    <x v="0"/>
    <s v="Work in Store"/>
    <s v="Harris Scarfe Working in Stores - Epping"/>
    <x v="0"/>
    <d v="2023-02-20T00:00:00"/>
    <d v="2023-04-19T00:00:00"/>
    <s v="Working in Store - Harris Scarfe Epping"/>
    <s v="Learning"/>
    <n v="1"/>
    <s v="Epping"/>
    <x v="2"/>
    <n v="1"/>
    <s v="HS2023"/>
    <x v="28"/>
    <x v="2"/>
    <x v="31"/>
    <s v="Q4, FY23"/>
  </r>
  <r>
    <n v="316576"/>
    <s v="Nadia"/>
    <s v="Duffy"/>
    <x v="0"/>
    <s v="Work in Store"/>
    <s v="Anaconda Working in Stores - Highett"/>
    <x v="0"/>
    <d v="2023-02-20T00:00:00"/>
    <d v="2023-03-16T00:00:00"/>
    <s v="Working in Store - Anaconda Highett"/>
    <s v="Learning"/>
    <n v="1"/>
    <s v="Highett"/>
    <x v="2"/>
    <n v="1"/>
    <s v="A039"/>
    <x v="18"/>
    <x v="1"/>
    <x v="32"/>
    <s v="Q3, FY23"/>
  </r>
  <r>
    <n v="314473"/>
    <s v="Melissa"/>
    <s v="Adeson"/>
    <x v="5"/>
    <s v="Work in Store"/>
    <s v="Anaconda Working in Stores - Bayswater"/>
    <x v="0"/>
    <d v="2023-02-20T00:00:00"/>
    <d v="2023-03-15T00:00:00"/>
    <s v="Working in Store - Anaconda Bayswater"/>
    <s v="Learning"/>
    <n v="1"/>
    <s v="Bayswater"/>
    <x v="2"/>
    <n v="1"/>
    <s v="A001"/>
    <x v="2"/>
    <x v="1"/>
    <x v="32"/>
    <s v="Q3, FY23"/>
  </r>
  <r>
    <n v="317309"/>
    <s v="Ash"/>
    <s v="Steers"/>
    <x v="2"/>
    <s v="Work in Store"/>
    <s v="Working in Store - Spotlight Shepparton"/>
    <x v="0"/>
    <d v="2023-02-20T00:00:00"/>
    <d v="2023-03-03T00:00:00"/>
    <s v="Working in Store - Spotlight Shepparton"/>
    <s v="Learning"/>
    <n v="1"/>
    <s v="Shepparton"/>
    <x v="2"/>
    <n v="1"/>
    <s v="S029"/>
    <x v="85"/>
    <x v="0"/>
    <x v="32"/>
    <s v="Q3, FY23"/>
  </r>
  <r>
    <n v="222309"/>
    <s v="Clare"/>
    <s v="Taylor"/>
    <x v="1"/>
    <s v="Work in Store"/>
    <s v="Working in Store - Spotlight South Morang"/>
    <x v="0"/>
    <d v="2023-02-17T00:00:00"/>
    <d v="2023-07-12T00:00:00"/>
    <s v="Working in Store - Spotlight South Morang"/>
    <s v="Learning"/>
    <n v="1"/>
    <s v="South Morang"/>
    <x v="2"/>
    <n v="1"/>
    <s v="S113"/>
    <x v="51"/>
    <x v="0"/>
    <x v="28"/>
    <s v="Q1, FY24"/>
  </r>
  <r>
    <n v="323038"/>
    <s v="Adam"/>
    <s v="Brozinski"/>
    <x v="0"/>
    <s v="Work in Store"/>
    <s v="Anaconda Working in Stores - Preston"/>
    <x v="0"/>
    <d v="2023-02-17T00:00:00"/>
    <d v="2023-04-28T00:00:00"/>
    <s v="Working in Store - Anaconda Preston"/>
    <s v="Learning"/>
    <n v="1"/>
    <s v="Preston"/>
    <x v="2"/>
    <n v="1"/>
    <s v="A020"/>
    <x v="19"/>
    <x v="1"/>
    <x v="30"/>
    <s v="Q4, FY23"/>
  </r>
  <r>
    <n v="215248"/>
    <s v="Andrea"/>
    <s v="Day"/>
    <x v="2"/>
    <s v="Work in Store"/>
    <s v="Anaconda Working in Stores - Highett"/>
    <x v="0"/>
    <d v="2023-02-17T00:00:00"/>
    <d v="2023-03-29T00:00:00"/>
    <s v="Working in Store - Anaconda Highett"/>
    <s v="Learning"/>
    <n v="1"/>
    <s v="Highett"/>
    <x v="2"/>
    <n v="1"/>
    <s v="A039"/>
    <x v="18"/>
    <x v="1"/>
    <x v="31"/>
    <s v="Q4, FY23"/>
  </r>
  <r>
    <n v="305326"/>
    <s v="Tyler"/>
    <s v="Britton"/>
    <x v="1"/>
    <s v="Work in Store"/>
    <s v="Anaconda Working in Stores - Watergardens"/>
    <x v="0"/>
    <d v="2023-02-17T00:00:00"/>
    <d v="2023-03-23T00:00:00"/>
    <s v="Working in Store - Anaconda Watergardens"/>
    <s v="Learning"/>
    <n v="1"/>
    <s v="Taylors Lake"/>
    <x v="2"/>
    <n v="1"/>
    <s v="A040"/>
    <x v="6"/>
    <x v="1"/>
    <x v="32"/>
    <s v="Q3, FY23"/>
  </r>
  <r>
    <n v="222309"/>
    <s v="Clare"/>
    <s v="Taylor"/>
    <x v="1"/>
    <s v="Work in Store"/>
    <s v="Anaconda Working in Stores - Epping"/>
    <x v="0"/>
    <d v="2023-02-17T00:00:00"/>
    <d v="2023-03-22T00:00:00"/>
    <s v="Working in Store - Anaconda Epping"/>
    <s v="Learning"/>
    <n v="1"/>
    <s v="Epping"/>
    <x v="2"/>
    <n v="1"/>
    <s v="A052"/>
    <x v="27"/>
    <x v="1"/>
    <x v="32"/>
    <s v="Q3, FY23"/>
  </r>
  <r>
    <n v="325608"/>
    <s v="Drew"/>
    <s v="Wells"/>
    <x v="1"/>
    <s v="Work in Store"/>
    <s v="Working in Store - Spotlight Carnegie"/>
    <x v="0"/>
    <d v="2023-02-17T00:00:00"/>
    <d v="2023-03-08T00:00:00"/>
    <s v="Working in Store- Spotlight Cranegie"/>
    <s v="Learning"/>
    <n v="2"/>
    <s v="Carnegie"/>
    <x v="2"/>
    <n v="0"/>
    <s v="S114"/>
    <x v="5"/>
    <x v="0"/>
    <x v="32"/>
    <s v="Q3, FY23"/>
  </r>
  <r>
    <n v="229776"/>
    <s v="Chuin"/>
    <s v="Lee"/>
    <x v="2"/>
    <s v="Work in Store"/>
    <s v="Working in Stores - Spotlight Bayswater"/>
    <x v="0"/>
    <d v="2023-02-17T00:00:00"/>
    <d v="2023-03-02T00:00:00"/>
    <s v="Working in Store - Spotlight Bayswater"/>
    <s v="Learning"/>
    <n v="1"/>
    <s v="Bayswater"/>
    <x v="2"/>
    <n v="1"/>
    <s v="S014"/>
    <x v="15"/>
    <x v="0"/>
    <x v="32"/>
    <s v="Q3, FY23"/>
  </r>
  <r>
    <n v="229776"/>
    <s v="Chuin"/>
    <s v="Lee"/>
    <x v="2"/>
    <s v="Work in Store"/>
    <s v="Harris Scarfe Working in Stores - Forest Hill"/>
    <x v="0"/>
    <d v="2023-02-17T00:00:00"/>
    <d v="2023-02-23T00:00:00"/>
    <s v="Working in Store - Harris Scarfe Forest Hill"/>
    <s v="Learning"/>
    <n v="2"/>
    <s v="Forest Hill"/>
    <x v="2"/>
    <n v="0"/>
    <s v="HS2020"/>
    <x v="44"/>
    <x v="2"/>
    <x v="33"/>
    <s v="Q3, FY23"/>
  </r>
  <r>
    <n v="326463"/>
    <s v="Ash"/>
    <s v="Bhandari"/>
    <x v="5"/>
    <s v="Work in Store"/>
    <s v="Anaconda Working in Stores - Hoppers Crossing"/>
    <x v="0"/>
    <d v="2023-02-16T00:00:00"/>
    <d v="2023-02-23T00:00:00"/>
    <s v="Working in Store - Anaconda Hoppers Crossing"/>
    <s v="Learning"/>
    <n v="1"/>
    <s v="Hoppers Crossing"/>
    <x v="2"/>
    <n v="1"/>
    <s v="A030"/>
    <x v="39"/>
    <x v="1"/>
    <x v="33"/>
    <s v="Q3, FY23"/>
  </r>
  <r>
    <n v="316845"/>
    <s v="Peter"/>
    <s v="Manadheera"/>
    <x v="2"/>
    <s v="Work in Store"/>
    <s v="Harris Scarfe Working in Stores - Fountain Gate"/>
    <x v="0"/>
    <d v="2023-02-13T00:00:00"/>
    <d v="2023-03-17T00:00:00"/>
    <s v="Working in Store - Harris Scarfe Fountain Gate"/>
    <s v="Learning"/>
    <n v="1"/>
    <s v="Fountain Gate"/>
    <x v="2"/>
    <n v="1"/>
    <s v="HS2039"/>
    <x v="54"/>
    <x v="2"/>
    <x v="32"/>
    <s v="Q3, FY23"/>
  </r>
  <r>
    <n v="325030"/>
    <s v="Tarryn"/>
    <s v="Eddy"/>
    <x v="5"/>
    <s v="Work in Store"/>
    <s v="Anaconda Working in Stores - Cairns"/>
    <x v="0"/>
    <d v="2023-02-08T00:00:00"/>
    <d v="2023-05-04T00:00:00"/>
    <s v="Working in store -  Anaconda Cairns"/>
    <s v="Learning"/>
    <n v="1"/>
    <s v="Cairns"/>
    <x v="2"/>
    <n v="1"/>
    <s v="A037"/>
    <x v="86"/>
    <x v="1"/>
    <x v="30"/>
    <s v="Q4, FY23"/>
  </r>
  <r>
    <n v="324262"/>
    <s v="Sindhu"/>
    <s v="Sayana"/>
    <x v="2"/>
    <s v="Work in Store"/>
    <s v="Harris Scarfe Working in Stores - Blacktown"/>
    <x v="0"/>
    <d v="2023-02-08T00:00:00"/>
    <d v="2023-03-13T00:00:00"/>
    <s v="Working in Store - Harris Scarfe Blacktown"/>
    <s v="Learning"/>
    <n v="2"/>
    <s v="Blacktown"/>
    <x v="2"/>
    <n v="0"/>
    <s v="HS5054"/>
    <x v="65"/>
    <x v="2"/>
    <x v="32"/>
    <s v="Q3, FY23"/>
  </r>
  <r>
    <n v="297893"/>
    <s v="Kathryn"/>
    <s v="Buchanan"/>
    <x v="5"/>
    <s v="Work in Store"/>
    <s v="Working in Store - Spotlight Launceston"/>
    <x v="0"/>
    <d v="2023-02-08T00:00:00"/>
    <d v="2023-03-09T00:00:00"/>
    <s v="Working in Store - Spotlight Launceston"/>
    <s v="Learning"/>
    <n v="1"/>
    <s v="Launceston"/>
    <x v="2"/>
    <n v="1"/>
    <s v="S011"/>
    <x v="9"/>
    <x v="0"/>
    <x v="32"/>
    <s v="Q3, FY23"/>
  </r>
  <r>
    <n v="240922"/>
    <s v="Jordan"/>
    <s v="Glass"/>
    <x v="2"/>
    <s v="Work in Store"/>
    <s v="Harris Scarfe Working in Stores - Southland"/>
    <x v="0"/>
    <d v="2023-02-03T00:00:00"/>
    <d v="2023-03-09T00:00:00"/>
    <s v="Working in Store - Harris Scarfe Southland"/>
    <s v="Learning"/>
    <n v="1"/>
    <s v="Cheltenham"/>
    <x v="2"/>
    <n v="1"/>
    <s v="HS2025"/>
    <x v="55"/>
    <x v="2"/>
    <x v="32"/>
    <s v="Q3, FY23"/>
  </r>
  <r>
    <n v="326683"/>
    <s v="Shan"/>
    <s v="Lattin"/>
    <x v="0"/>
    <s v="Work in Store"/>
    <s v="Working in Store - Spotlight Roxburgh Park"/>
    <x v="0"/>
    <d v="2023-01-27T00:00:00"/>
    <d v="2023-02-15T00:00:00"/>
    <s v="Working in Store - Spotlight Roxburgh Park"/>
    <s v="Learning"/>
    <n v="1"/>
    <s v="Roxburgh Park"/>
    <x v="2"/>
    <n v="1"/>
    <s v="S145"/>
    <x v="1"/>
    <x v="0"/>
    <x v="33"/>
    <s v="Q3, FY23"/>
  </r>
  <r>
    <n v="321424"/>
    <s v="Vicki"/>
    <s v="Liassos"/>
    <x v="5"/>
    <s v="Work in Store"/>
    <s v="Anaconda Working in Stores - Maribyrnong"/>
    <x v="0"/>
    <d v="2023-01-20T00:00:00"/>
    <d v="2023-04-18T00:00:00"/>
    <s v="Working in Store - Anaconda Maribyrnong"/>
    <s v="Learning"/>
    <n v="2"/>
    <s v="Maribyrnong"/>
    <x v="2"/>
    <n v="0"/>
    <s v="A042"/>
    <x v="32"/>
    <x v="1"/>
    <x v="31"/>
    <s v="Q4, FY23"/>
  </r>
  <r>
    <n v="294486"/>
    <s v="Reece"/>
    <s v="Shaw"/>
    <x v="5"/>
    <s v="Work in Store"/>
    <s v="Harris Scarfe Working in Stores - Spencer Outlet"/>
    <x v="0"/>
    <d v="2023-01-19T00:00:00"/>
    <d v="2023-03-22T00:00:00"/>
    <s v="Working in Store - Harris Scarfe Spencer Outlet"/>
    <s v="Learning"/>
    <n v="2"/>
    <s v="Docklands"/>
    <x v="2"/>
    <n v="0"/>
    <s v="HS2016"/>
    <x v="16"/>
    <x v="2"/>
    <x v="32"/>
    <s v="Q3, FY23"/>
  </r>
  <r>
    <n v="314434"/>
    <s v="Michel"/>
    <s v="Gloutnay"/>
    <x v="5"/>
    <s v="Work in Store"/>
    <s v="Harris Scarfe Working in Stores - Forest Hill"/>
    <x v="0"/>
    <d v="2023-01-19T00:00:00"/>
    <d v="2023-02-23T00:00:00"/>
    <s v="Working in Store - Harris Scarfe Forest Hill"/>
    <s v="Learning"/>
    <n v="2"/>
    <s v="Forest Hill"/>
    <x v="2"/>
    <n v="0"/>
    <s v="HS2020"/>
    <x v="44"/>
    <x v="2"/>
    <x v="33"/>
    <s v="Q3, FY23"/>
  </r>
  <r>
    <n v="327036"/>
    <s v="Fotios"/>
    <s v="Viskas"/>
    <x v="2"/>
    <s v="Work in Store"/>
    <s v="Anaconda Working in Stores - Springvale"/>
    <x v="0"/>
    <d v="2023-01-18T00:00:00"/>
    <d v="2023-03-23T00:00:00"/>
    <s v="Working in Store - Anaconda Springvale"/>
    <s v="Learning"/>
    <n v="1"/>
    <s v="Springvale"/>
    <x v="2"/>
    <n v="1"/>
    <s v="A026"/>
    <x v="3"/>
    <x v="1"/>
    <x v="32"/>
    <s v="Q3, FY23"/>
  </r>
  <r>
    <n v="327036"/>
    <s v="Fotios"/>
    <s v="Viskas"/>
    <x v="2"/>
    <s v="Work in Store"/>
    <s v="Working in Store - Spotlight Sandown"/>
    <x v="0"/>
    <d v="2023-01-18T00:00:00"/>
    <d v="2023-03-15T00:00:00"/>
    <s v="Working in Store - Spotlight Sandown"/>
    <s v="Learning"/>
    <n v="1"/>
    <s v="SPRINGVALE"/>
    <x v="2"/>
    <n v="1"/>
    <s v="S005"/>
    <x v="31"/>
    <x v="0"/>
    <x v="32"/>
    <s v="Q3, FY23"/>
  </r>
  <r>
    <n v="324005"/>
    <s v="Tina"/>
    <s v="De Luca"/>
    <x v="5"/>
    <s v="Work in Store"/>
    <s v="Working in Store - Spotlight South Melbourne"/>
    <x v="0"/>
    <d v="2023-01-18T00:00:00"/>
    <d v="2023-03-14T00:00:00"/>
    <s v="Working in Store - Spotlight South Melbourne"/>
    <s v="Learning"/>
    <n v="1"/>
    <s v="South Melbourne"/>
    <x v="2"/>
    <n v="1"/>
    <s v="S027"/>
    <x v="13"/>
    <x v="0"/>
    <x v="32"/>
    <s v="Q3, FY23"/>
  </r>
  <r>
    <n v="321483"/>
    <s v="Vinchi"/>
    <s v="Chan"/>
    <x v="5"/>
    <s v="Work in Store"/>
    <s v="Working in Store - Spotlight South Melbourne"/>
    <x v="0"/>
    <d v="2023-01-18T00:00:00"/>
    <d v="2023-03-10T00:00:00"/>
    <s v="Working in Store - Spotlight South Melbourne"/>
    <s v="Learning"/>
    <n v="1"/>
    <s v="South Melbourne"/>
    <x v="2"/>
    <n v="1"/>
    <s v="S027"/>
    <x v="13"/>
    <x v="0"/>
    <x v="32"/>
    <s v="Q3, FY23"/>
  </r>
  <r>
    <n v="312818"/>
    <s v="Michael"/>
    <s v="Girardi"/>
    <x v="0"/>
    <s v="Work in Store"/>
    <s v="Anaconda Working in Stores - Hawthorn East"/>
    <x v="0"/>
    <d v="2023-01-18T00:00:00"/>
    <d v="2023-03-07T00:00:00"/>
    <s v="Working in Store - Anaconda Hawthorn East"/>
    <s v="Learning"/>
    <n v="1"/>
    <s v="Hawthorn East"/>
    <x v="2"/>
    <n v="1"/>
    <s v="A058"/>
    <x v="21"/>
    <x v="1"/>
    <x v="32"/>
    <s v="Q3, FY23"/>
  </r>
  <r>
    <n v="313834"/>
    <s v="Sunshine"/>
    <s v="Steward"/>
    <x v="5"/>
    <s v="Work in Store"/>
    <s v="Harris Scarfe Working in Stores - Woodgrove"/>
    <x v="0"/>
    <d v="2023-01-18T00:00:00"/>
    <d v="2023-02-01T00:00:00"/>
    <s v="Working in Store - Harris Scarfe Woodgrove"/>
    <s v="Learning"/>
    <n v="1"/>
    <s v="Melton"/>
    <x v="2"/>
    <n v="1"/>
    <s v="HS2017"/>
    <x v="34"/>
    <x v="2"/>
    <x v="33"/>
    <s v="Q3, FY23"/>
  </r>
  <r>
    <n v="316449"/>
    <s v="Benjamin"/>
    <s v="Hayes"/>
    <x v="5"/>
    <s v="Work in Store"/>
    <s v="Anaconda Working in Stores - Hoppers Crossing"/>
    <x v="0"/>
    <d v="2023-01-18T00:00:00"/>
    <d v="2023-01-24T00:00:00"/>
    <s v="Working in Store - Anaconda Hoppers Crossing"/>
    <s v="Learning"/>
    <n v="1"/>
    <s v="Hoppers Crossing"/>
    <x v="2"/>
    <n v="1"/>
    <s v="A030"/>
    <x v="39"/>
    <x v="1"/>
    <x v="33"/>
    <s v="Q3, FY23"/>
  </r>
  <r>
    <n v="231957"/>
    <s v="Kevin"/>
    <s v="Huynh"/>
    <x v="2"/>
    <s v="Work in Store"/>
    <s v="Anaconda Working in Stores - Maribyrnong"/>
    <x v="0"/>
    <d v="2023-01-16T00:00:00"/>
    <d v="2023-04-04T00:00:00"/>
    <s v="Working in Store - Anaconda Maribyrnong"/>
    <s v="Learning"/>
    <n v="2"/>
    <s v="Maribyrnong"/>
    <x v="2"/>
    <n v="0"/>
    <s v="A042"/>
    <x v="32"/>
    <x v="1"/>
    <x v="31"/>
    <s v="Q4, FY23"/>
  </r>
  <r>
    <n v="240305"/>
    <s v="Ansley"/>
    <s v="Lam"/>
    <x v="2"/>
    <s v="Work in Store"/>
    <s v="Anaconda Working in Stores - Maribyrnong"/>
    <x v="0"/>
    <d v="2023-01-16T00:00:00"/>
    <d v="2023-04-04T00:00:00"/>
    <s v="Working in Store - Anaconda Maribyrnong"/>
    <s v="Learning"/>
    <n v="2"/>
    <s v="Maribyrnong"/>
    <x v="2"/>
    <n v="0"/>
    <s v="A042"/>
    <x v="32"/>
    <x v="1"/>
    <x v="31"/>
    <s v="Q4, FY23"/>
  </r>
  <r>
    <n v="323134"/>
    <s v="Harsimar"/>
    <s v="Kaur"/>
    <x v="2"/>
    <s v="Work in Store"/>
    <s v="Harris Scarfe Working in Stores - Fountain Gate"/>
    <x v="0"/>
    <d v="2023-01-16T00:00:00"/>
    <d v="2023-03-09T00:00:00"/>
    <s v="Working in Store - Harris Scarfe Fountain Gate"/>
    <s v="Learning"/>
    <n v="2"/>
    <s v="Fountain Gate"/>
    <x v="2"/>
    <n v="0"/>
    <s v="HS2039"/>
    <x v="54"/>
    <x v="2"/>
    <x v="32"/>
    <s v="Q3, FY23"/>
  </r>
  <r>
    <n v="324696"/>
    <s v="Ailen"/>
    <s v="Collado"/>
    <x v="2"/>
    <s v="Work in Store"/>
    <s v="Harris Scarfe Working in Stores - Blacktown"/>
    <x v="0"/>
    <d v="2023-01-15T00:00:00"/>
    <d v="2023-03-13T00:00:00"/>
    <s v="Working in Store - Harris Scarfe Blacktown"/>
    <s v="Learning"/>
    <n v="2"/>
    <s v="Blacktown"/>
    <x v="2"/>
    <n v="0"/>
    <s v="HS5054"/>
    <x v="65"/>
    <x v="2"/>
    <x v="32"/>
    <s v="Q3, FY23"/>
  </r>
  <r>
    <n v="230701"/>
    <s v="Vijay"/>
    <s v="Shanbhag"/>
    <x v="2"/>
    <s v="Work in Store"/>
    <s v="Working in Store - Spotlight Hoppers Crossing"/>
    <x v="0"/>
    <d v="2023-01-09T00:00:00"/>
    <d v="2023-02-01T00:00:00"/>
    <s v="Working in Store - Spotlight Hoppers Crossing"/>
    <s v="Learning"/>
    <n v="1"/>
    <s v="Hoppers Crossing"/>
    <x v="2"/>
    <n v="1"/>
    <s v="S034"/>
    <x v="7"/>
    <x v="0"/>
    <x v="33"/>
    <s v="Q3, FY23"/>
  </r>
  <r>
    <n v="241044"/>
    <s v="Leah"/>
    <s v="Edwards"/>
    <x v="3"/>
    <s v="Work in Store"/>
    <s v="Anaconda Working in Stores - Box Hill"/>
    <x v="0"/>
    <d v="2023-01-09T00:00:00"/>
    <d v="2023-01-20T00:00:00"/>
    <s v="Working in Store - Anaconda Box Hill"/>
    <s v="Learning"/>
    <n v="1"/>
    <s v="Box Hill"/>
    <x v="2"/>
    <n v="1"/>
    <s v="A041"/>
    <x v="4"/>
    <x v="1"/>
    <x v="34"/>
    <s v="Q3, FY23"/>
  </r>
  <r>
    <n v="312445"/>
    <s v="Sowmya"/>
    <s v="Shankaranarayana"/>
    <x v="2"/>
    <s v="Work in Store"/>
    <s v="Harris Scarfe Working in Stores - Epping"/>
    <x v="0"/>
    <d v="2022-12-20T00:00:00"/>
    <d v="2023-03-09T00:00:00"/>
    <s v="Working in Store - Harris Scarfe Epping"/>
    <s v="Learning"/>
    <n v="1"/>
    <s v="Epping"/>
    <x v="2"/>
    <n v="1"/>
    <s v="HS2023"/>
    <x v="28"/>
    <x v="2"/>
    <x v="32"/>
    <s v="Q3, FY23"/>
  </r>
  <r>
    <n v="235290"/>
    <s v="Dean"/>
    <s v="Yendall"/>
    <x v="7"/>
    <s v="Work in Store"/>
    <s v="Anaconda Working in Stores - Hawthorn East"/>
    <x v="0"/>
    <d v="2022-12-13T00:00:00"/>
    <d v="2023-01-11T00:00:00"/>
    <s v="Working in Store - Anaconda Hawthorn East"/>
    <s v="Learning"/>
    <n v="1"/>
    <s v="Hawthorn East"/>
    <x v="2"/>
    <n v="1"/>
    <s v="A058"/>
    <x v="21"/>
    <x v="1"/>
    <x v="34"/>
    <s v="Q3, FY23"/>
  </r>
  <r>
    <n v="314681"/>
    <s v="Adam"/>
    <s v="Iacobaccio"/>
    <x v="2"/>
    <s v="Work in Store"/>
    <s v="Harris Scarfe Working in Stores - Preston"/>
    <x v="0"/>
    <d v="2022-12-05T00:00:00"/>
    <d v="2023-01-20T00:00:00"/>
    <s v="Working in Store - Harris Scarfe Preston"/>
    <s v="Learning"/>
    <n v="1"/>
    <s v="Preston"/>
    <x v="2"/>
    <n v="1"/>
    <s v="HS2040"/>
    <x v="23"/>
    <x v="2"/>
    <x v="34"/>
    <s v="Q3, FY23"/>
  </r>
  <r>
    <n v="325420"/>
    <s v="Thida"/>
    <s v="Zaw"/>
    <x v="2"/>
    <s v="Work in Store"/>
    <s v="Working in Store - Spotlight Sandown"/>
    <x v="0"/>
    <d v="2022-11-15T00:00:00"/>
    <d v="2023-01-13T00:00:00"/>
    <s v="Working in Store - Spotlight Sandown"/>
    <s v="Learning"/>
    <n v="1"/>
    <s v="SPRINGVALE"/>
    <x v="2"/>
    <n v="1"/>
    <s v="S005"/>
    <x v="31"/>
    <x v="0"/>
    <x v="34"/>
    <s v="Q3, FY23"/>
  </r>
  <r>
    <n v="316728"/>
    <s v="Lynne Barron"/>
    <s v="Barron"/>
    <x v="0"/>
    <s v="Work in Store"/>
    <s v="Working in Store - Spotlight Box Hill"/>
    <x v="0"/>
    <d v="2022-11-08T00:00:00"/>
    <d v="2023-01-25T00:00:00"/>
    <s v="Working in Store - Spotlight Box Hill"/>
    <s v="Learning"/>
    <n v="1"/>
    <s v="Box Hill"/>
    <x v="2"/>
    <n v="1"/>
    <s v="S002"/>
    <x v="17"/>
    <x v="0"/>
    <x v="33"/>
    <s v="Q3, FY23"/>
  </r>
  <r>
    <m/>
    <m/>
    <m/>
    <x v="10"/>
    <m/>
    <m/>
    <x v="1"/>
    <m/>
    <m/>
    <m/>
    <m/>
    <m/>
    <m/>
    <x v="4"/>
    <m/>
    <m/>
    <x v="87"/>
    <x v="4"/>
    <x v="3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C33C6-E586-42BD-A0D2-B34E851380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2:D21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axis="axisRow" showAll="0">
      <items count="89">
        <item x="48"/>
        <item x="12"/>
        <item x="2"/>
        <item x="30"/>
        <item x="4"/>
        <item x="27"/>
        <item x="40"/>
        <item x="46"/>
        <item x="42"/>
        <item x="21"/>
        <item x="18"/>
        <item x="39"/>
        <item x="52"/>
        <item x="32"/>
        <item x="41"/>
        <item x="37"/>
        <item x="47"/>
        <item x="19"/>
        <item x="3"/>
        <item x="6"/>
        <item h="1" x="50"/>
        <item h="1" x="24"/>
        <item h="1" x="29"/>
        <item h="1" x="25"/>
        <item h="1" x="38"/>
        <item h="1" x="28"/>
        <item h="1" x="44"/>
        <item h="1" x="54"/>
        <item h="1" x="49"/>
        <item h="1" x="10"/>
        <item h="1" x="14"/>
        <item h="1" x="45"/>
        <item h="1" x="23"/>
        <item h="1" x="36"/>
        <item h="1" x="55"/>
        <item h="1" x="16"/>
        <item h="1" x="20"/>
        <item h="1" x="35"/>
        <item h="1" x="34"/>
        <item h="1" x="15"/>
        <item h="1" x="17"/>
        <item h="1" x="26"/>
        <item h="1" x="43"/>
        <item h="1" x="53"/>
        <item h="1" x="5"/>
        <item h="1" x="11"/>
        <item h="1" x="0"/>
        <item h="1" x="7"/>
        <item h="1" x="33"/>
        <item h="1" x="69"/>
        <item h="1" x="1"/>
        <item h="1" x="31"/>
        <item h="1" x="13"/>
        <item h="1" x="51"/>
        <item h="1" x="8"/>
        <item h="1" x="22"/>
        <item h="1" x="87"/>
        <item h="1" x="9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x="70"/>
        <item h="1" x="71"/>
        <item h="1" x="72"/>
        <item h="1" x="73"/>
        <item h="1" x="74"/>
        <item h="1" x="75"/>
        <item x="76"/>
        <item h="1" x="77"/>
        <item h="1" x="78"/>
        <item h="1" x="79"/>
        <item x="80"/>
        <item h="1" x="81"/>
        <item h="1" x="82"/>
        <item h="1" x="83"/>
        <item h="1" x="84"/>
        <item h="1" x="85"/>
        <item x="86"/>
        <item t="default"/>
      </items>
    </pivotField>
    <pivotField dataField="1" showAll="0"/>
    <pivotField axis="axisPage" multipleItemSelectionAllowed="1" showAll="0">
      <items count="37">
        <item h="1" x="31"/>
        <item h="1" x="19"/>
        <item h="1" x="4"/>
        <item h="1" x="27"/>
        <item h="1" x="15"/>
        <item h="1" x="2"/>
        <item h="1" x="22"/>
        <item h="1" x="11"/>
        <item h="1" x="33"/>
        <item h="1" x="21"/>
        <item h="1" x="6"/>
        <item h="1" x="34"/>
        <item h="1" x="23"/>
        <item h="1" x="8"/>
        <item h="1" x="28"/>
        <item h="1" x="16"/>
        <item h="1" x="10"/>
        <item h="1" x="29"/>
        <item h="1" x="17"/>
        <item h="1" x="0"/>
        <item h="1" x="32"/>
        <item h="1" x="20"/>
        <item h="1" x="5"/>
        <item h="1" x="30"/>
        <item h="1" x="18"/>
        <item x="1"/>
        <item h="1" x="24"/>
        <item h="1" x="12"/>
        <item h="1" x="9"/>
        <item h="1" x="25"/>
        <item h="1" x="13"/>
        <item h="1" x="7"/>
        <item h="1" x="26"/>
        <item h="1" x="14"/>
        <item h="1" x="3"/>
        <item h="1" x="35"/>
        <item t="default"/>
      </items>
    </pivotField>
    <pivotField showAll="0"/>
  </pivotFields>
  <rowFields count="1">
    <field x="16"/>
  </rowFields>
  <rowItems count="8">
    <i>
      <x v="1"/>
    </i>
    <i>
      <x v="2"/>
    </i>
    <i>
      <x v="4"/>
    </i>
    <i>
      <x v="9"/>
    </i>
    <i>
      <x v="10"/>
    </i>
    <i>
      <x v="17"/>
    </i>
    <i>
      <x v="18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8" hier="-1"/>
  </pageFields>
  <dataFields count="1">
    <dataField name="Count of Brand" fld="17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FD32D-88A9-4556-9E25-82AF4D5647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8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axis="axisRow" dataField="1" showAll="0">
      <items count="6">
        <item x="1"/>
        <item h="1" x="3"/>
        <item x="2"/>
        <item x="0"/>
        <item h="1" x="4"/>
        <item t="default"/>
      </items>
    </pivotField>
    <pivotField axis="axisPage" multipleItemSelectionAllowed="1" showAll="0">
      <items count="37">
        <item h="1" x="31"/>
        <item h="1" x="19"/>
        <item x="4"/>
        <item h="1" x="27"/>
        <item x="15"/>
        <item h="1" x="2"/>
        <item h="1" x="22"/>
        <item x="11"/>
        <item h="1" x="33"/>
        <item h="1" x="21"/>
        <item x="6"/>
        <item h="1" x="34"/>
        <item h="1" x="23"/>
        <item x="8"/>
        <item h="1" x="28"/>
        <item x="16"/>
        <item h="1" x="10"/>
        <item h="1" x="29"/>
        <item h="1" x="17"/>
        <item x="0"/>
        <item h="1" x="32"/>
        <item h="1" x="20"/>
        <item x="5"/>
        <item h="1" x="30"/>
        <item h="1" x="18"/>
        <item x="1"/>
        <item h="1" x="24"/>
        <item x="12"/>
        <item h="1" x="9"/>
        <item h="1" x="25"/>
        <item x="13"/>
        <item h="1" x="7"/>
        <item h="1" x="26"/>
        <item x="14"/>
        <item h="1" x="3"/>
        <item h="1" x="35"/>
        <item t="default"/>
      </items>
    </pivotField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3"/>
    </i>
    <i t="grand">
      <x/>
    </i>
  </colItems>
  <pageFields count="1">
    <pageField fld="18" hier="-1"/>
  </pageFields>
  <dataFields count="1">
    <dataField name="Count of Brand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397E4-6A59-4AD2-8666-F8072661CD0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12:Q19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axis="axisRow" showAll="0">
      <items count="89">
        <item h="1" x="48"/>
        <item h="1" x="12"/>
        <item h="1" x="2"/>
        <item h="1" x="30"/>
        <item h="1" x="4"/>
        <item h="1" x="27"/>
        <item h="1" x="40"/>
        <item h="1" x="46"/>
        <item h="1" x="42"/>
        <item h="1" x="21"/>
        <item h="1" x="18"/>
        <item h="1" x="39"/>
        <item h="1" x="52"/>
        <item h="1" x="32"/>
        <item h="1" x="41"/>
        <item h="1" x="37"/>
        <item h="1" x="47"/>
        <item h="1" x="19"/>
        <item h="1" x="3"/>
        <item h="1" x="6"/>
        <item h="1" x="50"/>
        <item h="1" x="24"/>
        <item h="1" x="29"/>
        <item h="1" x="25"/>
        <item h="1" x="38"/>
        <item h="1" x="28"/>
        <item h="1" x="44"/>
        <item h="1" x="54"/>
        <item h="1" x="49"/>
        <item h="1" x="10"/>
        <item h="1" x="14"/>
        <item h="1" x="45"/>
        <item h="1" x="23"/>
        <item h="1" x="36"/>
        <item h="1" x="55"/>
        <item h="1" x="16"/>
        <item h="1" x="20"/>
        <item h="1" x="35"/>
        <item h="1" x="34"/>
        <item x="15"/>
        <item x="17"/>
        <item x="26"/>
        <item x="43"/>
        <item x="53"/>
        <item x="5"/>
        <item x="11"/>
        <item x="0"/>
        <item x="7"/>
        <item x="33"/>
        <item x="69"/>
        <item x="1"/>
        <item x="31"/>
        <item x="13"/>
        <item x="51"/>
        <item x="8"/>
        <item x="22"/>
        <item h="1" x="87"/>
        <item x="9"/>
        <item x="56"/>
        <item x="57"/>
        <item h="1" x="58"/>
        <item x="59"/>
        <item h="1" x="60"/>
        <item h="1" x="61"/>
        <item h="1" x="62"/>
        <item h="1" x="63"/>
        <item x="64"/>
        <item h="1" x="65"/>
        <item x="66"/>
        <item h="1" x="67"/>
        <item x="68"/>
        <item h="1" x="70"/>
        <item h="1" x="71"/>
        <item h="1" x="72"/>
        <item x="73"/>
        <item x="74"/>
        <item x="75"/>
        <item h="1" x="76"/>
        <item x="77"/>
        <item x="78"/>
        <item x="79"/>
        <item h="1" x="80"/>
        <item x="81"/>
        <item x="82"/>
        <item h="1" x="83"/>
        <item x="84"/>
        <item x="85"/>
        <item h="1" x="86"/>
        <item t="default"/>
      </items>
    </pivotField>
    <pivotField dataField="1" showAll="0"/>
    <pivotField axis="axisPage" multipleItemSelectionAllowed="1" showAll="0">
      <items count="37">
        <item h="1" x="31"/>
        <item h="1" x="19"/>
        <item h="1" x="4"/>
        <item h="1" x="27"/>
        <item h="1" x="15"/>
        <item h="1" x="2"/>
        <item h="1" x="22"/>
        <item h="1" x="11"/>
        <item h="1" x="33"/>
        <item h="1" x="21"/>
        <item h="1" x="6"/>
        <item h="1" x="34"/>
        <item h="1" x="23"/>
        <item h="1" x="8"/>
        <item h="1" x="28"/>
        <item h="1" x="16"/>
        <item h="1" x="10"/>
        <item h="1" x="29"/>
        <item h="1" x="17"/>
        <item h="1" x="0"/>
        <item h="1" x="32"/>
        <item h="1" x="20"/>
        <item h="1" x="5"/>
        <item h="1" x="30"/>
        <item h="1" x="18"/>
        <item x="1"/>
        <item h="1" x="24"/>
        <item h="1" x="12"/>
        <item h="1" x="9"/>
        <item h="1" x="25"/>
        <item h="1" x="13"/>
        <item h="1" x="7"/>
        <item h="1" x="26"/>
        <item h="1" x="14"/>
        <item h="1" x="3"/>
        <item h="1" x="35"/>
        <item t="default"/>
      </items>
    </pivotField>
    <pivotField showAll="0"/>
  </pivotFields>
  <rowFields count="1">
    <field x="16"/>
  </rowFields>
  <rowItems count="6">
    <i>
      <x v="40"/>
    </i>
    <i>
      <x v="44"/>
    </i>
    <i>
      <x v="45"/>
    </i>
    <i>
      <x v="47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8" hier="-1"/>
  </pageFields>
  <dataFields count="1">
    <dataField name="Count of Brand" fld="17" subtotal="count" baseField="0" baseItem="0"/>
  </dataFields>
  <chartFormats count="2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140B4-296B-426A-B845-C02E3F5F8F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2:J18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axis="axisRow" showAll="0">
      <items count="89">
        <item h="1" x="48"/>
        <item h="1" x="12"/>
        <item h="1" x="2"/>
        <item h="1" x="30"/>
        <item h="1" x="4"/>
        <item h="1" x="27"/>
        <item h="1" x="40"/>
        <item h="1" x="46"/>
        <item h="1" x="42"/>
        <item h="1" x="21"/>
        <item h="1" x="18"/>
        <item h="1" x="39"/>
        <item h="1" x="52"/>
        <item h="1" x="32"/>
        <item h="1" x="41"/>
        <item h="1" x="37"/>
        <item h="1" x="47"/>
        <item h="1" x="19"/>
        <item h="1" x="3"/>
        <item h="1" x="6"/>
        <item h="1" x="50"/>
        <item x="24"/>
        <item x="29"/>
        <item x="25"/>
        <item x="38"/>
        <item x="28"/>
        <item x="44"/>
        <item x="54"/>
        <item x="49"/>
        <item x="10"/>
        <item x="14"/>
        <item x="45"/>
        <item x="23"/>
        <item x="36"/>
        <item x="55"/>
        <item x="16"/>
        <item x="20"/>
        <item x="35"/>
        <item x="34"/>
        <item h="1" x="15"/>
        <item h="1" x="17"/>
        <item h="1" x="26"/>
        <item h="1" x="43"/>
        <item h="1" x="53"/>
        <item h="1" x="5"/>
        <item h="1" x="11"/>
        <item h="1" x="0"/>
        <item h="1" x="7"/>
        <item h="1" x="33"/>
        <item h="1" x="69"/>
        <item h="1" x="1"/>
        <item h="1" x="31"/>
        <item h="1" x="13"/>
        <item h="1" x="51"/>
        <item h="1" x="8"/>
        <item h="1" x="22"/>
        <item h="1" x="87"/>
        <item h="1" x="9"/>
        <item h="1" x="56"/>
        <item h="1" x="57"/>
        <item x="58"/>
        <item h="1" x="59"/>
        <item x="60"/>
        <item x="61"/>
        <item x="62"/>
        <item x="63"/>
        <item h="1" x="64"/>
        <item x="65"/>
        <item h="1" x="66"/>
        <item h="1" x="67"/>
        <item h="1" x="68"/>
        <item h="1"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85"/>
        <item h="1" x="86"/>
        <item t="default"/>
      </items>
    </pivotField>
    <pivotField dataField="1" showAll="0"/>
    <pivotField axis="axisPage" multipleItemSelectionAllowed="1" showAll="0">
      <items count="37">
        <item h="1" x="31"/>
        <item h="1" x="19"/>
        <item h="1" x="4"/>
        <item h="1" x="27"/>
        <item h="1" x="15"/>
        <item h="1" x="2"/>
        <item h="1" x="22"/>
        <item h="1" x="11"/>
        <item h="1" x="33"/>
        <item h="1" x="21"/>
        <item h="1" x="6"/>
        <item h="1" x="34"/>
        <item h="1" x="23"/>
        <item h="1" x="8"/>
        <item h="1" x="28"/>
        <item h="1" x="16"/>
        <item h="1" x="10"/>
        <item h="1" x="29"/>
        <item h="1" x="17"/>
        <item h="1" x="0"/>
        <item h="1" x="32"/>
        <item h="1" x="20"/>
        <item h="1" x="5"/>
        <item h="1" x="30"/>
        <item h="1" x="18"/>
        <item x="1"/>
        <item h="1" x="24"/>
        <item h="1" x="12"/>
        <item h="1" x="9"/>
        <item h="1" x="25"/>
        <item h="1" x="13"/>
        <item h="1" x="7"/>
        <item h="1" x="26"/>
        <item h="1" x="14"/>
        <item h="1" x="3"/>
        <item h="1" x="35"/>
        <item t="default"/>
      </items>
    </pivotField>
    <pivotField showAll="0"/>
  </pivotFields>
  <rowFields count="1">
    <field x="16"/>
  </rowFields>
  <rowItems count="5">
    <i>
      <x v="21"/>
    </i>
    <i>
      <x v="29"/>
    </i>
    <i>
      <x v="35"/>
    </i>
    <i>
      <x v="36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8" hier="-1"/>
  </pageFields>
  <dataFields count="1">
    <dataField name="Count of Brand" fld="17" subtotal="count" baseField="0" baseItem="0"/>
  </dataFields>
  <chartFormats count="2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E13D9-E49B-44C8-B526-A178FCE1AC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1" firstDataRow="2" firstDataCol="1" rowPageCount="1" colPageCount="1"/>
  <pivotFields count="20">
    <pivotField dataField="1" showAll="0"/>
    <pivotField showAll="0"/>
    <pivotField showAll="0"/>
    <pivotField axis="axisRow" showAll="0">
      <items count="15">
        <item x="6"/>
        <item x="1"/>
        <item h="1" x="7"/>
        <item h="1" x="11"/>
        <item h="1" x="12"/>
        <item h="1" x="9"/>
        <item x="5"/>
        <item x="2"/>
        <item x="0"/>
        <item x="4"/>
        <item x="13"/>
        <item x="3"/>
        <item x="8"/>
        <item h="1" x="1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7">
        <item h="1" x="31"/>
        <item h="1" x="19"/>
        <item x="4"/>
        <item h="1" x="27"/>
        <item x="15"/>
        <item h="1" x="2"/>
        <item h="1" x="22"/>
        <item x="11"/>
        <item h="1" x="33"/>
        <item h="1" x="21"/>
        <item x="6"/>
        <item h="1" x="34"/>
        <item h="1" x="23"/>
        <item x="8"/>
        <item h="1" x="28"/>
        <item x="16"/>
        <item h="1" x="10"/>
        <item h="1" x="29"/>
        <item h="1" x="17"/>
        <item x="0"/>
        <item h="1" x="32"/>
        <item h="1" x="20"/>
        <item x="5"/>
        <item h="1" x="30"/>
        <item h="1" x="18"/>
        <item x="1"/>
        <item h="1" x="24"/>
        <item x="12"/>
        <item h="1" x="9"/>
        <item h="1" x="25"/>
        <item x="13"/>
        <item h="1" x="7"/>
        <item h="1" x="26"/>
        <item x="14"/>
        <item h="1" x="3"/>
        <item h="1" x="35"/>
        <item t="default"/>
      </items>
    </pivotField>
    <pivotField showAll="0"/>
  </pivotFields>
  <rowFields count="1">
    <field x="3"/>
  </rowFields>
  <rowItems count="9">
    <i>
      <x/>
    </i>
    <i>
      <x v="1"/>
    </i>
    <i>
      <x v="6"/>
    </i>
    <i>
      <x v="7"/>
    </i>
    <i>
      <x v="8"/>
    </i>
    <i>
      <x v="9"/>
    </i>
    <i>
      <x v="11"/>
    </i>
    <i>
      <x v="1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18" hier="-1"/>
  </pageFields>
  <dataFields count="1">
    <dataField name="Count of Employee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10470-94DC-4CAF-9BB7-F53F78B8682B}" name="Table13" displayName="Table13" ref="A1:J419" totalsRowShown="0" headerRowDxfId="11" dataDxfId="10">
  <autoFilter ref="A1:J419" xr:uid="{A6BE76A3-06F5-429E-953B-F4817F119201}"/>
  <tableColumns count="10">
    <tableColumn id="1" xr3:uid="{CF98735A-CBE1-4A4B-BFE8-D14B6A2B74C1}" name="Start" dataDxfId="9">
      <calculatedColumnFormula>A1+7</calculatedColumnFormula>
    </tableColumn>
    <tableColumn id="2" xr3:uid="{90F3ECF5-8FF9-4536-B0D0-CFDC1C37E5C5}" name="End" dataDxfId="8">
      <calculatedColumnFormula>B1+7</calculatedColumnFormula>
    </tableColumn>
    <tableColumn id="3" xr3:uid="{15F124CB-7811-4608-B8AD-3C4AB845E01B}" name="Week" dataDxfId="7"/>
    <tableColumn id="4" xr3:uid="{D236B943-FF66-4296-9AF5-FCC2F5235AD9}" name="Month" dataDxfId="6"/>
    <tableColumn id="5" xr3:uid="{A80B292B-E44B-4E5B-A345-6B894CCDA27E}" name="QTR" dataDxfId="5"/>
    <tableColumn id="7" xr3:uid="{468E7EA7-66E4-4C05-974E-54384E86EC65}" name="FY" dataDxfId="4"/>
    <tableColumn id="9" xr3:uid="{76197215-7B2A-402F-A6C0-9F85F71DD65D}" name="Month Year Comb" dataDxfId="3">
      <calculatedColumnFormula>Table13[[#This Row],[Month]]&amp;", "&amp;Table13[[#This Row],[FY]]</calculatedColumnFormula>
    </tableColumn>
    <tableColumn id="8" xr3:uid="{7438E7F9-2A85-40BA-AA85-8C40AAD3428A}" name="Week Month Year Comb" dataDxfId="2">
      <calculatedColumnFormula>Table13[[#This Row],[Week]]&amp;", "&amp;Table13[[#This Row],[Month]]&amp;" "&amp;Table13[[#This Row],[FY]]</calculatedColumnFormula>
    </tableColumn>
    <tableColumn id="11" xr3:uid="{8BA32498-4BDB-4A62-BFD8-5BBE7F19EAA7}" name="Month Year Comb2" dataDxfId="1">
      <calculatedColumnFormula>Table13[[#This Row],[Month]]&amp;", "&amp;Table13[[#This Row],[FY]]</calculatedColumnFormula>
    </tableColumn>
    <tableColumn id="6" xr3:uid="{0BACA8C8-D7BA-469D-B648-D0A23579A34E}" name="Qtr Year Comb22" dataDxfId="0">
      <calculatedColumnFormula>"Q"&amp;Table13[[#This Row],[QTR]]&amp;", "&amp;Table13[[#This Row],[FY]]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B4A6-05EA-43EE-9E78-7A121C86F6E6}">
  <sheetPr>
    <tabColor theme="5" tint="0.39997558519241921"/>
  </sheetPr>
  <dimension ref="A1:J41"/>
  <sheetViews>
    <sheetView tabSelected="1" zoomScale="90" zoomScaleNormal="90" workbookViewId="0">
      <selection activeCell="B41" sqref="B41"/>
    </sheetView>
  </sheetViews>
  <sheetFormatPr defaultRowHeight="15" x14ac:dyDescent="0.25"/>
  <cols>
    <col min="1" max="1" width="2.85546875" customWidth="1"/>
    <col min="2" max="2" width="14.85546875" customWidth="1"/>
    <col min="3" max="3" width="25.7109375" customWidth="1"/>
    <col min="4" max="4" width="2.7109375" customWidth="1"/>
    <col min="5" max="5" width="15" customWidth="1"/>
    <col min="6" max="6" width="14" customWidth="1"/>
    <col min="7" max="7" width="13.5703125" customWidth="1"/>
    <col min="8" max="8" width="13.7109375" customWidth="1"/>
    <col min="9" max="9" width="12.85546875" customWidth="1"/>
    <col min="10" max="10" width="2.42578125" customWidth="1"/>
  </cols>
  <sheetData>
    <row r="1" spans="1:10" ht="15.75" thickBot="1" x14ac:dyDescent="0.3">
      <c r="A1" s="51"/>
      <c r="B1" s="52"/>
      <c r="C1" s="52"/>
      <c r="D1" s="52"/>
      <c r="E1" s="52"/>
      <c r="F1" s="52"/>
      <c r="G1" s="52"/>
      <c r="H1" s="52"/>
      <c r="I1" s="52"/>
      <c r="J1" s="53"/>
    </row>
    <row r="2" spans="1:10" ht="15.75" thickBot="1" x14ac:dyDescent="0.3">
      <c r="A2" s="54"/>
      <c r="B2" s="21"/>
      <c r="C2" s="21"/>
      <c r="E2" s="86" t="s">
        <v>0</v>
      </c>
      <c r="F2" s="86"/>
      <c r="G2" s="86"/>
      <c r="H2" s="86"/>
      <c r="I2" s="86"/>
      <c r="J2" s="55"/>
    </row>
    <row r="3" spans="1:10" ht="15.75" hidden="1" thickBot="1" x14ac:dyDescent="0.3">
      <c r="A3" s="54"/>
      <c r="B3" s="21"/>
      <c r="C3" s="21"/>
      <c r="E3" s="60" t="s">
        <v>1</v>
      </c>
      <c r="F3" s="60" t="s">
        <v>1</v>
      </c>
      <c r="G3" s="60" t="s">
        <v>1</v>
      </c>
      <c r="H3" s="60" t="s">
        <v>1</v>
      </c>
      <c r="I3" s="60" t="s">
        <v>1</v>
      </c>
      <c r="J3" s="55"/>
    </row>
    <row r="4" spans="1:10" ht="15.75" thickBot="1" x14ac:dyDescent="0.3">
      <c r="A4" s="54"/>
      <c r="B4" s="21"/>
      <c r="C4" s="21"/>
      <c r="E4" s="86" t="s">
        <v>2</v>
      </c>
      <c r="F4" s="86"/>
      <c r="G4" s="86" t="s">
        <v>3</v>
      </c>
      <c r="H4" s="86"/>
      <c r="I4" s="86"/>
      <c r="J4" s="55"/>
    </row>
    <row r="5" spans="1:10" ht="15.75" hidden="1" thickBot="1" x14ac:dyDescent="0.3">
      <c r="A5" s="54"/>
      <c r="B5" s="21"/>
      <c r="C5" s="21"/>
      <c r="E5" s="60" t="str">
        <f>E6&amp;", "&amp;E4</f>
        <v>MAY, FY24</v>
      </c>
      <c r="F5" s="60" t="str">
        <f>E6&amp;", "&amp;E4</f>
        <v>MAY, FY24</v>
      </c>
      <c r="G5" s="60" t="str">
        <f>G6&amp;", "&amp;G4</f>
        <v>MAY, FY25</v>
      </c>
      <c r="H5" s="60" t="str">
        <f>G6&amp;", "&amp;G4</f>
        <v>MAY, FY25</v>
      </c>
      <c r="I5" s="60"/>
      <c r="J5" s="55"/>
    </row>
    <row r="6" spans="1:10" ht="15.75" thickBot="1" x14ac:dyDescent="0.3">
      <c r="A6" s="54"/>
      <c r="B6" s="25" t="s">
        <v>4</v>
      </c>
      <c r="C6" s="25" t="s">
        <v>5</v>
      </c>
      <c r="E6" s="61" t="s">
        <v>6</v>
      </c>
      <c r="F6" s="61" t="s">
        <v>7</v>
      </c>
      <c r="G6" s="61" t="s">
        <v>6</v>
      </c>
      <c r="H6" s="61" t="s">
        <v>7</v>
      </c>
      <c r="I6" s="61" t="s">
        <v>8</v>
      </c>
      <c r="J6" s="55"/>
    </row>
    <row r="7" spans="1:10" x14ac:dyDescent="0.25">
      <c r="A7" s="54"/>
      <c r="B7" s="62" t="s">
        <v>9</v>
      </c>
      <c r="C7" s="63" t="s">
        <v>10</v>
      </c>
      <c r="D7" s="56"/>
      <c r="E7" s="34" cm="1">
        <f t="array" aca="1" ref="E7" ca="1">_xlfn.XLOOKUP($B7,INDIRECT("'"&amp;E$3&amp;"'!"&amp;"$A3:$A35"),_xlfn.XLOOKUP(E$5,INDIRECT("'"&amp;E$3&amp;"'!"&amp;"$C2:$AZ2"),INDIRECT("'"&amp;E$3&amp;"'!"&amp;"$C3:$AZ35")))</f>
        <v>0</v>
      </c>
      <c r="F7" s="35" cm="1">
        <f t="array" aca="1" ref="F7" ca="1">_xlfn.XLOOKUP($B7,INDIRECT("'"&amp;F$3&amp;"'!"&amp;"$A39:$A71"),_xlfn.XLOOKUP(F$5,INDIRECT("'"&amp;F$3&amp;"'!"&amp;"$C2:$AZ2"),INDIRECT("'"&amp;F$3&amp;"'!"&amp;"$C39:$AZ71")))</f>
        <v>2</v>
      </c>
      <c r="G7" s="36" cm="1">
        <f t="array" aca="1" ref="G7" ca="1">_xlfn.XLOOKUP($B7,INDIRECT("'"&amp;G$3&amp;"'!"&amp;"$A3:$A35"),_xlfn.XLOOKUP(G$5,INDIRECT("'"&amp;G$3&amp;"'!"&amp;"$C2:$AZ2"),INDIRECT("'"&amp;G$3&amp;"'!"&amp;"$C3:$AZ35")))</f>
        <v>0</v>
      </c>
      <c r="H7" s="84" cm="1">
        <f t="array" aca="1" ref="H7" ca="1">_xlfn.XLOOKUP($B7,INDIRECT("'"&amp;H$3&amp;"'!"&amp;"$A39:$A71"),_xlfn.XLOOKUP(H$5,INDIRECT("'"&amp;H$3&amp;"'!"&amp;"$C2:$AZ2"),INDIRECT("'"&amp;H$3&amp;"'!"&amp;"$C39:$AZ71")))</f>
        <v>1</v>
      </c>
      <c r="I7" s="35">
        <f ca="1">H7-F7</f>
        <v>-1</v>
      </c>
      <c r="J7" s="55"/>
    </row>
    <row r="8" spans="1:10" x14ac:dyDescent="0.25">
      <c r="A8" s="54"/>
      <c r="B8" s="64" t="s">
        <v>11</v>
      </c>
      <c r="C8" s="65" t="s">
        <v>12</v>
      </c>
      <c r="D8" s="56"/>
      <c r="E8" s="41" cm="1">
        <f t="array" aca="1" ref="E8" ca="1">_xlfn.XLOOKUP($B8,INDIRECT("'"&amp;E$3&amp;"'!"&amp;"$A3:$A35"),_xlfn.XLOOKUP(E$5,INDIRECT("'"&amp;E$3&amp;"'!"&amp;"$C2:$AZ2"),INDIRECT("'"&amp;E$3&amp;"'!"&amp;"$C3:$AZ35")))</f>
        <v>0</v>
      </c>
      <c r="F8" s="42" cm="1">
        <f t="array" aca="1" ref="F8" ca="1">_xlfn.XLOOKUP($B8,INDIRECT("'"&amp;F$3&amp;"'!"&amp;"$A39:$A71"),_xlfn.XLOOKUP(F$5,INDIRECT("'"&amp;F$3&amp;"'!"&amp;"$C2:$AZ2"),INDIRECT("'"&amp;F$3&amp;"'!"&amp;"$C39:$AZ71")))</f>
        <v>0</v>
      </c>
      <c r="G8" s="43" cm="1">
        <f t="array" aca="1" ref="G8" ca="1">_xlfn.XLOOKUP($B8,INDIRECT("'"&amp;G$3&amp;"'!"&amp;"$A3:$A35"),_xlfn.XLOOKUP(G$5,INDIRECT("'"&amp;G$3&amp;"'!"&amp;"$C2:$AZ2"),INDIRECT("'"&amp;G$3&amp;"'!"&amp;"$C3:$AZ35")))</f>
        <v>0</v>
      </c>
      <c r="H8" s="37" cm="1">
        <f t="array" aca="1" ref="H8" ca="1">_xlfn.XLOOKUP($B8,INDIRECT("'"&amp;H$3&amp;"'!"&amp;"$A39:$A71"),_xlfn.XLOOKUP(H$5,INDIRECT("'"&amp;H$3&amp;"'!"&amp;"$C2:$AZ2"),INDIRECT("'"&amp;H$3&amp;"'!"&amp;"$C39:$AZ71")))</f>
        <v>0</v>
      </c>
      <c r="I8" s="42">
        <f t="shared" ref="I8:I39" ca="1" si="0">H8-F8</f>
        <v>0</v>
      </c>
      <c r="J8" s="55"/>
    </row>
    <row r="9" spans="1:10" x14ac:dyDescent="0.25">
      <c r="A9" s="54"/>
      <c r="B9" s="64" t="s">
        <v>13</v>
      </c>
      <c r="C9" s="65" t="s">
        <v>14</v>
      </c>
      <c r="D9" s="56"/>
      <c r="E9" s="41" cm="1">
        <f t="array" aca="1" ref="E9" ca="1">_xlfn.XLOOKUP($B9,INDIRECT("'"&amp;E$3&amp;"'!"&amp;"$A3:$A35"),_xlfn.XLOOKUP(E$5,INDIRECT("'"&amp;E$3&amp;"'!"&amp;"$C2:$AZ2"),INDIRECT("'"&amp;E$3&amp;"'!"&amp;"$C3:$AZ35")))</f>
        <v>0</v>
      </c>
      <c r="F9" s="42" cm="1">
        <f t="array" aca="1" ref="F9" ca="1">_xlfn.XLOOKUP($B9,INDIRECT("'"&amp;F$3&amp;"'!"&amp;"$A39:$A71"),_xlfn.XLOOKUP(F$5,INDIRECT("'"&amp;F$3&amp;"'!"&amp;"$C2:$AZ2"),INDIRECT("'"&amp;F$3&amp;"'!"&amp;"$C39:$AZ71")))</f>
        <v>0</v>
      </c>
      <c r="G9" s="43" cm="1">
        <f t="array" aca="1" ref="G9" ca="1">_xlfn.XLOOKUP($B9,INDIRECT("'"&amp;G$3&amp;"'!"&amp;"$A3:$A35"),_xlfn.XLOOKUP(G$5,INDIRECT("'"&amp;G$3&amp;"'!"&amp;"$C2:$AZ2"),INDIRECT("'"&amp;G$3&amp;"'!"&amp;"$C3:$AZ35")))</f>
        <v>1</v>
      </c>
      <c r="H9" s="37" cm="1">
        <f t="array" aca="1" ref="H9" ca="1">_xlfn.XLOOKUP($B9,INDIRECT("'"&amp;H$3&amp;"'!"&amp;"$A39:$A71"),_xlfn.XLOOKUP(H$5,INDIRECT("'"&amp;H$3&amp;"'!"&amp;"$C2:$AZ2"),INDIRECT("'"&amp;H$3&amp;"'!"&amp;"$C39:$AZ71")))</f>
        <v>2</v>
      </c>
      <c r="I9" s="42">
        <f t="shared" ca="1" si="0"/>
        <v>2</v>
      </c>
      <c r="J9" s="55"/>
    </row>
    <row r="10" spans="1:10" x14ac:dyDescent="0.25">
      <c r="A10" s="54"/>
      <c r="B10" s="64" t="s">
        <v>15</v>
      </c>
      <c r="C10" s="65" t="s">
        <v>16</v>
      </c>
      <c r="D10" s="56"/>
      <c r="E10" s="41" cm="1">
        <f t="array" aca="1" ref="E10" ca="1">_xlfn.XLOOKUP($B10,INDIRECT("'"&amp;E$3&amp;"'!"&amp;"$A3:$A35"),_xlfn.XLOOKUP(E$5,INDIRECT("'"&amp;E$3&amp;"'!"&amp;"$C2:$AZ2"),INDIRECT("'"&amp;E$3&amp;"'!"&amp;"$C3:$AZ35")))</f>
        <v>0</v>
      </c>
      <c r="F10" s="42" cm="1">
        <f t="array" aca="1" ref="F10" ca="1">_xlfn.XLOOKUP($B10,INDIRECT("'"&amp;F$3&amp;"'!"&amp;"$A39:$A71"),_xlfn.XLOOKUP(F$5,INDIRECT("'"&amp;F$3&amp;"'!"&amp;"$C2:$AZ2"),INDIRECT("'"&amp;F$3&amp;"'!"&amp;"$C39:$AZ71")))</f>
        <v>5</v>
      </c>
      <c r="G10" s="43" cm="1">
        <f t="array" aca="1" ref="G10" ca="1">_xlfn.XLOOKUP($B10,INDIRECT("'"&amp;G$3&amp;"'!"&amp;"$A3:$A35"),_xlfn.XLOOKUP(G$5,INDIRECT("'"&amp;G$3&amp;"'!"&amp;"$C2:$AZ2"),INDIRECT("'"&amp;G$3&amp;"'!"&amp;"$C3:$AZ35")))</f>
        <v>1</v>
      </c>
      <c r="H10" s="37" cm="1">
        <f t="array" aca="1" ref="H10" ca="1">_xlfn.XLOOKUP($B10,INDIRECT("'"&amp;H$3&amp;"'!"&amp;"$A39:$A71"),_xlfn.XLOOKUP(H$5,INDIRECT("'"&amp;H$3&amp;"'!"&amp;"$C2:$AZ2"),INDIRECT("'"&amp;H$3&amp;"'!"&amp;"$C39:$AZ71")))</f>
        <v>5</v>
      </c>
      <c r="I10" s="42">
        <f t="shared" ca="1" si="0"/>
        <v>0</v>
      </c>
      <c r="J10" s="55"/>
    </row>
    <row r="11" spans="1:10" x14ac:dyDescent="0.25">
      <c r="A11" s="54"/>
      <c r="B11" s="64" t="s">
        <v>17</v>
      </c>
      <c r="C11" s="65" t="s">
        <v>18</v>
      </c>
      <c r="D11" s="56"/>
      <c r="E11" s="41" cm="1">
        <f t="array" aca="1" ref="E11" ca="1">_xlfn.XLOOKUP($B11,INDIRECT("'"&amp;E$3&amp;"'!"&amp;"$A3:$A35"),_xlfn.XLOOKUP(E$5,INDIRECT("'"&amp;E$3&amp;"'!"&amp;"$C2:$AZ2"),INDIRECT("'"&amp;E$3&amp;"'!"&amp;"$C3:$AZ35")))</f>
        <v>0</v>
      </c>
      <c r="F11" s="42" cm="1">
        <f t="array" aca="1" ref="F11" ca="1">_xlfn.XLOOKUP($B11,INDIRECT("'"&amp;F$3&amp;"'!"&amp;"$A39:$A71"),_xlfn.XLOOKUP(F$5,INDIRECT("'"&amp;F$3&amp;"'!"&amp;"$C2:$AZ2"),INDIRECT("'"&amp;F$3&amp;"'!"&amp;"$C39:$AZ71")))</f>
        <v>0</v>
      </c>
      <c r="G11" s="43" cm="1">
        <f t="array" aca="1" ref="G11" ca="1">_xlfn.XLOOKUP($B11,INDIRECT("'"&amp;G$3&amp;"'!"&amp;"$A3:$A35"),_xlfn.XLOOKUP(G$5,INDIRECT("'"&amp;G$3&amp;"'!"&amp;"$C2:$AZ2"),INDIRECT("'"&amp;G$3&amp;"'!"&amp;"$C3:$AZ35")))</f>
        <v>0</v>
      </c>
      <c r="H11" s="37" cm="1">
        <f t="array" aca="1" ref="H11" ca="1">_xlfn.XLOOKUP($B11,INDIRECT("'"&amp;H$3&amp;"'!"&amp;"$A39:$A71"),_xlfn.XLOOKUP(H$5,INDIRECT("'"&amp;H$3&amp;"'!"&amp;"$C2:$AZ2"),INDIRECT("'"&amp;H$3&amp;"'!"&amp;"$C39:$AZ71")))</f>
        <v>2</v>
      </c>
      <c r="I11" s="42">
        <f t="shared" ca="1" si="0"/>
        <v>2</v>
      </c>
      <c r="J11" s="55"/>
    </row>
    <row r="12" spans="1:10" x14ac:dyDescent="0.25">
      <c r="A12" s="54"/>
      <c r="B12" s="64" t="s">
        <v>19</v>
      </c>
      <c r="C12" s="65" t="s">
        <v>20</v>
      </c>
      <c r="D12" s="56"/>
      <c r="E12" s="41" cm="1">
        <f t="array" aca="1" ref="E12" ca="1">_xlfn.XLOOKUP($B12,INDIRECT("'"&amp;E$3&amp;"'!"&amp;"$A3:$A35"),_xlfn.XLOOKUP(E$5,INDIRECT("'"&amp;E$3&amp;"'!"&amp;"$C2:$AZ2"),INDIRECT("'"&amp;E$3&amp;"'!"&amp;"$C3:$AZ35")))</f>
        <v>0</v>
      </c>
      <c r="F12" s="42" cm="1">
        <f t="array" aca="1" ref="F12" ca="1">_xlfn.XLOOKUP($B12,INDIRECT("'"&amp;F$3&amp;"'!"&amp;"$A39:$A71"),_xlfn.XLOOKUP(F$5,INDIRECT("'"&amp;F$3&amp;"'!"&amp;"$C2:$AZ2"),INDIRECT("'"&amp;F$3&amp;"'!"&amp;"$C39:$AZ71")))</f>
        <v>2</v>
      </c>
      <c r="G12" s="43" cm="1">
        <f t="array" aca="1" ref="G12" ca="1">_xlfn.XLOOKUP($B12,INDIRECT("'"&amp;G$3&amp;"'!"&amp;"$A3:$A35"),_xlfn.XLOOKUP(G$5,INDIRECT("'"&amp;G$3&amp;"'!"&amp;"$C2:$AZ2"),INDIRECT("'"&amp;G$3&amp;"'!"&amp;"$C3:$AZ35")))</f>
        <v>1</v>
      </c>
      <c r="H12" s="37" cm="1">
        <f t="array" aca="1" ref="H12" ca="1">_xlfn.XLOOKUP($B12,INDIRECT("'"&amp;H$3&amp;"'!"&amp;"$A39:$A71"),_xlfn.XLOOKUP(H$5,INDIRECT("'"&amp;H$3&amp;"'!"&amp;"$C2:$AZ2"),INDIRECT("'"&amp;H$3&amp;"'!"&amp;"$C39:$AZ71")))</f>
        <v>2</v>
      </c>
      <c r="I12" s="42">
        <f t="shared" ca="1" si="0"/>
        <v>0</v>
      </c>
      <c r="J12" s="55"/>
    </row>
    <row r="13" spans="1:10" x14ac:dyDescent="0.25">
      <c r="A13" s="54"/>
      <c r="B13" s="64" t="s">
        <v>21</v>
      </c>
      <c r="C13" s="65" t="s">
        <v>22</v>
      </c>
      <c r="D13" s="56"/>
      <c r="E13" s="41" cm="1">
        <f t="array" aca="1" ref="E13" ca="1">_xlfn.XLOOKUP($B13,INDIRECT("'"&amp;E$3&amp;"'!"&amp;"$A3:$A35"),_xlfn.XLOOKUP(E$5,INDIRECT("'"&amp;E$3&amp;"'!"&amp;"$C2:$AZ2"),INDIRECT("'"&amp;E$3&amp;"'!"&amp;"$C3:$AZ35")))</f>
        <v>0</v>
      </c>
      <c r="F13" s="42" cm="1">
        <f t="array" aca="1" ref="F13" ca="1">_xlfn.XLOOKUP($B13,INDIRECT("'"&amp;F$3&amp;"'!"&amp;"$A39:$A71"),_xlfn.XLOOKUP(F$5,INDIRECT("'"&amp;F$3&amp;"'!"&amp;"$C2:$AZ2"),INDIRECT("'"&amp;F$3&amp;"'!"&amp;"$C39:$AZ71")))</f>
        <v>0</v>
      </c>
      <c r="G13" s="43" cm="1">
        <f t="array" aca="1" ref="G13" ca="1">_xlfn.XLOOKUP($B13,INDIRECT("'"&amp;G$3&amp;"'!"&amp;"$A3:$A35"),_xlfn.XLOOKUP(G$5,INDIRECT("'"&amp;G$3&amp;"'!"&amp;"$C2:$AZ2"),INDIRECT("'"&amp;G$3&amp;"'!"&amp;"$C3:$AZ35")))</f>
        <v>0</v>
      </c>
      <c r="H13" s="37" cm="1">
        <f t="array" aca="1" ref="H13" ca="1">_xlfn.XLOOKUP($B13,INDIRECT("'"&amp;H$3&amp;"'!"&amp;"$A39:$A71"),_xlfn.XLOOKUP(H$5,INDIRECT("'"&amp;H$3&amp;"'!"&amp;"$C2:$AZ2"),INDIRECT("'"&amp;H$3&amp;"'!"&amp;"$C39:$AZ71")))</f>
        <v>0</v>
      </c>
      <c r="I13" s="42">
        <f t="shared" ca="1" si="0"/>
        <v>0</v>
      </c>
      <c r="J13" s="55"/>
    </row>
    <row r="14" spans="1:10" x14ac:dyDescent="0.25">
      <c r="A14" s="54"/>
      <c r="B14" s="64" t="s">
        <v>23</v>
      </c>
      <c r="C14" s="65" t="s">
        <v>24</v>
      </c>
      <c r="D14" s="56"/>
      <c r="E14" s="41" cm="1">
        <f t="array" aca="1" ref="E14" ca="1">_xlfn.XLOOKUP($B14,INDIRECT("'"&amp;E$3&amp;"'!"&amp;"$A3:$A35"),_xlfn.XLOOKUP(E$5,INDIRECT("'"&amp;E$3&amp;"'!"&amp;"$C2:$AZ2"),INDIRECT("'"&amp;E$3&amp;"'!"&amp;"$C3:$AZ35")))</f>
        <v>0</v>
      </c>
      <c r="F14" s="42" cm="1">
        <f t="array" aca="1" ref="F14" ca="1">_xlfn.XLOOKUP($B14,INDIRECT("'"&amp;F$3&amp;"'!"&amp;"$A39:$A71"),_xlfn.XLOOKUP(F$5,INDIRECT("'"&amp;F$3&amp;"'!"&amp;"$C2:$AZ2"),INDIRECT("'"&amp;F$3&amp;"'!"&amp;"$C39:$AZ71")))</f>
        <v>0</v>
      </c>
      <c r="G14" s="43" cm="1">
        <f t="array" aca="1" ref="G14" ca="1">_xlfn.XLOOKUP($B14,INDIRECT("'"&amp;G$3&amp;"'!"&amp;"$A3:$A35"),_xlfn.XLOOKUP(G$5,INDIRECT("'"&amp;G$3&amp;"'!"&amp;"$C2:$AZ2"),INDIRECT("'"&amp;G$3&amp;"'!"&amp;"$C3:$AZ35")))</f>
        <v>0</v>
      </c>
      <c r="H14" s="37" cm="1">
        <f t="array" aca="1" ref="H14" ca="1">_xlfn.XLOOKUP($B14,INDIRECT("'"&amp;H$3&amp;"'!"&amp;"$A39:$A71"),_xlfn.XLOOKUP(H$5,INDIRECT("'"&amp;H$3&amp;"'!"&amp;"$C2:$AZ2"),INDIRECT("'"&amp;H$3&amp;"'!"&amp;"$C39:$AZ71")))</f>
        <v>0</v>
      </c>
      <c r="I14" s="42">
        <f t="shared" ca="1" si="0"/>
        <v>0</v>
      </c>
      <c r="J14" s="55"/>
    </row>
    <row r="15" spans="1:10" x14ac:dyDescent="0.25">
      <c r="A15" s="54"/>
      <c r="B15" s="64" t="s">
        <v>25</v>
      </c>
      <c r="C15" s="65" t="s">
        <v>26</v>
      </c>
      <c r="D15" s="56"/>
      <c r="E15" s="41" cm="1">
        <f t="array" aca="1" ref="E15" ca="1">_xlfn.XLOOKUP($B15,INDIRECT("'"&amp;E$3&amp;"'!"&amp;"$A3:$A35"),_xlfn.XLOOKUP(E$5,INDIRECT("'"&amp;E$3&amp;"'!"&amp;"$C2:$AZ2"),INDIRECT("'"&amp;E$3&amp;"'!"&amp;"$C3:$AZ35")))</f>
        <v>0</v>
      </c>
      <c r="F15" s="42" cm="1">
        <f t="array" aca="1" ref="F15" ca="1">_xlfn.XLOOKUP($B15,INDIRECT("'"&amp;F$3&amp;"'!"&amp;"$A39:$A71"),_xlfn.XLOOKUP(F$5,INDIRECT("'"&amp;F$3&amp;"'!"&amp;"$C2:$AZ2"),INDIRECT("'"&amp;F$3&amp;"'!"&amp;"$C39:$AZ71")))</f>
        <v>0</v>
      </c>
      <c r="G15" s="43" cm="1">
        <f t="array" aca="1" ref="G15" ca="1">_xlfn.XLOOKUP($B15,INDIRECT("'"&amp;G$3&amp;"'!"&amp;"$A3:$A35"),_xlfn.XLOOKUP(G$5,INDIRECT("'"&amp;G$3&amp;"'!"&amp;"$C2:$AZ2"),INDIRECT("'"&amp;G$3&amp;"'!"&amp;"$C3:$AZ35")))</f>
        <v>0</v>
      </c>
      <c r="H15" s="37" cm="1">
        <f t="array" aca="1" ref="H15" ca="1">_xlfn.XLOOKUP($B15,INDIRECT("'"&amp;H$3&amp;"'!"&amp;"$A39:$A71"),_xlfn.XLOOKUP(H$5,INDIRECT("'"&amp;H$3&amp;"'!"&amp;"$C2:$AZ2"),INDIRECT("'"&amp;H$3&amp;"'!"&amp;"$C39:$AZ71")))</f>
        <v>0</v>
      </c>
      <c r="I15" s="42">
        <f t="shared" ca="1" si="0"/>
        <v>0</v>
      </c>
      <c r="J15" s="55"/>
    </row>
    <row r="16" spans="1:10" x14ac:dyDescent="0.25">
      <c r="A16" s="54"/>
      <c r="B16" s="64" t="s">
        <v>27</v>
      </c>
      <c r="C16" s="65" t="s">
        <v>28</v>
      </c>
      <c r="D16" s="56"/>
      <c r="E16" s="41" cm="1">
        <f t="array" aca="1" ref="E16" ca="1">_xlfn.XLOOKUP($B16,INDIRECT("'"&amp;E$3&amp;"'!"&amp;"$A3:$A35"),_xlfn.XLOOKUP(E$5,INDIRECT("'"&amp;E$3&amp;"'!"&amp;"$C2:$AZ2"),INDIRECT("'"&amp;E$3&amp;"'!"&amp;"$C3:$AZ35")))</f>
        <v>0</v>
      </c>
      <c r="F16" s="42" cm="1">
        <f t="array" aca="1" ref="F16" ca="1">_xlfn.XLOOKUP($B16,INDIRECT("'"&amp;F$3&amp;"'!"&amp;"$A39:$A71"),_xlfn.XLOOKUP(F$5,INDIRECT("'"&amp;F$3&amp;"'!"&amp;"$C2:$AZ2"),INDIRECT("'"&amp;F$3&amp;"'!"&amp;"$C39:$AZ71")))</f>
        <v>0</v>
      </c>
      <c r="G16" s="43" cm="1">
        <f t="array" aca="1" ref="G16" ca="1">_xlfn.XLOOKUP($B16,INDIRECT("'"&amp;G$3&amp;"'!"&amp;"$A3:$A35"),_xlfn.XLOOKUP(G$5,INDIRECT("'"&amp;G$3&amp;"'!"&amp;"$C2:$AZ2"),INDIRECT("'"&amp;G$3&amp;"'!"&amp;"$C3:$AZ35")))</f>
        <v>0</v>
      </c>
      <c r="H16" s="37" cm="1">
        <f t="array" aca="1" ref="H16" ca="1">_xlfn.XLOOKUP($B16,INDIRECT("'"&amp;H$3&amp;"'!"&amp;"$A39:$A71"),_xlfn.XLOOKUP(H$5,INDIRECT("'"&amp;H$3&amp;"'!"&amp;"$C2:$AZ2"),INDIRECT("'"&amp;H$3&amp;"'!"&amp;"$C39:$AZ71")))</f>
        <v>0</v>
      </c>
      <c r="I16" s="42">
        <f t="shared" ca="1" si="0"/>
        <v>0</v>
      </c>
      <c r="J16" s="55"/>
    </row>
    <row r="17" spans="1:10" x14ac:dyDescent="0.25">
      <c r="A17" s="54"/>
      <c r="B17" s="64" t="s">
        <v>29</v>
      </c>
      <c r="C17" s="65" t="s">
        <v>30</v>
      </c>
      <c r="D17" s="56"/>
      <c r="E17" s="41" cm="1">
        <f t="array" aca="1" ref="E17" ca="1">_xlfn.XLOOKUP($B17,INDIRECT("'"&amp;E$3&amp;"'!"&amp;"$A3:$A35"),_xlfn.XLOOKUP(E$5,INDIRECT("'"&amp;E$3&amp;"'!"&amp;"$C2:$AZ2"),INDIRECT("'"&amp;E$3&amp;"'!"&amp;"$C3:$AZ35")))</f>
        <v>0</v>
      </c>
      <c r="F17" s="42" cm="1">
        <f t="array" aca="1" ref="F17" ca="1">_xlfn.XLOOKUP($B17,INDIRECT("'"&amp;F$3&amp;"'!"&amp;"$A39:$A71"),_xlfn.XLOOKUP(F$5,INDIRECT("'"&amp;F$3&amp;"'!"&amp;"$C2:$AZ2"),INDIRECT("'"&amp;F$3&amp;"'!"&amp;"$C39:$AZ71")))</f>
        <v>5</v>
      </c>
      <c r="G17" s="43" cm="1">
        <f t="array" aca="1" ref="G17" ca="1">_xlfn.XLOOKUP($B17,INDIRECT("'"&amp;G$3&amp;"'!"&amp;"$A3:$A35"),_xlfn.XLOOKUP(G$5,INDIRECT("'"&amp;G$3&amp;"'!"&amp;"$C2:$AZ2"),INDIRECT("'"&amp;G$3&amp;"'!"&amp;"$C3:$AZ35")))</f>
        <v>0</v>
      </c>
      <c r="H17" s="37" cm="1">
        <f t="array" aca="1" ref="H17" ca="1">_xlfn.XLOOKUP($B17,INDIRECT("'"&amp;H$3&amp;"'!"&amp;"$A39:$A71"),_xlfn.XLOOKUP(H$5,INDIRECT("'"&amp;H$3&amp;"'!"&amp;"$C2:$AZ2"),INDIRECT("'"&amp;H$3&amp;"'!"&amp;"$C39:$AZ71")))</f>
        <v>2</v>
      </c>
      <c r="I17" s="42">
        <f t="shared" ca="1" si="0"/>
        <v>-3</v>
      </c>
      <c r="J17" s="55"/>
    </row>
    <row r="18" spans="1:10" x14ac:dyDescent="0.25">
      <c r="A18" s="54"/>
      <c r="B18" s="64" t="s">
        <v>31</v>
      </c>
      <c r="C18" s="65" t="s">
        <v>32</v>
      </c>
      <c r="D18" s="56"/>
      <c r="E18" s="41" cm="1">
        <f t="array" aca="1" ref="E18" ca="1">_xlfn.XLOOKUP($B18,INDIRECT("'"&amp;E$3&amp;"'!"&amp;"$A3:$A35"),_xlfn.XLOOKUP(E$5,INDIRECT("'"&amp;E$3&amp;"'!"&amp;"$C2:$AZ2"),INDIRECT("'"&amp;E$3&amp;"'!"&amp;"$C3:$AZ35")))</f>
        <v>0</v>
      </c>
      <c r="F18" s="42" cm="1">
        <f t="array" aca="1" ref="F18" ca="1">_xlfn.XLOOKUP($B18,INDIRECT("'"&amp;F$3&amp;"'!"&amp;"$A39:$A71"),_xlfn.XLOOKUP(F$5,INDIRECT("'"&amp;F$3&amp;"'!"&amp;"$C2:$AZ2"),INDIRECT("'"&amp;F$3&amp;"'!"&amp;"$C39:$AZ71")))</f>
        <v>0</v>
      </c>
      <c r="G18" s="43" cm="1">
        <f t="array" aca="1" ref="G18" ca="1">_xlfn.XLOOKUP($B18,INDIRECT("'"&amp;G$3&amp;"'!"&amp;"$A3:$A35"),_xlfn.XLOOKUP(G$5,INDIRECT("'"&amp;G$3&amp;"'!"&amp;"$C2:$AZ2"),INDIRECT("'"&amp;G$3&amp;"'!"&amp;"$C3:$AZ35")))</f>
        <v>0</v>
      </c>
      <c r="H18" s="37" cm="1">
        <f t="array" aca="1" ref="H18" ca="1">_xlfn.XLOOKUP($B18,INDIRECT("'"&amp;H$3&amp;"'!"&amp;"$A39:$A71"),_xlfn.XLOOKUP(H$5,INDIRECT("'"&amp;H$3&amp;"'!"&amp;"$C2:$AZ2"),INDIRECT("'"&amp;H$3&amp;"'!"&amp;"$C39:$AZ71")))</f>
        <v>1</v>
      </c>
      <c r="I18" s="42">
        <f t="shared" ca="1" si="0"/>
        <v>1</v>
      </c>
      <c r="J18" s="55"/>
    </row>
    <row r="19" spans="1:10" x14ac:dyDescent="0.25">
      <c r="A19" s="54"/>
      <c r="B19" s="64" t="s">
        <v>33</v>
      </c>
      <c r="C19" s="65" t="s">
        <v>34</v>
      </c>
      <c r="D19" s="56"/>
      <c r="E19" s="41" cm="1">
        <f t="array" aca="1" ref="E19" ca="1">_xlfn.XLOOKUP($B19,INDIRECT("'"&amp;E$3&amp;"'!"&amp;"$A3:$A35"),_xlfn.XLOOKUP(E$5,INDIRECT("'"&amp;E$3&amp;"'!"&amp;"$C2:$AZ2"),INDIRECT("'"&amp;E$3&amp;"'!"&amp;"$C3:$AZ35")))</f>
        <v>0</v>
      </c>
      <c r="F19" s="42" cm="1">
        <f t="array" aca="1" ref="F19" ca="1">_xlfn.XLOOKUP($B19,INDIRECT("'"&amp;F$3&amp;"'!"&amp;"$A39:$A71"),_xlfn.XLOOKUP(F$5,INDIRECT("'"&amp;F$3&amp;"'!"&amp;"$C2:$AZ2"),INDIRECT("'"&amp;F$3&amp;"'!"&amp;"$C39:$AZ71")))</f>
        <v>0</v>
      </c>
      <c r="G19" s="43" cm="1">
        <f t="array" aca="1" ref="G19" ca="1">_xlfn.XLOOKUP($B19,INDIRECT("'"&amp;G$3&amp;"'!"&amp;"$A3:$A35"),_xlfn.XLOOKUP(G$5,INDIRECT("'"&amp;G$3&amp;"'!"&amp;"$C2:$AZ2"),INDIRECT("'"&amp;G$3&amp;"'!"&amp;"$C3:$AZ35")))</f>
        <v>0</v>
      </c>
      <c r="H19" s="37" cm="1">
        <f t="array" aca="1" ref="H19" ca="1">_xlfn.XLOOKUP($B19,INDIRECT("'"&amp;H$3&amp;"'!"&amp;"$A39:$A71"),_xlfn.XLOOKUP(H$5,INDIRECT("'"&amp;H$3&amp;"'!"&amp;"$C2:$AZ2"),INDIRECT("'"&amp;H$3&amp;"'!"&amp;"$C39:$AZ71")))</f>
        <v>0</v>
      </c>
      <c r="I19" s="42">
        <f t="shared" ca="1" si="0"/>
        <v>0</v>
      </c>
      <c r="J19" s="55"/>
    </row>
    <row r="20" spans="1:10" x14ac:dyDescent="0.25">
      <c r="A20" s="54"/>
      <c r="B20" s="64" t="s">
        <v>35</v>
      </c>
      <c r="C20" s="65" t="s">
        <v>36</v>
      </c>
      <c r="D20" s="56"/>
      <c r="E20" s="41" cm="1">
        <f t="array" aca="1" ref="E20" ca="1">_xlfn.XLOOKUP($B20,INDIRECT("'"&amp;E$3&amp;"'!"&amp;"$A3:$A35"),_xlfn.XLOOKUP(E$5,INDIRECT("'"&amp;E$3&amp;"'!"&amp;"$C2:$AZ2"),INDIRECT("'"&amp;E$3&amp;"'!"&amp;"$C3:$AZ35")))</f>
        <v>0</v>
      </c>
      <c r="F20" s="42" cm="1">
        <f t="array" aca="1" ref="F20" ca="1">_xlfn.XLOOKUP($B20,INDIRECT("'"&amp;F$3&amp;"'!"&amp;"$A39:$A71"),_xlfn.XLOOKUP(F$5,INDIRECT("'"&amp;F$3&amp;"'!"&amp;"$C2:$AZ2"),INDIRECT("'"&amp;F$3&amp;"'!"&amp;"$C39:$AZ71")))</f>
        <v>3</v>
      </c>
      <c r="G20" s="43" cm="1">
        <f t="array" aca="1" ref="G20" ca="1">_xlfn.XLOOKUP($B20,INDIRECT("'"&amp;G$3&amp;"'!"&amp;"$A3:$A35"),_xlfn.XLOOKUP(G$5,INDIRECT("'"&amp;G$3&amp;"'!"&amp;"$C2:$AZ2"),INDIRECT("'"&amp;G$3&amp;"'!"&amp;"$C3:$AZ35")))</f>
        <v>0</v>
      </c>
      <c r="H20" s="37" cm="1">
        <f t="array" aca="1" ref="H20" ca="1">_xlfn.XLOOKUP($B20,INDIRECT("'"&amp;H$3&amp;"'!"&amp;"$A39:$A71"),_xlfn.XLOOKUP(H$5,INDIRECT("'"&amp;H$3&amp;"'!"&amp;"$C2:$AZ2"),INDIRECT("'"&amp;H$3&amp;"'!"&amp;"$C39:$AZ71")))</f>
        <v>5</v>
      </c>
      <c r="I20" s="42">
        <f t="shared" ca="1" si="0"/>
        <v>2</v>
      </c>
      <c r="J20" s="55"/>
    </row>
    <row r="21" spans="1:10" x14ac:dyDescent="0.25">
      <c r="A21" s="54"/>
      <c r="B21" s="64" t="s">
        <v>37</v>
      </c>
      <c r="C21" s="65" t="s">
        <v>38</v>
      </c>
      <c r="D21" s="56"/>
      <c r="E21" s="41" cm="1">
        <f t="array" aca="1" ref="E21" ca="1">_xlfn.XLOOKUP($B21,INDIRECT("'"&amp;E$3&amp;"'!"&amp;"$A3:$A35"),_xlfn.XLOOKUP(E$5,INDIRECT("'"&amp;E$3&amp;"'!"&amp;"$C2:$AZ2"),INDIRECT("'"&amp;E$3&amp;"'!"&amp;"$C3:$AZ35")))</f>
        <v>0</v>
      </c>
      <c r="F21" s="42" cm="1">
        <f t="array" aca="1" ref="F21" ca="1">_xlfn.XLOOKUP($B21,INDIRECT("'"&amp;F$3&amp;"'!"&amp;"$A39:$A71"),_xlfn.XLOOKUP(F$5,INDIRECT("'"&amp;F$3&amp;"'!"&amp;"$C2:$AZ2"),INDIRECT("'"&amp;F$3&amp;"'!"&amp;"$C39:$AZ71")))</f>
        <v>1</v>
      </c>
      <c r="G21" s="43" cm="1">
        <f t="array" aca="1" ref="G21" ca="1">_xlfn.XLOOKUP($B21,INDIRECT("'"&amp;G$3&amp;"'!"&amp;"$A3:$A35"),_xlfn.XLOOKUP(G$5,INDIRECT("'"&amp;G$3&amp;"'!"&amp;"$C2:$AZ2"),INDIRECT("'"&amp;G$3&amp;"'!"&amp;"$C3:$AZ35")))</f>
        <v>0</v>
      </c>
      <c r="H21" s="37" cm="1">
        <f t="array" aca="1" ref="H21" ca="1">_xlfn.XLOOKUP($B21,INDIRECT("'"&amp;H$3&amp;"'!"&amp;"$A39:$A71"),_xlfn.XLOOKUP(H$5,INDIRECT("'"&amp;H$3&amp;"'!"&amp;"$C2:$AZ2"),INDIRECT("'"&amp;H$3&amp;"'!"&amp;"$C39:$AZ71")))</f>
        <v>2</v>
      </c>
      <c r="I21" s="42">
        <f t="shared" ca="1" si="0"/>
        <v>1</v>
      </c>
      <c r="J21" s="55"/>
    </row>
    <row r="22" spans="1:10" x14ac:dyDescent="0.25">
      <c r="A22" s="54"/>
      <c r="B22" s="64" t="s">
        <v>39</v>
      </c>
      <c r="C22" s="65" t="s">
        <v>40</v>
      </c>
      <c r="D22" s="56"/>
      <c r="E22" s="41" cm="1">
        <f t="array" aca="1" ref="E22" ca="1">_xlfn.XLOOKUP($B22,INDIRECT("'"&amp;E$3&amp;"'!"&amp;"$A3:$A35"),_xlfn.XLOOKUP(E$5,INDIRECT("'"&amp;E$3&amp;"'!"&amp;"$C2:$AZ2"),INDIRECT("'"&amp;E$3&amp;"'!"&amp;"$C3:$AZ35")))</f>
        <v>0</v>
      </c>
      <c r="F22" s="42" cm="1">
        <f t="array" aca="1" ref="F22" ca="1">_xlfn.XLOOKUP($B22,INDIRECT("'"&amp;F$3&amp;"'!"&amp;"$A39:$A71"),_xlfn.XLOOKUP(F$5,INDIRECT("'"&amp;F$3&amp;"'!"&amp;"$C2:$AZ2"),INDIRECT("'"&amp;F$3&amp;"'!"&amp;"$C39:$AZ71")))</f>
        <v>11</v>
      </c>
      <c r="G22" s="43" cm="1">
        <f t="array" aca="1" ref="G22" ca="1">_xlfn.XLOOKUP($B22,INDIRECT("'"&amp;G$3&amp;"'!"&amp;"$A3:$A35"),_xlfn.XLOOKUP(G$5,INDIRECT("'"&amp;G$3&amp;"'!"&amp;"$C2:$AZ2"),INDIRECT("'"&amp;G$3&amp;"'!"&amp;"$C3:$AZ35")))</f>
        <v>1</v>
      </c>
      <c r="H22" s="37" cm="1">
        <f t="array" aca="1" ref="H22" ca="1">_xlfn.XLOOKUP($B22,INDIRECT("'"&amp;H$3&amp;"'!"&amp;"$A39:$A71"),_xlfn.XLOOKUP(H$5,INDIRECT("'"&amp;H$3&amp;"'!"&amp;"$C2:$AZ2"),INDIRECT("'"&amp;H$3&amp;"'!"&amp;"$C39:$AZ71")))</f>
        <v>10</v>
      </c>
      <c r="I22" s="42">
        <f t="shared" ca="1" si="0"/>
        <v>-1</v>
      </c>
      <c r="J22" s="55"/>
    </row>
    <row r="23" spans="1:10" x14ac:dyDescent="0.25">
      <c r="A23" s="54"/>
      <c r="B23" s="64" t="s">
        <v>41</v>
      </c>
      <c r="C23" s="65" t="s">
        <v>42</v>
      </c>
      <c r="D23" s="56"/>
      <c r="E23" s="41" cm="1">
        <f t="array" aca="1" ref="E23" ca="1">_xlfn.XLOOKUP($B23,INDIRECT("'"&amp;E$3&amp;"'!"&amp;"$A3:$A35"),_xlfn.XLOOKUP(E$5,INDIRECT("'"&amp;E$3&amp;"'!"&amp;"$C2:$AZ2"),INDIRECT("'"&amp;E$3&amp;"'!"&amp;"$C3:$AZ35")))</f>
        <v>0</v>
      </c>
      <c r="F23" s="42" cm="1">
        <f t="array" aca="1" ref="F23" ca="1">_xlfn.XLOOKUP($B23,INDIRECT("'"&amp;F$3&amp;"'!"&amp;"$A39:$A71"),_xlfn.XLOOKUP(F$5,INDIRECT("'"&amp;F$3&amp;"'!"&amp;"$C2:$AZ2"),INDIRECT("'"&amp;F$3&amp;"'!"&amp;"$C39:$AZ71")))</f>
        <v>5</v>
      </c>
      <c r="G23" s="43" cm="1">
        <f t="array" aca="1" ref="G23" ca="1">_xlfn.XLOOKUP($B23,INDIRECT("'"&amp;G$3&amp;"'!"&amp;"$A3:$A35"),_xlfn.XLOOKUP(G$5,INDIRECT("'"&amp;G$3&amp;"'!"&amp;"$C2:$AZ2"),INDIRECT("'"&amp;G$3&amp;"'!"&amp;"$C3:$AZ35")))</f>
        <v>2</v>
      </c>
      <c r="H23" s="37" cm="1">
        <f t="array" aca="1" ref="H23" ca="1">_xlfn.XLOOKUP($B23,INDIRECT("'"&amp;H$3&amp;"'!"&amp;"$A39:$A71"),_xlfn.XLOOKUP(H$5,INDIRECT("'"&amp;H$3&amp;"'!"&amp;"$C2:$AZ2"),INDIRECT("'"&amp;H$3&amp;"'!"&amp;"$C39:$AZ71")))</f>
        <v>5</v>
      </c>
      <c r="I23" s="42">
        <f t="shared" ca="1" si="0"/>
        <v>0</v>
      </c>
      <c r="J23" s="55"/>
    </row>
    <row r="24" spans="1:10" x14ac:dyDescent="0.25">
      <c r="A24" s="54"/>
      <c r="B24" s="64" t="s">
        <v>43</v>
      </c>
      <c r="C24" s="65" t="s">
        <v>44</v>
      </c>
      <c r="D24" s="56"/>
      <c r="E24" s="41" cm="1">
        <f t="array" aca="1" ref="E24" ca="1">_xlfn.XLOOKUP($B24,INDIRECT("'"&amp;E$3&amp;"'!"&amp;"$A3:$A35"),_xlfn.XLOOKUP(E$5,INDIRECT("'"&amp;E$3&amp;"'!"&amp;"$C2:$AZ2"),INDIRECT("'"&amp;E$3&amp;"'!"&amp;"$C3:$AZ35")))</f>
        <v>0</v>
      </c>
      <c r="F24" s="42" cm="1">
        <f t="array" aca="1" ref="F24" ca="1">_xlfn.XLOOKUP($B24,INDIRECT("'"&amp;F$3&amp;"'!"&amp;"$A39:$A71"),_xlfn.XLOOKUP(F$5,INDIRECT("'"&amp;F$3&amp;"'!"&amp;"$C2:$AZ2"),INDIRECT("'"&amp;F$3&amp;"'!"&amp;"$C39:$AZ71")))</f>
        <v>9</v>
      </c>
      <c r="G24" s="43" cm="1">
        <f t="array" aca="1" ref="G24" ca="1">_xlfn.XLOOKUP($B24,INDIRECT("'"&amp;G$3&amp;"'!"&amp;"$A3:$A35"),_xlfn.XLOOKUP(G$5,INDIRECT("'"&amp;G$3&amp;"'!"&amp;"$C2:$AZ2"),INDIRECT("'"&amp;G$3&amp;"'!"&amp;"$C3:$AZ35")))</f>
        <v>0</v>
      </c>
      <c r="H24" s="37" cm="1">
        <f t="array" aca="1" ref="H24" ca="1">_xlfn.XLOOKUP($B24,INDIRECT("'"&amp;H$3&amp;"'!"&amp;"$A39:$A71"),_xlfn.XLOOKUP(H$5,INDIRECT("'"&amp;H$3&amp;"'!"&amp;"$C2:$AZ2"),INDIRECT("'"&amp;H$3&amp;"'!"&amp;"$C39:$AZ71")))</f>
        <v>8</v>
      </c>
      <c r="I24" s="42">
        <f t="shared" ca="1" si="0"/>
        <v>-1</v>
      </c>
      <c r="J24" s="55"/>
    </row>
    <row r="25" spans="1:10" x14ac:dyDescent="0.25">
      <c r="A25" s="54"/>
      <c r="B25" s="64" t="s">
        <v>45</v>
      </c>
      <c r="C25" s="65" t="s">
        <v>46</v>
      </c>
      <c r="D25" s="56"/>
      <c r="E25" s="41" cm="1">
        <f t="array" aca="1" ref="E25" ca="1">_xlfn.XLOOKUP($B25,INDIRECT("'"&amp;E$3&amp;"'!"&amp;"$A3:$A35"),_xlfn.XLOOKUP(E$5,INDIRECT("'"&amp;E$3&amp;"'!"&amp;"$C2:$AZ2"),INDIRECT("'"&amp;E$3&amp;"'!"&amp;"$C3:$AZ35")))</f>
        <v>0</v>
      </c>
      <c r="F25" s="42" cm="1">
        <f t="array" aca="1" ref="F25" ca="1">_xlfn.XLOOKUP($B25,INDIRECT("'"&amp;F$3&amp;"'!"&amp;"$A39:$A71"),_xlfn.XLOOKUP(F$5,INDIRECT("'"&amp;F$3&amp;"'!"&amp;"$C2:$AZ2"),INDIRECT("'"&amp;F$3&amp;"'!"&amp;"$C39:$AZ71")))</f>
        <v>0</v>
      </c>
      <c r="G25" s="43" cm="1">
        <f t="array" aca="1" ref="G25" ca="1">_xlfn.XLOOKUP($B25,INDIRECT("'"&amp;G$3&amp;"'!"&amp;"$A3:$A35"),_xlfn.XLOOKUP(G$5,INDIRECT("'"&amp;G$3&amp;"'!"&amp;"$C2:$AZ2"),INDIRECT("'"&amp;G$3&amp;"'!"&amp;"$C3:$AZ35")))</f>
        <v>0</v>
      </c>
      <c r="H25" s="37" cm="1">
        <f t="array" aca="1" ref="H25" ca="1">_xlfn.XLOOKUP($B25,INDIRECT("'"&amp;H$3&amp;"'!"&amp;"$A39:$A71"),_xlfn.XLOOKUP(H$5,INDIRECT("'"&amp;H$3&amp;"'!"&amp;"$C2:$AZ2"),INDIRECT("'"&amp;H$3&amp;"'!"&amp;"$C39:$AZ71")))</f>
        <v>0</v>
      </c>
      <c r="I25" s="42">
        <f t="shared" ca="1" si="0"/>
        <v>0</v>
      </c>
      <c r="J25" s="55"/>
    </row>
    <row r="26" spans="1:10" x14ac:dyDescent="0.25">
      <c r="A26" s="54"/>
      <c r="B26" s="64" t="s">
        <v>47</v>
      </c>
      <c r="C26" s="65" t="s">
        <v>48</v>
      </c>
      <c r="D26" s="56"/>
      <c r="E26" s="41" cm="1">
        <f t="array" aca="1" ref="E26" ca="1">_xlfn.XLOOKUP($B26,INDIRECT("'"&amp;E$3&amp;"'!"&amp;"$A3:$A35"),_xlfn.XLOOKUP(E$5,INDIRECT("'"&amp;E$3&amp;"'!"&amp;"$C2:$AZ2"),INDIRECT("'"&amp;E$3&amp;"'!"&amp;"$C3:$AZ35")))</f>
        <v>1</v>
      </c>
      <c r="F26" s="42" cm="1">
        <f t="array" aca="1" ref="F26" ca="1">_xlfn.XLOOKUP($B26,INDIRECT("'"&amp;F$3&amp;"'!"&amp;"$A39:$A71"),_xlfn.XLOOKUP(F$5,INDIRECT("'"&amp;F$3&amp;"'!"&amp;"$C2:$AZ2"),INDIRECT("'"&amp;F$3&amp;"'!"&amp;"$C39:$AZ71")))</f>
        <v>2</v>
      </c>
      <c r="G26" s="43" cm="1">
        <f t="array" aca="1" ref="G26" ca="1">_xlfn.XLOOKUP($B26,INDIRECT("'"&amp;G$3&amp;"'!"&amp;"$A3:$A35"),_xlfn.XLOOKUP(G$5,INDIRECT("'"&amp;G$3&amp;"'!"&amp;"$C2:$AZ2"),INDIRECT("'"&amp;G$3&amp;"'!"&amp;"$C3:$AZ35")))</f>
        <v>0</v>
      </c>
      <c r="H26" s="37" cm="1">
        <f t="array" aca="1" ref="H26" ca="1">_xlfn.XLOOKUP($B26,INDIRECT("'"&amp;H$3&amp;"'!"&amp;"$A39:$A71"),_xlfn.XLOOKUP(H$5,INDIRECT("'"&amp;H$3&amp;"'!"&amp;"$C2:$AZ2"),INDIRECT("'"&amp;H$3&amp;"'!"&amp;"$C39:$AZ71")))</f>
        <v>1</v>
      </c>
      <c r="I26" s="42">
        <f t="shared" ca="1" si="0"/>
        <v>-1</v>
      </c>
      <c r="J26" s="55"/>
    </row>
    <row r="27" spans="1:10" x14ac:dyDescent="0.25">
      <c r="A27" s="54"/>
      <c r="B27" s="64" t="s">
        <v>49</v>
      </c>
      <c r="C27" s="65" t="s">
        <v>50</v>
      </c>
      <c r="D27" s="56"/>
      <c r="E27" s="41" cm="1">
        <f t="array" aca="1" ref="E27" ca="1">_xlfn.XLOOKUP($B27,INDIRECT("'"&amp;E$3&amp;"'!"&amp;"$A3:$A35"),_xlfn.XLOOKUP(E$5,INDIRECT("'"&amp;E$3&amp;"'!"&amp;"$C2:$AZ2"),INDIRECT("'"&amp;E$3&amp;"'!"&amp;"$C3:$AZ35")))</f>
        <v>0</v>
      </c>
      <c r="F27" s="42" cm="1">
        <f t="array" aca="1" ref="F27" ca="1">_xlfn.XLOOKUP($B27,INDIRECT("'"&amp;F$3&amp;"'!"&amp;"$A39:$A71"),_xlfn.XLOOKUP(F$5,INDIRECT("'"&amp;F$3&amp;"'!"&amp;"$C2:$AZ2"),INDIRECT("'"&amp;F$3&amp;"'!"&amp;"$C39:$AZ71")))</f>
        <v>7</v>
      </c>
      <c r="G27" s="43" cm="1">
        <f t="array" aca="1" ref="G27" ca="1">_xlfn.XLOOKUP($B27,INDIRECT("'"&amp;G$3&amp;"'!"&amp;"$A3:$A35"),_xlfn.XLOOKUP(G$5,INDIRECT("'"&amp;G$3&amp;"'!"&amp;"$C2:$AZ2"),INDIRECT("'"&amp;G$3&amp;"'!"&amp;"$C3:$AZ35")))</f>
        <v>0</v>
      </c>
      <c r="H27" s="37" cm="1">
        <f t="array" aca="1" ref="H27" ca="1">_xlfn.XLOOKUP($B27,INDIRECT("'"&amp;H$3&amp;"'!"&amp;"$A39:$A71"),_xlfn.XLOOKUP(H$5,INDIRECT("'"&amp;H$3&amp;"'!"&amp;"$C2:$AZ2"),INDIRECT("'"&amp;H$3&amp;"'!"&amp;"$C39:$AZ71")))</f>
        <v>4</v>
      </c>
      <c r="I27" s="42">
        <f t="shared" ca="1" si="0"/>
        <v>-3</v>
      </c>
      <c r="J27" s="55"/>
    </row>
    <row r="28" spans="1:10" x14ac:dyDescent="0.25">
      <c r="A28" s="54"/>
      <c r="B28" s="64" t="s">
        <v>51</v>
      </c>
      <c r="C28" s="65" t="s">
        <v>52</v>
      </c>
      <c r="D28" s="56"/>
      <c r="E28" s="41" cm="1">
        <f t="array" aca="1" ref="E28" ca="1">_xlfn.XLOOKUP($B28,INDIRECT("'"&amp;E$3&amp;"'!"&amp;"$A3:$A35"),_xlfn.XLOOKUP(E$5,INDIRECT("'"&amp;E$3&amp;"'!"&amp;"$C2:$AZ2"),INDIRECT("'"&amp;E$3&amp;"'!"&amp;"$C3:$AZ35")))</f>
        <v>0</v>
      </c>
      <c r="F28" s="42" cm="1">
        <f t="array" aca="1" ref="F28" ca="1">_xlfn.XLOOKUP($B28,INDIRECT("'"&amp;F$3&amp;"'!"&amp;"$A39:$A71"),_xlfn.XLOOKUP(F$5,INDIRECT("'"&amp;F$3&amp;"'!"&amp;"$C2:$AZ2"),INDIRECT("'"&amp;F$3&amp;"'!"&amp;"$C39:$AZ71")))</f>
        <v>0</v>
      </c>
      <c r="G28" s="43" cm="1">
        <f t="array" aca="1" ref="G28" ca="1">_xlfn.XLOOKUP($B28,INDIRECT("'"&amp;G$3&amp;"'!"&amp;"$A3:$A35"),_xlfn.XLOOKUP(G$5,INDIRECT("'"&amp;G$3&amp;"'!"&amp;"$C2:$AZ2"),INDIRECT("'"&amp;G$3&amp;"'!"&amp;"$C3:$AZ35")))</f>
        <v>0</v>
      </c>
      <c r="H28" s="37" cm="1">
        <f t="array" aca="1" ref="H28" ca="1">_xlfn.XLOOKUP($B28,INDIRECT("'"&amp;H$3&amp;"'!"&amp;"$A39:$A71"),_xlfn.XLOOKUP(H$5,INDIRECT("'"&amp;H$3&amp;"'!"&amp;"$C2:$AZ2"),INDIRECT("'"&amp;H$3&amp;"'!"&amp;"$C39:$AZ71")))</f>
        <v>0</v>
      </c>
      <c r="I28" s="42">
        <f t="shared" ca="1" si="0"/>
        <v>0</v>
      </c>
      <c r="J28" s="55"/>
    </row>
    <row r="29" spans="1:10" x14ac:dyDescent="0.25">
      <c r="A29" s="54"/>
      <c r="B29" s="64" t="s">
        <v>53</v>
      </c>
      <c r="C29" s="65" t="s">
        <v>54</v>
      </c>
      <c r="D29" s="56"/>
      <c r="E29" s="41" cm="1">
        <f t="array" aca="1" ref="E29" ca="1">_xlfn.XLOOKUP($B29,INDIRECT("'"&amp;E$3&amp;"'!"&amp;"$A3:$A35"),_xlfn.XLOOKUP(E$5,INDIRECT("'"&amp;E$3&amp;"'!"&amp;"$C2:$AZ2"),INDIRECT("'"&amp;E$3&amp;"'!"&amp;"$C3:$AZ35")))</f>
        <v>0</v>
      </c>
      <c r="F29" s="42" cm="1">
        <f t="array" aca="1" ref="F29" ca="1">_xlfn.XLOOKUP($B29,INDIRECT("'"&amp;F$3&amp;"'!"&amp;"$A39:$A71"),_xlfn.XLOOKUP(F$5,INDIRECT("'"&amp;F$3&amp;"'!"&amp;"$C2:$AZ2"),INDIRECT("'"&amp;F$3&amp;"'!"&amp;"$C39:$AZ71")))</f>
        <v>0</v>
      </c>
      <c r="G29" s="43" cm="1">
        <f t="array" aca="1" ref="G29" ca="1">_xlfn.XLOOKUP($B29,INDIRECT("'"&amp;G$3&amp;"'!"&amp;"$A3:$A35"),_xlfn.XLOOKUP(G$5,INDIRECT("'"&amp;G$3&amp;"'!"&amp;"$C2:$AZ2"),INDIRECT("'"&amp;G$3&amp;"'!"&amp;"$C3:$AZ35")))</f>
        <v>0</v>
      </c>
      <c r="H29" s="37" cm="1">
        <f t="array" aca="1" ref="H29" ca="1">_xlfn.XLOOKUP($B29,INDIRECT("'"&amp;H$3&amp;"'!"&amp;"$A39:$A71"),_xlfn.XLOOKUP(H$5,INDIRECT("'"&amp;H$3&amp;"'!"&amp;"$C2:$AZ2"),INDIRECT("'"&amp;H$3&amp;"'!"&amp;"$C39:$AZ71")))</f>
        <v>0</v>
      </c>
      <c r="I29" s="42">
        <f t="shared" ca="1" si="0"/>
        <v>0</v>
      </c>
      <c r="J29" s="55"/>
    </row>
    <row r="30" spans="1:10" x14ac:dyDescent="0.25">
      <c r="A30" s="54"/>
      <c r="B30" s="64" t="s">
        <v>55</v>
      </c>
      <c r="C30" s="65" t="s">
        <v>56</v>
      </c>
      <c r="D30" s="56"/>
      <c r="E30" s="41" cm="1">
        <f t="array" aca="1" ref="E30" ca="1">_xlfn.XLOOKUP($B30,INDIRECT("'"&amp;E$3&amp;"'!"&amp;"$A3:$A35"),_xlfn.XLOOKUP(E$5,INDIRECT("'"&amp;E$3&amp;"'!"&amp;"$C2:$AZ2"),INDIRECT("'"&amp;E$3&amp;"'!"&amp;"$C3:$AZ35")))</f>
        <v>0</v>
      </c>
      <c r="F30" s="42" cm="1">
        <f t="array" aca="1" ref="F30" ca="1">_xlfn.XLOOKUP($B30,INDIRECT("'"&amp;F$3&amp;"'!"&amp;"$A39:$A71"),_xlfn.XLOOKUP(F$5,INDIRECT("'"&amp;F$3&amp;"'!"&amp;"$C2:$AZ2"),INDIRECT("'"&amp;F$3&amp;"'!"&amp;"$C39:$AZ71")))</f>
        <v>1</v>
      </c>
      <c r="G30" s="43" cm="1">
        <f t="array" aca="1" ref="G30" ca="1">_xlfn.XLOOKUP($B30,INDIRECT("'"&amp;G$3&amp;"'!"&amp;"$A3:$A35"),_xlfn.XLOOKUP(G$5,INDIRECT("'"&amp;G$3&amp;"'!"&amp;"$C2:$AZ2"),INDIRECT("'"&amp;G$3&amp;"'!"&amp;"$C3:$AZ35")))</f>
        <v>0</v>
      </c>
      <c r="H30" s="37" cm="1">
        <f t="array" aca="1" ref="H30" ca="1">_xlfn.XLOOKUP($B30,INDIRECT("'"&amp;H$3&amp;"'!"&amp;"$A39:$A71"),_xlfn.XLOOKUP(H$5,INDIRECT("'"&amp;H$3&amp;"'!"&amp;"$C2:$AZ2"),INDIRECT("'"&amp;H$3&amp;"'!"&amp;"$C39:$AZ71")))</f>
        <v>1</v>
      </c>
      <c r="I30" s="42">
        <f t="shared" ca="1" si="0"/>
        <v>0</v>
      </c>
      <c r="J30" s="55"/>
    </row>
    <row r="31" spans="1:10" x14ac:dyDescent="0.25">
      <c r="A31" s="54"/>
      <c r="B31" s="64" t="s">
        <v>57</v>
      </c>
      <c r="C31" s="65" t="s">
        <v>58</v>
      </c>
      <c r="D31" s="56"/>
      <c r="E31" s="41" cm="1">
        <f t="array" aca="1" ref="E31" ca="1">_xlfn.XLOOKUP($B31,INDIRECT("'"&amp;E$3&amp;"'!"&amp;"$A3:$A35"),_xlfn.XLOOKUP(E$5,INDIRECT("'"&amp;E$3&amp;"'!"&amp;"$C2:$AZ2"),INDIRECT("'"&amp;E$3&amp;"'!"&amp;"$C3:$AZ35")))</f>
        <v>0</v>
      </c>
      <c r="F31" s="42" cm="1">
        <f t="array" aca="1" ref="F31" ca="1">_xlfn.XLOOKUP($B31,INDIRECT("'"&amp;F$3&amp;"'!"&amp;"$A39:$A71"),_xlfn.XLOOKUP(F$5,INDIRECT("'"&amp;F$3&amp;"'!"&amp;"$C2:$AZ2"),INDIRECT("'"&amp;F$3&amp;"'!"&amp;"$C39:$AZ71")))</f>
        <v>5</v>
      </c>
      <c r="G31" s="43" cm="1">
        <f t="array" aca="1" ref="G31" ca="1">_xlfn.XLOOKUP($B31,INDIRECT("'"&amp;G$3&amp;"'!"&amp;"$A3:$A35"),_xlfn.XLOOKUP(G$5,INDIRECT("'"&amp;G$3&amp;"'!"&amp;"$C2:$AZ2"),INDIRECT("'"&amp;G$3&amp;"'!"&amp;"$C3:$AZ35")))</f>
        <v>0</v>
      </c>
      <c r="H31" s="37" cm="1">
        <f t="array" aca="1" ref="H31" ca="1">_xlfn.XLOOKUP($B31,INDIRECT("'"&amp;H$3&amp;"'!"&amp;"$A39:$A71"),_xlfn.XLOOKUP(H$5,INDIRECT("'"&amp;H$3&amp;"'!"&amp;"$C2:$AZ2"),INDIRECT("'"&amp;H$3&amp;"'!"&amp;"$C39:$AZ71")))</f>
        <v>2</v>
      </c>
      <c r="I31" s="42">
        <f t="shared" ca="1" si="0"/>
        <v>-3</v>
      </c>
      <c r="J31" s="55"/>
    </row>
    <row r="32" spans="1:10" x14ac:dyDescent="0.25">
      <c r="A32" s="54"/>
      <c r="B32" s="64" t="s">
        <v>59</v>
      </c>
      <c r="C32" s="65" t="s">
        <v>60</v>
      </c>
      <c r="D32" s="56"/>
      <c r="E32" s="41" cm="1">
        <f t="array" aca="1" ref="E32" ca="1">_xlfn.XLOOKUP($B32,INDIRECT("'"&amp;E$3&amp;"'!"&amp;"$A3:$A35"),_xlfn.XLOOKUP(E$5,INDIRECT("'"&amp;E$3&amp;"'!"&amp;"$C2:$AZ2"),INDIRECT("'"&amp;E$3&amp;"'!"&amp;"$C3:$AZ35")))</f>
        <v>0</v>
      </c>
      <c r="F32" s="42" cm="1">
        <f t="array" aca="1" ref="F32" ca="1">_xlfn.XLOOKUP($B32,INDIRECT("'"&amp;F$3&amp;"'!"&amp;"$A39:$A71"),_xlfn.XLOOKUP(F$5,INDIRECT("'"&amp;F$3&amp;"'!"&amp;"$C2:$AZ2"),INDIRECT("'"&amp;F$3&amp;"'!"&amp;"$C39:$AZ71")))</f>
        <v>0</v>
      </c>
      <c r="G32" s="43" cm="1">
        <f t="array" aca="1" ref="G32" ca="1">_xlfn.XLOOKUP($B32,INDIRECT("'"&amp;G$3&amp;"'!"&amp;"$A3:$A35"),_xlfn.XLOOKUP(G$5,INDIRECT("'"&amp;G$3&amp;"'!"&amp;"$C2:$AZ2"),INDIRECT("'"&amp;G$3&amp;"'!"&amp;"$C3:$AZ35")))</f>
        <v>0</v>
      </c>
      <c r="H32" s="37" cm="1">
        <f t="array" aca="1" ref="H32" ca="1">_xlfn.XLOOKUP($B32,INDIRECT("'"&amp;H$3&amp;"'!"&amp;"$A39:$A71"),_xlfn.XLOOKUP(H$5,INDIRECT("'"&amp;H$3&amp;"'!"&amp;"$C2:$AZ2"),INDIRECT("'"&amp;H$3&amp;"'!"&amp;"$C39:$AZ71")))</f>
        <v>2</v>
      </c>
      <c r="I32" s="42">
        <f t="shared" ca="1" si="0"/>
        <v>2</v>
      </c>
      <c r="J32" s="55"/>
    </row>
    <row r="33" spans="1:10" x14ac:dyDescent="0.25">
      <c r="A33" s="54"/>
      <c r="B33" s="64" t="s">
        <v>61</v>
      </c>
      <c r="C33" s="65" t="s">
        <v>62</v>
      </c>
      <c r="D33" s="56"/>
      <c r="E33" s="41" cm="1">
        <f t="array" aca="1" ref="E33" ca="1">_xlfn.XLOOKUP($B33,INDIRECT("'"&amp;E$3&amp;"'!"&amp;"$A3:$A35"),_xlfn.XLOOKUP(E$5,INDIRECT("'"&amp;E$3&amp;"'!"&amp;"$C2:$AZ2"),INDIRECT("'"&amp;E$3&amp;"'!"&amp;"$C3:$AZ35")))</f>
        <v>0</v>
      </c>
      <c r="F33" s="42" cm="1">
        <f t="array" aca="1" ref="F33" ca="1">_xlfn.XLOOKUP($B33,INDIRECT("'"&amp;F$3&amp;"'!"&amp;"$A39:$A71"),_xlfn.XLOOKUP(F$5,INDIRECT("'"&amp;F$3&amp;"'!"&amp;"$C2:$AZ2"),INDIRECT("'"&amp;F$3&amp;"'!"&amp;"$C39:$AZ71")))</f>
        <v>0</v>
      </c>
      <c r="G33" s="43" cm="1">
        <f t="array" aca="1" ref="G33" ca="1">_xlfn.XLOOKUP($B33,INDIRECT("'"&amp;G$3&amp;"'!"&amp;"$A3:$A35"),_xlfn.XLOOKUP(G$5,INDIRECT("'"&amp;G$3&amp;"'!"&amp;"$C2:$AZ2"),INDIRECT("'"&amp;G$3&amp;"'!"&amp;"$C3:$AZ35")))</f>
        <v>0</v>
      </c>
      <c r="H33" s="37" cm="1">
        <f t="array" aca="1" ref="H33" ca="1">_xlfn.XLOOKUP($B33,INDIRECT("'"&amp;H$3&amp;"'!"&amp;"$A39:$A71"),_xlfn.XLOOKUP(H$5,INDIRECT("'"&amp;H$3&amp;"'!"&amp;"$C2:$AZ2"),INDIRECT("'"&amp;H$3&amp;"'!"&amp;"$C39:$AZ71")))</f>
        <v>0</v>
      </c>
      <c r="I33" s="42">
        <f t="shared" ca="1" si="0"/>
        <v>0</v>
      </c>
      <c r="J33" s="55"/>
    </row>
    <row r="34" spans="1:10" x14ac:dyDescent="0.25">
      <c r="A34" s="54"/>
      <c r="B34" s="64" t="s">
        <v>63</v>
      </c>
      <c r="C34" s="65" t="s">
        <v>64</v>
      </c>
      <c r="D34" s="56"/>
      <c r="E34" s="41" cm="1">
        <f t="array" aca="1" ref="E34" ca="1">_xlfn.XLOOKUP($B34,INDIRECT("'"&amp;E$3&amp;"'!"&amp;"$A3:$A35"),_xlfn.XLOOKUP(E$5,INDIRECT("'"&amp;E$3&amp;"'!"&amp;"$C2:$AZ2"),INDIRECT("'"&amp;E$3&amp;"'!"&amp;"$C3:$AZ35")))</f>
        <v>0</v>
      </c>
      <c r="F34" s="42" cm="1">
        <f t="array" aca="1" ref="F34" ca="1">_xlfn.XLOOKUP($B34,INDIRECT("'"&amp;F$3&amp;"'!"&amp;"$A39:$A71"),_xlfn.XLOOKUP(F$5,INDIRECT("'"&amp;F$3&amp;"'!"&amp;"$C2:$AZ2"),INDIRECT("'"&amp;F$3&amp;"'!"&amp;"$C39:$AZ71")))</f>
        <v>2</v>
      </c>
      <c r="G34" s="43" cm="1">
        <f t="array" aca="1" ref="G34" ca="1">_xlfn.XLOOKUP($B34,INDIRECT("'"&amp;G$3&amp;"'!"&amp;"$A3:$A35"),_xlfn.XLOOKUP(G$5,INDIRECT("'"&amp;G$3&amp;"'!"&amp;"$C2:$AZ2"),INDIRECT("'"&amp;G$3&amp;"'!"&amp;"$C3:$AZ35")))</f>
        <v>1</v>
      </c>
      <c r="H34" s="37" cm="1">
        <f t="array" aca="1" ref="H34" ca="1">_xlfn.XLOOKUP($B34,INDIRECT("'"&amp;H$3&amp;"'!"&amp;"$A39:$A71"),_xlfn.XLOOKUP(H$5,INDIRECT("'"&amp;H$3&amp;"'!"&amp;"$C2:$AZ2"),INDIRECT("'"&amp;H$3&amp;"'!"&amp;"$C39:$AZ71")))</f>
        <v>16</v>
      </c>
      <c r="I34" s="42">
        <f t="shared" ca="1" si="0"/>
        <v>14</v>
      </c>
      <c r="J34" s="55"/>
    </row>
    <row r="35" spans="1:10" x14ac:dyDescent="0.25">
      <c r="A35" s="54"/>
      <c r="B35" s="64" t="s">
        <v>65</v>
      </c>
      <c r="C35" s="65" t="s">
        <v>66</v>
      </c>
      <c r="D35" s="56"/>
      <c r="E35" s="41" cm="1">
        <f t="array" aca="1" ref="E35" ca="1">_xlfn.XLOOKUP($B35,INDIRECT("'"&amp;E$3&amp;"'!"&amp;"$A3:$A35"),_xlfn.XLOOKUP(E$5,INDIRECT("'"&amp;E$3&amp;"'!"&amp;"$C2:$AZ2"),INDIRECT("'"&amp;E$3&amp;"'!"&amp;"$C3:$AZ35")))</f>
        <v>0</v>
      </c>
      <c r="F35" s="42" cm="1">
        <f t="array" aca="1" ref="F35" ca="1">_xlfn.XLOOKUP($B35,INDIRECT("'"&amp;F$3&amp;"'!"&amp;"$A39:$A71"),_xlfn.XLOOKUP(F$5,INDIRECT("'"&amp;F$3&amp;"'!"&amp;"$C2:$AZ2"),INDIRECT("'"&amp;F$3&amp;"'!"&amp;"$C39:$AZ71")))</f>
        <v>0</v>
      </c>
      <c r="G35" s="43" cm="1">
        <f t="array" aca="1" ref="G35" ca="1">_xlfn.XLOOKUP($B35,INDIRECT("'"&amp;G$3&amp;"'!"&amp;"$A3:$A35"),_xlfn.XLOOKUP(G$5,INDIRECT("'"&amp;G$3&amp;"'!"&amp;"$C2:$AZ2"),INDIRECT("'"&amp;G$3&amp;"'!"&amp;"$C3:$AZ35")))</f>
        <v>0</v>
      </c>
      <c r="H35" s="37" cm="1">
        <f t="array" aca="1" ref="H35" ca="1">_xlfn.XLOOKUP($B35,INDIRECT("'"&amp;H$3&amp;"'!"&amp;"$A39:$A71"),_xlfn.XLOOKUP(H$5,INDIRECT("'"&amp;H$3&amp;"'!"&amp;"$C2:$AZ2"),INDIRECT("'"&amp;H$3&amp;"'!"&amp;"$C39:$AZ71")))</f>
        <v>0</v>
      </c>
      <c r="I35" s="42">
        <f t="shared" ca="1" si="0"/>
        <v>0</v>
      </c>
      <c r="J35" s="55"/>
    </row>
    <row r="36" spans="1:10" x14ac:dyDescent="0.25">
      <c r="A36" s="54"/>
      <c r="B36" s="64" t="s">
        <v>67</v>
      </c>
      <c r="C36" s="65" t="s">
        <v>68</v>
      </c>
      <c r="D36" s="56"/>
      <c r="E36" s="41" cm="1">
        <f t="array" aca="1" ref="E36" ca="1">_xlfn.XLOOKUP($B36,INDIRECT("'"&amp;E$3&amp;"'!"&amp;"$A3:$A35"),_xlfn.XLOOKUP(E$5,INDIRECT("'"&amp;E$3&amp;"'!"&amp;"$C2:$AZ2"),INDIRECT("'"&amp;E$3&amp;"'!"&amp;"$C3:$AZ35")))</f>
        <v>0</v>
      </c>
      <c r="F36" s="42" cm="1">
        <f t="array" aca="1" ref="F36" ca="1">_xlfn.XLOOKUP($B36,INDIRECT("'"&amp;F$3&amp;"'!"&amp;"$A39:$A71"),_xlfn.XLOOKUP(F$5,INDIRECT("'"&amp;F$3&amp;"'!"&amp;"$C2:$AZ2"),INDIRECT("'"&amp;F$3&amp;"'!"&amp;"$C39:$AZ71")))</f>
        <v>5</v>
      </c>
      <c r="G36" s="43" cm="1">
        <f t="array" aca="1" ref="G36" ca="1">_xlfn.XLOOKUP($B36,INDIRECT("'"&amp;G$3&amp;"'!"&amp;"$A3:$A35"),_xlfn.XLOOKUP(G$5,INDIRECT("'"&amp;G$3&amp;"'!"&amp;"$C2:$AZ2"),INDIRECT("'"&amp;G$3&amp;"'!"&amp;"$C3:$AZ35")))</f>
        <v>2</v>
      </c>
      <c r="H36" s="37" cm="1">
        <f t="array" aca="1" ref="H36" ca="1">_xlfn.XLOOKUP($B36,INDIRECT("'"&amp;H$3&amp;"'!"&amp;"$A39:$A71"),_xlfn.XLOOKUP(H$5,INDIRECT("'"&amp;H$3&amp;"'!"&amp;"$C2:$AZ2"),INDIRECT("'"&amp;H$3&amp;"'!"&amp;"$C39:$AZ71")))</f>
        <v>10</v>
      </c>
      <c r="I36" s="42">
        <f t="shared" ca="1" si="0"/>
        <v>5</v>
      </c>
      <c r="J36" s="55"/>
    </row>
    <row r="37" spans="1:10" x14ac:dyDescent="0.25">
      <c r="A37" s="54"/>
      <c r="B37" s="64" t="s">
        <v>69</v>
      </c>
      <c r="C37" s="65" t="s">
        <v>70</v>
      </c>
      <c r="D37" s="56"/>
      <c r="E37" s="41" cm="1">
        <f t="array" aca="1" ref="E37" ca="1">_xlfn.XLOOKUP($B37,INDIRECT("'"&amp;E$3&amp;"'!"&amp;"$A3:$A35"),_xlfn.XLOOKUP(E$5,INDIRECT("'"&amp;E$3&amp;"'!"&amp;"$C2:$AZ2"),INDIRECT("'"&amp;E$3&amp;"'!"&amp;"$C3:$AZ35")))</f>
        <v>0</v>
      </c>
      <c r="F37" s="42" cm="1">
        <f t="array" aca="1" ref="F37" ca="1">_xlfn.XLOOKUP($B37,INDIRECT("'"&amp;F$3&amp;"'!"&amp;"$A39:$A71"),_xlfn.XLOOKUP(F$5,INDIRECT("'"&amp;F$3&amp;"'!"&amp;"$C2:$AZ2"),INDIRECT("'"&amp;F$3&amp;"'!"&amp;"$C39:$AZ71")))</f>
        <v>0</v>
      </c>
      <c r="G37" s="43" cm="1">
        <f t="array" aca="1" ref="G37" ca="1">_xlfn.XLOOKUP($B37,INDIRECT("'"&amp;G$3&amp;"'!"&amp;"$A3:$A35"),_xlfn.XLOOKUP(G$5,INDIRECT("'"&amp;G$3&amp;"'!"&amp;"$C2:$AZ2"),INDIRECT("'"&amp;G$3&amp;"'!"&amp;"$C3:$AZ35")))</f>
        <v>0</v>
      </c>
      <c r="H37" s="37" cm="1">
        <f t="array" aca="1" ref="H37" ca="1">_xlfn.XLOOKUP($B37,INDIRECT("'"&amp;H$3&amp;"'!"&amp;"$A39:$A71"),_xlfn.XLOOKUP(H$5,INDIRECT("'"&amp;H$3&amp;"'!"&amp;"$C2:$AZ2"),INDIRECT("'"&amp;H$3&amp;"'!"&amp;"$C39:$AZ71")))</f>
        <v>0</v>
      </c>
      <c r="I37" s="42">
        <f t="shared" ca="1" si="0"/>
        <v>0</v>
      </c>
      <c r="J37" s="55"/>
    </row>
    <row r="38" spans="1:10" x14ac:dyDescent="0.25">
      <c r="A38" s="54"/>
      <c r="B38" s="64" t="s">
        <v>71</v>
      </c>
      <c r="C38" s="65" t="s">
        <v>72</v>
      </c>
      <c r="D38" s="56"/>
      <c r="E38" s="41" cm="1">
        <f t="array" aca="1" ref="E38" ca="1">_xlfn.XLOOKUP($B38,INDIRECT("'"&amp;E$3&amp;"'!"&amp;"$A3:$A35"),_xlfn.XLOOKUP(E$5,INDIRECT("'"&amp;E$3&amp;"'!"&amp;"$C2:$AZ2"),INDIRECT("'"&amp;E$3&amp;"'!"&amp;"$C3:$AZ35")))</f>
        <v>0</v>
      </c>
      <c r="F38" s="42" cm="1">
        <f t="array" aca="1" ref="F38" ca="1">_xlfn.XLOOKUP($B38,INDIRECT("'"&amp;F$3&amp;"'!"&amp;"$A39:$A71"),_xlfn.XLOOKUP(F$5,INDIRECT("'"&amp;F$3&amp;"'!"&amp;"$C2:$AZ2"),INDIRECT("'"&amp;F$3&amp;"'!"&amp;"$C39:$AZ71")))</f>
        <v>0</v>
      </c>
      <c r="G38" s="43" cm="1">
        <f t="array" aca="1" ref="G38" ca="1">_xlfn.XLOOKUP($B38,INDIRECT("'"&amp;G$3&amp;"'!"&amp;"$A3:$A35"),_xlfn.XLOOKUP(G$5,INDIRECT("'"&amp;G$3&amp;"'!"&amp;"$C2:$AZ2"),INDIRECT("'"&amp;G$3&amp;"'!"&amp;"$C3:$AZ35")))</f>
        <v>0</v>
      </c>
      <c r="H38" s="37" cm="1">
        <f t="array" aca="1" ref="H38" ca="1">_xlfn.XLOOKUP($B38,INDIRECT("'"&amp;H$3&amp;"'!"&amp;"$A39:$A71"),_xlfn.XLOOKUP(H$5,INDIRECT("'"&amp;H$3&amp;"'!"&amp;"$C2:$AZ2"),INDIRECT("'"&amp;H$3&amp;"'!"&amp;"$C39:$AZ71")))</f>
        <v>0</v>
      </c>
      <c r="I38" s="42">
        <f t="shared" ca="1" si="0"/>
        <v>0</v>
      </c>
      <c r="J38" s="55"/>
    </row>
    <row r="39" spans="1:10" ht="15.75" thickBot="1" x14ac:dyDescent="0.3">
      <c r="A39" s="54"/>
      <c r="B39" s="66" t="s">
        <v>73</v>
      </c>
      <c r="C39" s="67" t="s">
        <v>74</v>
      </c>
      <c r="D39" s="56"/>
      <c r="E39" s="45" cm="1">
        <f t="array" aca="1" ref="E39" ca="1">_xlfn.XLOOKUP($B39,INDIRECT("'"&amp;E$3&amp;"'!"&amp;"$A3:$A35"),_xlfn.XLOOKUP(E$5,INDIRECT("'"&amp;E$3&amp;"'!"&amp;"$C2:$AZ2"),INDIRECT("'"&amp;E$3&amp;"'!"&amp;"$C3:$AZ35")))</f>
        <v>0</v>
      </c>
      <c r="F39" s="46" cm="1">
        <f t="array" aca="1" ref="F39" ca="1">_xlfn.XLOOKUP($B39,INDIRECT("'"&amp;F$3&amp;"'!"&amp;"$A39:$A71"),_xlfn.XLOOKUP(F$5,INDIRECT("'"&amp;F$3&amp;"'!"&amp;"$C2:$AZ2"),INDIRECT("'"&amp;F$3&amp;"'!"&amp;"$C39:$AZ71")))</f>
        <v>4</v>
      </c>
      <c r="G39" s="47" cm="1">
        <f t="array" aca="1" ref="G39" ca="1">_xlfn.XLOOKUP($B39,INDIRECT("'"&amp;G$3&amp;"'!"&amp;"$A3:$A35"),_xlfn.XLOOKUP(G$5,INDIRECT("'"&amp;G$3&amp;"'!"&amp;"$C2:$AZ2"),INDIRECT("'"&amp;G$3&amp;"'!"&amp;"$C3:$AZ35")))</f>
        <v>0</v>
      </c>
      <c r="H39" s="48" cm="1">
        <f t="array" aca="1" ref="H39" ca="1">_xlfn.XLOOKUP($B39,INDIRECT("'"&amp;H$3&amp;"'!"&amp;"$A39:$A71"),_xlfn.XLOOKUP(H$5,INDIRECT("'"&amp;H$3&amp;"'!"&amp;"$C2:$AZ2"),INDIRECT("'"&amp;H$3&amp;"'!"&amp;"$C39:$AZ71")))</f>
        <v>4</v>
      </c>
      <c r="I39" s="46">
        <f t="shared" ca="1" si="0"/>
        <v>0</v>
      </c>
      <c r="J39" s="55"/>
    </row>
    <row r="40" spans="1:10" ht="15.75" thickBot="1" x14ac:dyDescent="0.3">
      <c r="A40" s="54"/>
      <c r="B40" s="85" t="s">
        <v>75</v>
      </c>
      <c r="C40" s="85"/>
      <c r="D40" s="69"/>
      <c r="E40" s="68">
        <f ca="1">SUM(E7:E39)</f>
        <v>1</v>
      </c>
      <c r="F40" s="68">
        <f t="shared" ref="F40:I40" ca="1" si="1">SUM(F7:F39)</f>
        <v>69</v>
      </c>
      <c r="G40" s="74">
        <f t="shared" ca="1" si="1"/>
        <v>9</v>
      </c>
      <c r="H40" s="68">
        <f t="shared" ca="1" si="1"/>
        <v>85</v>
      </c>
      <c r="I40" s="68">
        <f t="shared" ca="1" si="1"/>
        <v>16</v>
      </c>
      <c r="J40" s="55"/>
    </row>
    <row r="41" spans="1:10" ht="24.75" customHeight="1" thickBot="1" x14ac:dyDescent="0.3">
      <c r="A41" s="57"/>
      <c r="B41" s="58" t="s">
        <v>76</v>
      </c>
      <c r="C41" s="58"/>
      <c r="D41" s="58"/>
      <c r="E41" s="58"/>
      <c r="F41" s="58"/>
      <c r="G41" s="58"/>
      <c r="H41" s="58"/>
      <c r="I41" s="58"/>
      <c r="J41" s="59"/>
    </row>
  </sheetData>
  <mergeCells count="4">
    <mergeCell ref="B40:C40"/>
    <mergeCell ref="E2:I2"/>
    <mergeCell ref="E4:F4"/>
    <mergeCell ref="G4:I4"/>
  </mergeCells>
  <pageMargins left="0.7" right="0.7" top="0.75" bottom="0.75" header="0.3" footer="0.3"/>
  <ignoredErrors>
    <ignoredError sqref="G7:G39 F7:F3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D165-264C-4879-A6B1-38CFD8677010}">
  <sheetPr>
    <tabColor rgb="FF92D050"/>
  </sheetPr>
  <dimension ref="A1:J42"/>
  <sheetViews>
    <sheetView zoomScale="90" zoomScaleNormal="90" workbookViewId="0"/>
  </sheetViews>
  <sheetFormatPr defaultRowHeight="15" x14ac:dyDescent="0.25"/>
  <cols>
    <col min="1" max="1" width="3.28515625" customWidth="1"/>
    <col min="2" max="2" width="18" customWidth="1"/>
    <col min="3" max="3" width="28.140625" bestFit="1" customWidth="1"/>
    <col min="4" max="4" width="3.42578125" customWidth="1"/>
    <col min="5" max="5" width="14.28515625" customWidth="1"/>
    <col min="6" max="6" width="14.5703125" customWidth="1"/>
    <col min="7" max="7" width="11.5703125" customWidth="1"/>
    <col min="8" max="8" width="12.5703125" customWidth="1"/>
    <col min="9" max="9" width="13.7109375" customWidth="1"/>
    <col min="10" max="10" width="2.42578125" customWidth="1"/>
  </cols>
  <sheetData>
    <row r="1" spans="1:10" ht="15.75" thickBot="1" x14ac:dyDescent="0.3">
      <c r="A1" s="51"/>
      <c r="B1" s="52"/>
      <c r="C1" s="52"/>
      <c r="D1" s="52"/>
      <c r="E1" s="52"/>
      <c r="F1" s="52"/>
      <c r="G1" s="52"/>
      <c r="H1" s="52"/>
      <c r="I1" s="52"/>
      <c r="J1" s="53"/>
    </row>
    <row r="2" spans="1:10" ht="15.75" thickBot="1" x14ac:dyDescent="0.3">
      <c r="A2" s="54"/>
      <c r="B2" s="21"/>
      <c r="C2" s="21"/>
      <c r="E2" s="87" t="s">
        <v>0</v>
      </c>
      <c r="F2" s="87"/>
      <c r="G2" s="87"/>
      <c r="H2" s="87"/>
      <c r="I2" s="87"/>
      <c r="J2" s="55"/>
    </row>
    <row r="3" spans="1:10" ht="15.75" hidden="1" thickBot="1" x14ac:dyDescent="0.3">
      <c r="A3" s="54"/>
      <c r="B3" s="21"/>
      <c r="C3" s="21"/>
      <c r="E3" s="77" t="s">
        <v>77</v>
      </c>
      <c r="F3" s="77" t="s">
        <v>77</v>
      </c>
      <c r="G3" s="77" t="s">
        <v>77</v>
      </c>
      <c r="H3" s="77" t="s">
        <v>77</v>
      </c>
      <c r="I3" s="77" t="s">
        <v>77</v>
      </c>
      <c r="J3" s="55"/>
    </row>
    <row r="4" spans="1:10" ht="15.75" thickBot="1" x14ac:dyDescent="0.3">
      <c r="A4" s="54"/>
      <c r="B4" s="21"/>
      <c r="C4" s="21"/>
      <c r="E4" s="87" t="s">
        <v>2</v>
      </c>
      <c r="F4" s="87"/>
      <c r="G4" s="87" t="s">
        <v>3</v>
      </c>
      <c r="H4" s="87"/>
      <c r="I4" s="87"/>
      <c r="J4" s="55"/>
    </row>
    <row r="5" spans="1:10" ht="15.75" hidden="1" thickBot="1" x14ac:dyDescent="0.3">
      <c r="A5" s="54"/>
      <c r="B5" s="21"/>
      <c r="C5" s="21"/>
      <c r="E5" s="77" t="str">
        <f>E6&amp;", "&amp;E4</f>
        <v>MAY, FY24</v>
      </c>
      <c r="F5" s="77" t="str">
        <f>E6&amp;", "&amp;E4</f>
        <v>MAY, FY24</v>
      </c>
      <c r="G5" s="77" t="str">
        <f>G6&amp;", "&amp;G4</f>
        <v>MAY, FY25</v>
      </c>
      <c r="H5" s="77" t="str">
        <f>G6&amp;", "&amp;G4</f>
        <v>MAY, FY25</v>
      </c>
      <c r="I5" s="77"/>
      <c r="J5" s="55"/>
    </row>
    <row r="6" spans="1:10" ht="15.75" thickBot="1" x14ac:dyDescent="0.3">
      <c r="A6" s="54"/>
      <c r="B6" s="25" t="s">
        <v>4</v>
      </c>
      <c r="C6" s="25" t="s">
        <v>5</v>
      </c>
      <c r="E6" s="78" t="s">
        <v>6</v>
      </c>
      <c r="F6" s="78" t="s">
        <v>7</v>
      </c>
      <c r="G6" s="78" t="s">
        <v>6</v>
      </c>
      <c r="H6" s="78" t="s">
        <v>7</v>
      </c>
      <c r="I6" s="78" t="s">
        <v>8</v>
      </c>
      <c r="J6" s="55"/>
    </row>
    <row r="7" spans="1:10" x14ac:dyDescent="0.25">
      <c r="A7" s="54"/>
      <c r="B7" s="32" t="s">
        <v>78</v>
      </c>
      <c r="C7" s="33" t="s">
        <v>79</v>
      </c>
      <c r="D7" s="56"/>
      <c r="E7" s="34" cm="1">
        <f t="array" aca="1" ref="E7" ca="1">_xlfn.XLOOKUP($B7,INDIRECT("'"&amp;E$3&amp;"'!"&amp;"$A3:$A36"),_xlfn.XLOOKUP(E$5,INDIRECT("'"&amp;E$3&amp;"'!"&amp;"$C2:$AZ2"),INDIRECT("'"&amp;E$3&amp;"'!"&amp;"$C3:$AZ36")))</f>
        <v>0</v>
      </c>
      <c r="F7" s="35" cm="1">
        <f t="array" aca="1" ref="F7" ca="1">_xlfn.XLOOKUP($B7,INDIRECT("'"&amp;F$3&amp;"'!"&amp;"$A40:$A73"),_xlfn.XLOOKUP(F$5,INDIRECT("'"&amp;F$3&amp;"'!"&amp;"$C2:$AZ2"),INDIRECT("'"&amp;F$3&amp;"'!"&amp;"$C40:$AZ73")))</f>
        <v>12</v>
      </c>
      <c r="G7" s="36" cm="1">
        <f t="array" aca="1" ref="G7" ca="1">_xlfn.XLOOKUP($B7,INDIRECT("'"&amp;G$3&amp;"'!"&amp;"$A3:$A36"),_xlfn.XLOOKUP(G$5,INDIRECT("'"&amp;G$3&amp;"'!"&amp;"$C2:$AZ2"),INDIRECT("'"&amp;G$3&amp;"'!"&amp;"$C3:$AZ36")))</f>
        <v>1</v>
      </c>
      <c r="H7" s="37" cm="1">
        <f t="array" aca="1" ref="H7" ca="1">_xlfn.XLOOKUP($B7,INDIRECT("'"&amp;H$3&amp;"'!"&amp;"$A40:$A73"),_xlfn.XLOOKUP(H$5,INDIRECT("'"&amp;H$3&amp;"'!"&amp;"$C2:$AZ2"),INDIRECT("'"&amp;H$3&amp;"'!"&amp;"$C40:$AZ73")))</f>
        <v>5</v>
      </c>
      <c r="I7" s="38">
        <f ca="1">H7-F7</f>
        <v>-7</v>
      </c>
      <c r="J7" s="55"/>
    </row>
    <row r="8" spans="1:10" x14ac:dyDescent="0.25">
      <c r="A8" s="54"/>
      <c r="B8" s="39" t="s">
        <v>80</v>
      </c>
      <c r="C8" s="40" t="s">
        <v>81</v>
      </c>
      <c r="D8" s="56"/>
      <c r="E8" s="41" cm="1">
        <f t="array" aca="1" ref="E8" ca="1">_xlfn.XLOOKUP($B8,INDIRECT("'"&amp;E$3&amp;"'!"&amp;"$A3:$A36"),_xlfn.XLOOKUP(E$5,INDIRECT("'"&amp;E$3&amp;"'!"&amp;"$C2:$AZ2"),INDIRECT("'"&amp;E$3&amp;"'!"&amp;"$C3:$AZ36")))</f>
        <v>0</v>
      </c>
      <c r="F8" s="42" cm="1">
        <f t="array" aca="1" ref="F8" ca="1">_xlfn.XLOOKUP($B8,INDIRECT("'"&amp;F$3&amp;"'!"&amp;"$A40:$A73"),_xlfn.XLOOKUP(F$5,INDIRECT("'"&amp;F$3&amp;"'!"&amp;"$C2:$AZ2"),INDIRECT("'"&amp;F$3&amp;"'!"&amp;"$C40:$AZ73")))</f>
        <v>0</v>
      </c>
      <c r="G8" s="43" cm="1">
        <f t="array" aca="1" ref="G8" ca="1">_xlfn.XLOOKUP($B8,INDIRECT("'"&amp;G$3&amp;"'!"&amp;"$A3:$A36"),_xlfn.XLOOKUP(G$5,INDIRECT("'"&amp;G$3&amp;"'!"&amp;"$C2:$AZ2"),INDIRECT("'"&amp;G$3&amp;"'!"&amp;"$C3:$AZ36")))</f>
        <v>0</v>
      </c>
      <c r="H8" s="37" cm="1">
        <f t="array" aca="1" ref="H8" ca="1">_xlfn.XLOOKUP($B8,INDIRECT("'"&amp;H$3&amp;"'!"&amp;"$A40:$A73"),_xlfn.XLOOKUP(H$5,INDIRECT("'"&amp;H$3&amp;"'!"&amp;"$C2:$AZ2"),INDIRECT("'"&amp;H$3&amp;"'!"&amp;"$C40:$AZ73")))</f>
        <v>0</v>
      </c>
      <c r="I8" s="42">
        <f t="shared" ref="I8:I39" ca="1" si="0">H8-F8</f>
        <v>0</v>
      </c>
      <c r="J8" s="55"/>
    </row>
    <row r="9" spans="1:10" x14ac:dyDescent="0.25">
      <c r="A9" s="54"/>
      <c r="B9" s="39" t="s">
        <v>82</v>
      </c>
      <c r="C9" s="40" t="s">
        <v>83</v>
      </c>
      <c r="D9" s="56"/>
      <c r="E9" s="41" cm="1">
        <f t="array" aca="1" ref="E9" ca="1">_xlfn.XLOOKUP($B9,INDIRECT("'"&amp;E$3&amp;"'!"&amp;"$A3:$A36"),_xlfn.XLOOKUP(E$5,INDIRECT("'"&amp;E$3&amp;"'!"&amp;"$C2:$AZ2"),INDIRECT("'"&amp;E$3&amp;"'!"&amp;"$C3:$AZ36")))</f>
        <v>0</v>
      </c>
      <c r="F9" s="42" cm="1">
        <f t="array" aca="1" ref="F9" ca="1">_xlfn.XLOOKUP($B9,INDIRECT("'"&amp;F$3&amp;"'!"&amp;"$A40:$A73"),_xlfn.XLOOKUP(F$5,INDIRECT("'"&amp;F$3&amp;"'!"&amp;"$C2:$AZ2"),INDIRECT("'"&amp;F$3&amp;"'!"&amp;"$C40:$AZ73")))</f>
        <v>1</v>
      </c>
      <c r="G9" s="43" cm="1">
        <f t="array" aca="1" ref="G9" ca="1">_xlfn.XLOOKUP($B9,INDIRECT("'"&amp;G$3&amp;"'!"&amp;"$A3:$A36"),_xlfn.XLOOKUP(G$5,INDIRECT("'"&amp;G$3&amp;"'!"&amp;"$C2:$AZ2"),INDIRECT("'"&amp;G$3&amp;"'!"&amp;"$C3:$AZ36")))</f>
        <v>0</v>
      </c>
      <c r="H9" s="37" cm="1">
        <f t="array" aca="1" ref="H9" ca="1">_xlfn.XLOOKUP($B9,INDIRECT("'"&amp;H$3&amp;"'!"&amp;"$A40:$A73"),_xlfn.XLOOKUP(H$5,INDIRECT("'"&amp;H$3&amp;"'!"&amp;"$C2:$AZ2"),INDIRECT("'"&amp;H$3&amp;"'!"&amp;"$C40:$AZ73")))</f>
        <v>0</v>
      </c>
      <c r="I9" s="42">
        <f t="shared" ca="1" si="0"/>
        <v>-1</v>
      </c>
      <c r="J9" s="55"/>
    </row>
    <row r="10" spans="1:10" x14ac:dyDescent="0.25">
      <c r="A10" s="54"/>
      <c r="B10" s="39" t="s">
        <v>84</v>
      </c>
      <c r="C10" s="40" t="s">
        <v>85</v>
      </c>
      <c r="D10" s="56"/>
      <c r="E10" s="41" cm="1">
        <f t="array" aca="1" ref="E10" ca="1">_xlfn.XLOOKUP($B10,INDIRECT("'"&amp;E$3&amp;"'!"&amp;"$A3:$A36"),_xlfn.XLOOKUP(E$5,INDIRECT("'"&amp;E$3&amp;"'!"&amp;"$C2:$AZ2"),INDIRECT("'"&amp;E$3&amp;"'!"&amp;"$C3:$AZ36")))</f>
        <v>0</v>
      </c>
      <c r="F10" s="42" cm="1">
        <f t="array" aca="1" ref="F10" ca="1">_xlfn.XLOOKUP($B10,INDIRECT("'"&amp;F$3&amp;"'!"&amp;"$A40:$A73"),_xlfn.XLOOKUP(F$5,INDIRECT("'"&amp;F$3&amp;"'!"&amp;"$C2:$AZ2"),INDIRECT("'"&amp;F$3&amp;"'!"&amp;"$C40:$AZ73")))</f>
        <v>0</v>
      </c>
      <c r="G10" s="43" cm="1">
        <f t="array" aca="1" ref="G10" ca="1">_xlfn.XLOOKUP($B10,INDIRECT("'"&amp;G$3&amp;"'!"&amp;"$A3:$A36"),_xlfn.XLOOKUP(G$5,INDIRECT("'"&amp;G$3&amp;"'!"&amp;"$C2:$AZ2"),INDIRECT("'"&amp;G$3&amp;"'!"&amp;"$C3:$AZ36")))</f>
        <v>0</v>
      </c>
      <c r="H10" s="37" cm="1">
        <f t="array" aca="1" ref="H10" ca="1">_xlfn.XLOOKUP($B10,INDIRECT("'"&amp;H$3&amp;"'!"&amp;"$A40:$A73"),_xlfn.XLOOKUP(H$5,INDIRECT("'"&amp;H$3&amp;"'!"&amp;"$C2:$AZ2"),INDIRECT("'"&amp;H$3&amp;"'!"&amp;"$C40:$AZ73")))</f>
        <v>0</v>
      </c>
      <c r="I10" s="42">
        <f t="shared" ca="1" si="0"/>
        <v>0</v>
      </c>
      <c r="J10" s="55"/>
    </row>
    <row r="11" spans="1:10" x14ac:dyDescent="0.25">
      <c r="A11" s="54"/>
      <c r="B11" s="39" t="s">
        <v>86</v>
      </c>
      <c r="C11" s="40" t="s">
        <v>87</v>
      </c>
      <c r="D11" s="56"/>
      <c r="E11" s="41" cm="1">
        <f t="array" aca="1" ref="E11" ca="1">_xlfn.XLOOKUP($B11,INDIRECT("'"&amp;E$3&amp;"'!"&amp;"$A3:$A36"),_xlfn.XLOOKUP(E$5,INDIRECT("'"&amp;E$3&amp;"'!"&amp;"$C2:$AZ2"),INDIRECT("'"&amp;E$3&amp;"'!"&amp;"$C3:$AZ36")))</f>
        <v>0</v>
      </c>
      <c r="F11" s="42" cm="1">
        <f t="array" aca="1" ref="F11" ca="1">_xlfn.XLOOKUP($B11,INDIRECT("'"&amp;F$3&amp;"'!"&amp;"$A40:$A73"),_xlfn.XLOOKUP(F$5,INDIRECT("'"&amp;F$3&amp;"'!"&amp;"$C2:$AZ2"),INDIRECT("'"&amp;F$3&amp;"'!"&amp;"$C40:$AZ73")))</f>
        <v>1</v>
      </c>
      <c r="G11" s="43" cm="1">
        <f t="array" aca="1" ref="G11" ca="1">_xlfn.XLOOKUP($B11,INDIRECT("'"&amp;G$3&amp;"'!"&amp;"$A3:$A36"),_xlfn.XLOOKUP(G$5,INDIRECT("'"&amp;G$3&amp;"'!"&amp;"$C2:$AZ2"),INDIRECT("'"&amp;G$3&amp;"'!"&amp;"$C3:$AZ36")))</f>
        <v>0</v>
      </c>
      <c r="H11" s="37" cm="1">
        <f t="array" aca="1" ref="H11" ca="1">_xlfn.XLOOKUP($B11,INDIRECT("'"&amp;H$3&amp;"'!"&amp;"$A40:$A73"),_xlfn.XLOOKUP(H$5,INDIRECT("'"&amp;H$3&amp;"'!"&amp;"$C2:$AZ2"),INDIRECT("'"&amp;H$3&amp;"'!"&amp;"$C40:$AZ73")))</f>
        <v>0</v>
      </c>
      <c r="I11" s="42">
        <f t="shared" ca="1" si="0"/>
        <v>-1</v>
      </c>
      <c r="J11" s="55"/>
    </row>
    <row r="12" spans="1:10" x14ac:dyDescent="0.25">
      <c r="A12" s="54"/>
      <c r="B12" s="39" t="s">
        <v>88</v>
      </c>
      <c r="C12" s="40" t="s">
        <v>89</v>
      </c>
      <c r="D12" s="56"/>
      <c r="E12" s="41" cm="1">
        <f t="array" aca="1" ref="E12" ca="1">_xlfn.XLOOKUP($B12,INDIRECT("'"&amp;E$3&amp;"'!"&amp;"$A3:$A36"),_xlfn.XLOOKUP(E$5,INDIRECT("'"&amp;E$3&amp;"'!"&amp;"$C2:$AZ2"),INDIRECT("'"&amp;E$3&amp;"'!"&amp;"$C3:$AZ36")))</f>
        <v>0</v>
      </c>
      <c r="F12" s="42" cm="1">
        <f t="array" aca="1" ref="F12" ca="1">_xlfn.XLOOKUP($B12,INDIRECT("'"&amp;F$3&amp;"'!"&amp;"$A40:$A73"),_xlfn.XLOOKUP(F$5,INDIRECT("'"&amp;F$3&amp;"'!"&amp;"$C2:$AZ2"),INDIRECT("'"&amp;F$3&amp;"'!"&amp;"$C40:$AZ73")))</f>
        <v>0</v>
      </c>
      <c r="G12" s="43" cm="1">
        <f t="array" aca="1" ref="G12" ca="1">_xlfn.XLOOKUP($B12,INDIRECT("'"&amp;G$3&amp;"'!"&amp;"$A3:$A36"),_xlfn.XLOOKUP(G$5,INDIRECT("'"&amp;G$3&amp;"'!"&amp;"$C2:$AZ2"),INDIRECT("'"&amp;G$3&amp;"'!"&amp;"$C3:$AZ36")))</f>
        <v>0</v>
      </c>
      <c r="H12" s="37" cm="1">
        <f t="array" aca="1" ref="H12" ca="1">_xlfn.XLOOKUP($B12,INDIRECT("'"&amp;H$3&amp;"'!"&amp;"$A40:$A73"),_xlfn.XLOOKUP(H$5,INDIRECT("'"&amp;H$3&amp;"'!"&amp;"$C2:$AZ2"),INDIRECT("'"&amp;H$3&amp;"'!"&amp;"$C40:$AZ73")))</f>
        <v>1</v>
      </c>
      <c r="I12" s="42">
        <f t="shared" ca="1" si="0"/>
        <v>1</v>
      </c>
      <c r="J12" s="55"/>
    </row>
    <row r="13" spans="1:10" x14ac:dyDescent="0.25">
      <c r="A13" s="54"/>
      <c r="B13" s="39" t="s">
        <v>90</v>
      </c>
      <c r="C13" s="40" t="s">
        <v>91</v>
      </c>
      <c r="D13" s="56"/>
      <c r="E13" s="41" cm="1">
        <f t="array" aca="1" ref="E13" ca="1">_xlfn.XLOOKUP($B13,INDIRECT("'"&amp;E$3&amp;"'!"&amp;"$A3:$A36"),_xlfn.XLOOKUP(E$5,INDIRECT("'"&amp;E$3&amp;"'!"&amp;"$C2:$AZ2"),INDIRECT("'"&amp;E$3&amp;"'!"&amp;"$C3:$AZ36")))</f>
        <v>0</v>
      </c>
      <c r="F13" s="42" cm="1">
        <f t="array" aca="1" ref="F13" ca="1">_xlfn.XLOOKUP($B13,INDIRECT("'"&amp;F$3&amp;"'!"&amp;"$A40:$A73"),_xlfn.XLOOKUP(F$5,INDIRECT("'"&amp;F$3&amp;"'!"&amp;"$C2:$AZ2"),INDIRECT("'"&amp;F$3&amp;"'!"&amp;"$C40:$AZ73")))</f>
        <v>1</v>
      </c>
      <c r="G13" s="43" cm="1">
        <f t="array" aca="1" ref="G13" ca="1">_xlfn.XLOOKUP($B13,INDIRECT("'"&amp;G$3&amp;"'!"&amp;"$A3:$A36"),_xlfn.XLOOKUP(G$5,INDIRECT("'"&amp;G$3&amp;"'!"&amp;"$C2:$AZ2"),INDIRECT("'"&amp;G$3&amp;"'!"&amp;"$C3:$AZ36")))</f>
        <v>0</v>
      </c>
      <c r="H13" s="37" cm="1">
        <f t="array" aca="1" ref="H13" ca="1">_xlfn.XLOOKUP($B13,INDIRECT("'"&amp;H$3&amp;"'!"&amp;"$A40:$A73"),_xlfn.XLOOKUP(H$5,INDIRECT("'"&amp;H$3&amp;"'!"&amp;"$C2:$AZ2"),INDIRECT("'"&amp;H$3&amp;"'!"&amp;"$C40:$AZ73")))</f>
        <v>0</v>
      </c>
      <c r="I13" s="42">
        <f t="shared" ca="1" si="0"/>
        <v>-1</v>
      </c>
      <c r="J13" s="55"/>
    </row>
    <row r="14" spans="1:10" x14ac:dyDescent="0.25">
      <c r="A14" s="54"/>
      <c r="B14" s="39" t="s">
        <v>92</v>
      </c>
      <c r="C14" s="40" t="s">
        <v>93</v>
      </c>
      <c r="D14" s="56"/>
      <c r="E14" s="41" cm="1">
        <f t="array" aca="1" ref="E14" ca="1">_xlfn.XLOOKUP($B14,INDIRECT("'"&amp;E$3&amp;"'!"&amp;"$A3:$A36"),_xlfn.XLOOKUP(E$5,INDIRECT("'"&amp;E$3&amp;"'!"&amp;"$C2:$AZ2"),INDIRECT("'"&amp;E$3&amp;"'!"&amp;"$C3:$AZ36")))</f>
        <v>0</v>
      </c>
      <c r="F14" s="42" cm="1">
        <f t="array" aca="1" ref="F14" ca="1">_xlfn.XLOOKUP($B14,INDIRECT("'"&amp;F$3&amp;"'!"&amp;"$A40:$A73"),_xlfn.XLOOKUP(F$5,INDIRECT("'"&amp;F$3&amp;"'!"&amp;"$C2:$AZ2"),INDIRECT("'"&amp;F$3&amp;"'!"&amp;"$C40:$AZ73")))</f>
        <v>0</v>
      </c>
      <c r="G14" s="43" cm="1">
        <f t="array" aca="1" ref="G14" ca="1">_xlfn.XLOOKUP($B14,INDIRECT("'"&amp;G$3&amp;"'!"&amp;"$A3:$A36"),_xlfn.XLOOKUP(G$5,INDIRECT("'"&amp;G$3&amp;"'!"&amp;"$C2:$AZ2"),INDIRECT("'"&amp;G$3&amp;"'!"&amp;"$C3:$AZ36")))</f>
        <v>0</v>
      </c>
      <c r="H14" s="37" cm="1">
        <f t="array" aca="1" ref="H14" ca="1">_xlfn.XLOOKUP($B14,INDIRECT("'"&amp;H$3&amp;"'!"&amp;"$A40:$A73"),_xlfn.XLOOKUP(H$5,INDIRECT("'"&amp;H$3&amp;"'!"&amp;"$C2:$AZ2"),INDIRECT("'"&amp;H$3&amp;"'!"&amp;"$C40:$AZ73")))</f>
        <v>0</v>
      </c>
      <c r="I14" s="42">
        <f t="shared" ca="1" si="0"/>
        <v>0</v>
      </c>
      <c r="J14" s="55"/>
    </row>
    <row r="15" spans="1:10" x14ac:dyDescent="0.25">
      <c r="A15" s="54"/>
      <c r="B15" s="39" t="s">
        <v>94</v>
      </c>
      <c r="C15" s="40" t="s">
        <v>95</v>
      </c>
      <c r="D15" s="56"/>
      <c r="E15" s="41" cm="1">
        <f t="array" aca="1" ref="E15" ca="1">_xlfn.XLOOKUP($B15,INDIRECT("'"&amp;E$3&amp;"'!"&amp;"$A3:$A36"),_xlfn.XLOOKUP(E$5,INDIRECT("'"&amp;E$3&amp;"'!"&amp;"$C2:$AZ2"),INDIRECT("'"&amp;E$3&amp;"'!"&amp;"$C3:$AZ36")))</f>
        <v>0</v>
      </c>
      <c r="F15" s="42" cm="1">
        <f t="array" aca="1" ref="F15" ca="1">_xlfn.XLOOKUP($B15,INDIRECT("'"&amp;F$3&amp;"'!"&amp;"$A40:$A73"),_xlfn.XLOOKUP(F$5,INDIRECT("'"&amp;F$3&amp;"'!"&amp;"$C2:$AZ2"),INDIRECT("'"&amp;F$3&amp;"'!"&amp;"$C40:$AZ73")))</f>
        <v>0</v>
      </c>
      <c r="G15" s="43" cm="1">
        <f t="array" aca="1" ref="G15" ca="1">_xlfn.XLOOKUP($B15,INDIRECT("'"&amp;G$3&amp;"'!"&amp;"$A3:$A36"),_xlfn.XLOOKUP(G$5,INDIRECT("'"&amp;G$3&amp;"'!"&amp;"$C2:$AZ2"),INDIRECT("'"&amp;G$3&amp;"'!"&amp;"$C3:$AZ36")))</f>
        <v>0</v>
      </c>
      <c r="H15" s="37" cm="1">
        <f t="array" aca="1" ref="H15" ca="1">_xlfn.XLOOKUP($B15,INDIRECT("'"&amp;H$3&amp;"'!"&amp;"$A40:$A73"),_xlfn.XLOOKUP(H$5,INDIRECT("'"&amp;H$3&amp;"'!"&amp;"$C2:$AZ2"),INDIRECT("'"&amp;H$3&amp;"'!"&amp;"$C40:$AZ73")))</f>
        <v>0</v>
      </c>
      <c r="I15" s="42">
        <f t="shared" ca="1" si="0"/>
        <v>0</v>
      </c>
      <c r="J15" s="55"/>
    </row>
    <row r="16" spans="1:10" x14ac:dyDescent="0.25">
      <c r="A16" s="54"/>
      <c r="B16" s="39" t="s">
        <v>96</v>
      </c>
      <c r="C16" s="40" t="s">
        <v>97</v>
      </c>
      <c r="D16" s="56"/>
      <c r="E16" s="41" cm="1">
        <f t="array" aca="1" ref="E16" ca="1">_xlfn.XLOOKUP($B16,INDIRECT("'"&amp;E$3&amp;"'!"&amp;"$A3:$A36"),_xlfn.XLOOKUP(E$5,INDIRECT("'"&amp;E$3&amp;"'!"&amp;"$C2:$AZ2"),INDIRECT("'"&amp;E$3&amp;"'!"&amp;"$C3:$AZ36")))</f>
        <v>0</v>
      </c>
      <c r="F16" s="42" cm="1">
        <f t="array" aca="1" ref="F16" ca="1">_xlfn.XLOOKUP($B16,INDIRECT("'"&amp;F$3&amp;"'!"&amp;"$A40:$A73"),_xlfn.XLOOKUP(F$5,INDIRECT("'"&amp;F$3&amp;"'!"&amp;"$C2:$AZ2"),INDIRECT("'"&amp;F$3&amp;"'!"&amp;"$C40:$AZ73")))</f>
        <v>0</v>
      </c>
      <c r="G16" s="43" cm="1">
        <f t="array" aca="1" ref="G16" ca="1">_xlfn.XLOOKUP($B16,INDIRECT("'"&amp;G$3&amp;"'!"&amp;"$A3:$A36"),_xlfn.XLOOKUP(G$5,INDIRECT("'"&amp;G$3&amp;"'!"&amp;"$C2:$AZ2"),INDIRECT("'"&amp;G$3&amp;"'!"&amp;"$C3:$AZ36")))</f>
        <v>0</v>
      </c>
      <c r="H16" s="37" cm="1">
        <f t="array" aca="1" ref="H16" ca="1">_xlfn.XLOOKUP($B16,INDIRECT("'"&amp;H$3&amp;"'!"&amp;"$A40:$A73"),_xlfn.XLOOKUP(H$5,INDIRECT("'"&amp;H$3&amp;"'!"&amp;"$C2:$AZ2"),INDIRECT("'"&amp;H$3&amp;"'!"&amp;"$C40:$AZ73")))</f>
        <v>3</v>
      </c>
      <c r="I16" s="42">
        <f t="shared" ca="1" si="0"/>
        <v>3</v>
      </c>
      <c r="J16" s="55"/>
    </row>
    <row r="17" spans="1:10" x14ac:dyDescent="0.25">
      <c r="A17" s="54"/>
      <c r="B17" s="39" t="s">
        <v>98</v>
      </c>
      <c r="C17" s="40" t="s">
        <v>99</v>
      </c>
      <c r="D17" s="56"/>
      <c r="E17" s="41" cm="1">
        <f t="array" aca="1" ref="E17" ca="1">_xlfn.XLOOKUP($B17,INDIRECT("'"&amp;E$3&amp;"'!"&amp;"$A3:$A36"),_xlfn.XLOOKUP(E$5,INDIRECT("'"&amp;E$3&amp;"'!"&amp;"$C2:$AZ2"),INDIRECT("'"&amp;E$3&amp;"'!"&amp;"$C3:$AZ36")))</f>
        <v>0</v>
      </c>
      <c r="F17" s="42" cm="1">
        <f t="array" aca="1" ref="F17" ca="1">_xlfn.XLOOKUP($B17,INDIRECT("'"&amp;F$3&amp;"'!"&amp;"$A40:$A73"),_xlfn.XLOOKUP(F$5,INDIRECT("'"&amp;F$3&amp;"'!"&amp;"$C2:$AZ2"),INDIRECT("'"&amp;F$3&amp;"'!"&amp;"$C40:$AZ73")))</f>
        <v>3</v>
      </c>
      <c r="G17" s="43" cm="1">
        <f t="array" aca="1" ref="G17" ca="1">_xlfn.XLOOKUP($B17,INDIRECT("'"&amp;G$3&amp;"'!"&amp;"$A3:$A36"),_xlfn.XLOOKUP(G$5,INDIRECT("'"&amp;G$3&amp;"'!"&amp;"$C2:$AZ2"),INDIRECT("'"&amp;G$3&amp;"'!"&amp;"$C3:$AZ36")))</f>
        <v>0</v>
      </c>
      <c r="H17" s="37" cm="1">
        <f t="array" aca="1" ref="H17" ca="1">_xlfn.XLOOKUP($B17,INDIRECT("'"&amp;H$3&amp;"'!"&amp;"$A40:$A73"),_xlfn.XLOOKUP(H$5,INDIRECT("'"&amp;H$3&amp;"'!"&amp;"$C2:$AZ2"),INDIRECT("'"&amp;H$3&amp;"'!"&amp;"$C40:$AZ73")))</f>
        <v>0</v>
      </c>
      <c r="I17" s="42">
        <f t="shared" ca="1" si="0"/>
        <v>-3</v>
      </c>
      <c r="J17" s="55"/>
    </row>
    <row r="18" spans="1:10" x14ac:dyDescent="0.25">
      <c r="A18" s="54"/>
      <c r="B18" s="39" t="s">
        <v>100</v>
      </c>
      <c r="C18" s="40" t="s">
        <v>101</v>
      </c>
      <c r="D18" s="56"/>
      <c r="E18" s="41" cm="1">
        <f t="array" aca="1" ref="E18" ca="1">_xlfn.XLOOKUP($B18,INDIRECT("'"&amp;E$3&amp;"'!"&amp;"$A3:$A36"),_xlfn.XLOOKUP(E$5,INDIRECT("'"&amp;E$3&amp;"'!"&amp;"$C2:$AZ2"),INDIRECT("'"&amp;E$3&amp;"'!"&amp;"$C3:$AZ36")))</f>
        <v>0</v>
      </c>
      <c r="F18" s="42" cm="1">
        <f t="array" aca="1" ref="F18" ca="1">_xlfn.XLOOKUP($B18,INDIRECT("'"&amp;F$3&amp;"'!"&amp;"$A40:$A73"),_xlfn.XLOOKUP(F$5,INDIRECT("'"&amp;F$3&amp;"'!"&amp;"$C2:$AZ2"),INDIRECT("'"&amp;F$3&amp;"'!"&amp;"$C40:$AZ73")))</f>
        <v>3</v>
      </c>
      <c r="G18" s="43" cm="1">
        <f t="array" aca="1" ref="G18" ca="1">_xlfn.XLOOKUP($B18,INDIRECT("'"&amp;G$3&amp;"'!"&amp;"$A3:$A36"),_xlfn.XLOOKUP(G$5,INDIRECT("'"&amp;G$3&amp;"'!"&amp;"$C2:$AZ2"),INDIRECT("'"&amp;G$3&amp;"'!"&amp;"$C3:$AZ36")))</f>
        <v>0</v>
      </c>
      <c r="H18" s="37" cm="1">
        <f t="array" aca="1" ref="H18" ca="1">_xlfn.XLOOKUP($B18,INDIRECT("'"&amp;H$3&amp;"'!"&amp;"$A40:$A73"),_xlfn.XLOOKUP(H$5,INDIRECT("'"&amp;H$3&amp;"'!"&amp;"$C2:$AZ2"),INDIRECT("'"&amp;H$3&amp;"'!"&amp;"$C40:$AZ73")))</f>
        <v>1</v>
      </c>
      <c r="I18" s="42">
        <f t="shared" ca="1" si="0"/>
        <v>-2</v>
      </c>
      <c r="J18" s="55"/>
    </row>
    <row r="19" spans="1:10" x14ac:dyDescent="0.25">
      <c r="A19" s="54"/>
      <c r="B19" s="39" t="s">
        <v>102</v>
      </c>
      <c r="C19" s="40" t="s">
        <v>103</v>
      </c>
      <c r="D19" s="56"/>
      <c r="E19" s="41" cm="1">
        <f t="array" aca="1" ref="E19" ca="1">_xlfn.XLOOKUP($B19,INDIRECT("'"&amp;E$3&amp;"'!"&amp;"$A3:$A36"),_xlfn.XLOOKUP(E$5,INDIRECT("'"&amp;E$3&amp;"'!"&amp;"$C2:$AZ2"),INDIRECT("'"&amp;E$3&amp;"'!"&amp;"$C3:$AZ36")))</f>
        <v>0</v>
      </c>
      <c r="F19" s="42" cm="1">
        <f t="array" aca="1" ref="F19" ca="1">_xlfn.XLOOKUP($B19,INDIRECT("'"&amp;F$3&amp;"'!"&amp;"$A40:$A73"),_xlfn.XLOOKUP(F$5,INDIRECT("'"&amp;F$3&amp;"'!"&amp;"$C2:$AZ2"),INDIRECT("'"&amp;F$3&amp;"'!"&amp;"$C40:$AZ73")))</f>
        <v>5</v>
      </c>
      <c r="G19" s="43" cm="1">
        <f t="array" aca="1" ref="G19" ca="1">_xlfn.XLOOKUP($B19,INDIRECT("'"&amp;G$3&amp;"'!"&amp;"$A3:$A36"),_xlfn.XLOOKUP(G$5,INDIRECT("'"&amp;G$3&amp;"'!"&amp;"$C2:$AZ2"),INDIRECT("'"&amp;G$3&amp;"'!"&amp;"$C3:$AZ36")))</f>
        <v>0</v>
      </c>
      <c r="H19" s="37" cm="1">
        <f t="array" aca="1" ref="H19" ca="1">_xlfn.XLOOKUP($B19,INDIRECT("'"&amp;H$3&amp;"'!"&amp;"$A40:$A73"),_xlfn.XLOOKUP(H$5,INDIRECT("'"&amp;H$3&amp;"'!"&amp;"$C2:$AZ2"),INDIRECT("'"&amp;H$3&amp;"'!"&amp;"$C40:$AZ73")))</f>
        <v>1</v>
      </c>
      <c r="I19" s="42">
        <f t="shared" ca="1" si="0"/>
        <v>-4</v>
      </c>
      <c r="J19" s="55"/>
    </row>
    <row r="20" spans="1:10" x14ac:dyDescent="0.25">
      <c r="A20" s="54"/>
      <c r="B20" s="39" t="s">
        <v>104</v>
      </c>
      <c r="C20" s="40" t="s">
        <v>105</v>
      </c>
      <c r="D20" s="56"/>
      <c r="E20" s="41" cm="1">
        <f t="array" aca="1" ref="E20" ca="1">_xlfn.XLOOKUP($B20,INDIRECT("'"&amp;E$3&amp;"'!"&amp;"$A3:$A36"),_xlfn.XLOOKUP(E$5,INDIRECT("'"&amp;E$3&amp;"'!"&amp;"$C2:$AZ2"),INDIRECT("'"&amp;E$3&amp;"'!"&amp;"$C3:$AZ36")))</f>
        <v>1</v>
      </c>
      <c r="F20" s="42" cm="1">
        <f t="array" aca="1" ref="F20" ca="1">_xlfn.XLOOKUP($B20,INDIRECT("'"&amp;F$3&amp;"'!"&amp;"$A40:$A73"),_xlfn.XLOOKUP(F$5,INDIRECT("'"&amp;F$3&amp;"'!"&amp;"$C2:$AZ2"),INDIRECT("'"&amp;F$3&amp;"'!"&amp;"$C40:$AZ73")))</f>
        <v>3</v>
      </c>
      <c r="G20" s="43" cm="1">
        <f t="array" aca="1" ref="G20" ca="1">_xlfn.XLOOKUP($B20,INDIRECT("'"&amp;G$3&amp;"'!"&amp;"$A3:$A36"),_xlfn.XLOOKUP(G$5,INDIRECT("'"&amp;G$3&amp;"'!"&amp;"$C2:$AZ2"),INDIRECT("'"&amp;G$3&amp;"'!"&amp;"$C3:$AZ36")))</f>
        <v>0</v>
      </c>
      <c r="H20" s="37" cm="1">
        <f t="array" aca="1" ref="H20" ca="1">_xlfn.XLOOKUP($B20,INDIRECT("'"&amp;H$3&amp;"'!"&amp;"$A40:$A73"),_xlfn.XLOOKUP(H$5,INDIRECT("'"&amp;H$3&amp;"'!"&amp;"$C2:$AZ2"),INDIRECT("'"&amp;H$3&amp;"'!"&amp;"$C40:$AZ73")))</f>
        <v>0</v>
      </c>
      <c r="I20" s="42">
        <f t="shared" ca="1" si="0"/>
        <v>-3</v>
      </c>
      <c r="J20" s="55"/>
    </row>
    <row r="21" spans="1:10" x14ac:dyDescent="0.25">
      <c r="A21" s="54"/>
      <c r="B21" s="39" t="s">
        <v>106</v>
      </c>
      <c r="C21" s="40" t="s">
        <v>107</v>
      </c>
      <c r="D21" s="56"/>
      <c r="E21" s="41" cm="1">
        <f t="array" aca="1" ref="E21" ca="1">_xlfn.XLOOKUP($B21,INDIRECT("'"&amp;E$3&amp;"'!"&amp;"$A3:$A36"),_xlfn.XLOOKUP(E$5,INDIRECT("'"&amp;E$3&amp;"'!"&amp;"$C2:$AZ2"),INDIRECT("'"&amp;E$3&amp;"'!"&amp;"$C3:$AZ36")))</f>
        <v>0</v>
      </c>
      <c r="F21" s="42" cm="1">
        <f t="array" aca="1" ref="F21" ca="1">_xlfn.XLOOKUP($B21,INDIRECT("'"&amp;F$3&amp;"'!"&amp;"$A40:$A73"),_xlfn.XLOOKUP(F$5,INDIRECT("'"&amp;F$3&amp;"'!"&amp;"$C2:$AZ2"),INDIRECT("'"&amp;F$3&amp;"'!"&amp;"$C40:$AZ73")))</f>
        <v>1</v>
      </c>
      <c r="G21" s="43" cm="1">
        <f t="array" aca="1" ref="G21" ca="1">_xlfn.XLOOKUP($B21,INDIRECT("'"&amp;G$3&amp;"'!"&amp;"$A3:$A36"),_xlfn.XLOOKUP(G$5,INDIRECT("'"&amp;G$3&amp;"'!"&amp;"$C2:$AZ2"),INDIRECT("'"&amp;G$3&amp;"'!"&amp;"$C3:$AZ36")))</f>
        <v>0</v>
      </c>
      <c r="H21" s="37" cm="1">
        <f t="array" aca="1" ref="H21" ca="1">_xlfn.XLOOKUP($B21,INDIRECT("'"&amp;H$3&amp;"'!"&amp;"$A40:$A73"),_xlfn.XLOOKUP(H$5,INDIRECT("'"&amp;H$3&amp;"'!"&amp;"$C2:$AZ2"),INDIRECT("'"&amp;H$3&amp;"'!"&amp;"$C40:$AZ73")))</f>
        <v>1</v>
      </c>
      <c r="I21" s="42">
        <f t="shared" ca="1" si="0"/>
        <v>0</v>
      </c>
      <c r="J21" s="55"/>
    </row>
    <row r="22" spans="1:10" x14ac:dyDescent="0.25">
      <c r="A22" s="54"/>
      <c r="B22" s="39" t="s">
        <v>108</v>
      </c>
      <c r="C22" s="40" t="s">
        <v>109</v>
      </c>
      <c r="D22" s="56"/>
      <c r="E22" s="41" cm="1">
        <f t="array" aca="1" ref="E22" ca="1">_xlfn.XLOOKUP($B22,INDIRECT("'"&amp;E$3&amp;"'!"&amp;"$A3:$A36"),_xlfn.XLOOKUP(E$5,INDIRECT("'"&amp;E$3&amp;"'!"&amp;"$C2:$AZ2"),INDIRECT("'"&amp;E$3&amp;"'!"&amp;"$C3:$AZ36")))</f>
        <v>0</v>
      </c>
      <c r="F22" s="42" cm="1">
        <f t="array" aca="1" ref="F22" ca="1">_xlfn.XLOOKUP($B22,INDIRECT("'"&amp;F$3&amp;"'!"&amp;"$A40:$A73"),_xlfn.XLOOKUP(F$5,INDIRECT("'"&amp;F$3&amp;"'!"&amp;"$C2:$AZ2"),INDIRECT("'"&amp;F$3&amp;"'!"&amp;"$C40:$AZ73")))</f>
        <v>2</v>
      </c>
      <c r="G22" s="43" cm="1">
        <f t="array" aca="1" ref="G22" ca="1">_xlfn.XLOOKUP($B22,INDIRECT("'"&amp;G$3&amp;"'!"&amp;"$A3:$A36"),_xlfn.XLOOKUP(G$5,INDIRECT("'"&amp;G$3&amp;"'!"&amp;"$C2:$AZ2"),INDIRECT("'"&amp;G$3&amp;"'!"&amp;"$C3:$AZ36")))</f>
        <v>0</v>
      </c>
      <c r="H22" s="37" cm="1">
        <f t="array" aca="1" ref="H22" ca="1">_xlfn.XLOOKUP($B22,INDIRECT("'"&amp;H$3&amp;"'!"&amp;"$A40:$A73"),_xlfn.XLOOKUP(H$5,INDIRECT("'"&amp;H$3&amp;"'!"&amp;"$C2:$AZ2"),INDIRECT("'"&amp;H$3&amp;"'!"&amp;"$C40:$AZ73")))</f>
        <v>0</v>
      </c>
      <c r="I22" s="42">
        <f t="shared" ca="1" si="0"/>
        <v>-2</v>
      </c>
      <c r="J22" s="55"/>
    </row>
    <row r="23" spans="1:10" x14ac:dyDescent="0.25">
      <c r="A23" s="54"/>
      <c r="B23" s="39" t="s">
        <v>110</v>
      </c>
      <c r="C23" s="40" t="s">
        <v>111</v>
      </c>
      <c r="D23" s="56"/>
      <c r="E23" s="41" cm="1">
        <f t="array" aca="1" ref="E23" ca="1">_xlfn.XLOOKUP($B23,INDIRECT("'"&amp;E$3&amp;"'!"&amp;"$A3:$A36"),_xlfn.XLOOKUP(E$5,INDIRECT("'"&amp;E$3&amp;"'!"&amp;"$C2:$AZ2"),INDIRECT("'"&amp;E$3&amp;"'!"&amp;"$C3:$AZ36")))</f>
        <v>0</v>
      </c>
      <c r="F23" s="42" cm="1">
        <f t="array" aca="1" ref="F23" ca="1">_xlfn.XLOOKUP($B23,INDIRECT("'"&amp;F$3&amp;"'!"&amp;"$A40:$A73"),_xlfn.XLOOKUP(F$5,INDIRECT("'"&amp;F$3&amp;"'!"&amp;"$C2:$AZ2"),INDIRECT("'"&amp;F$3&amp;"'!"&amp;"$C40:$AZ73")))</f>
        <v>0</v>
      </c>
      <c r="G23" s="43" cm="1">
        <f t="array" aca="1" ref="G23" ca="1">_xlfn.XLOOKUP($B23,INDIRECT("'"&amp;G$3&amp;"'!"&amp;"$A3:$A36"),_xlfn.XLOOKUP(G$5,INDIRECT("'"&amp;G$3&amp;"'!"&amp;"$C2:$AZ2"),INDIRECT("'"&amp;G$3&amp;"'!"&amp;"$C3:$AZ36")))</f>
        <v>0</v>
      </c>
      <c r="H23" s="37" cm="1">
        <f t="array" aca="1" ref="H23" ca="1">_xlfn.XLOOKUP($B23,INDIRECT("'"&amp;H$3&amp;"'!"&amp;"$A40:$A73"),_xlfn.XLOOKUP(H$5,INDIRECT("'"&amp;H$3&amp;"'!"&amp;"$C2:$AZ2"),INDIRECT("'"&amp;H$3&amp;"'!"&amp;"$C40:$AZ73")))</f>
        <v>0</v>
      </c>
      <c r="I23" s="42">
        <f t="shared" ca="1" si="0"/>
        <v>0</v>
      </c>
      <c r="J23" s="55"/>
    </row>
    <row r="24" spans="1:10" x14ac:dyDescent="0.25">
      <c r="A24" s="54"/>
      <c r="B24" s="39" t="s">
        <v>112</v>
      </c>
      <c r="C24" s="40" t="s">
        <v>113</v>
      </c>
      <c r="D24" s="56"/>
      <c r="E24" s="41" cm="1">
        <f t="array" aca="1" ref="E24" ca="1">_xlfn.XLOOKUP($B24,INDIRECT("'"&amp;E$3&amp;"'!"&amp;"$A3:$A36"),_xlfn.XLOOKUP(E$5,INDIRECT("'"&amp;E$3&amp;"'!"&amp;"$C2:$AZ2"),INDIRECT("'"&amp;E$3&amp;"'!"&amp;"$C3:$AZ36")))</f>
        <v>0</v>
      </c>
      <c r="F24" s="42" cm="1">
        <f t="array" aca="1" ref="F24" ca="1">_xlfn.XLOOKUP($B24,INDIRECT("'"&amp;F$3&amp;"'!"&amp;"$A40:$A73"),_xlfn.XLOOKUP(F$5,INDIRECT("'"&amp;F$3&amp;"'!"&amp;"$C2:$AZ2"),INDIRECT("'"&amp;F$3&amp;"'!"&amp;"$C40:$AZ73")))</f>
        <v>5</v>
      </c>
      <c r="G24" s="43" cm="1">
        <f t="array" aca="1" ref="G24" ca="1">_xlfn.XLOOKUP($B24,INDIRECT("'"&amp;G$3&amp;"'!"&amp;"$A3:$A36"),_xlfn.XLOOKUP(G$5,INDIRECT("'"&amp;G$3&amp;"'!"&amp;"$C2:$AZ2"),INDIRECT("'"&amp;G$3&amp;"'!"&amp;"$C3:$AZ36")))</f>
        <v>1</v>
      </c>
      <c r="H24" s="37" cm="1">
        <f t="array" aca="1" ref="H24" ca="1">_xlfn.XLOOKUP($B24,INDIRECT("'"&amp;H$3&amp;"'!"&amp;"$A40:$A73"),_xlfn.XLOOKUP(H$5,INDIRECT("'"&amp;H$3&amp;"'!"&amp;"$C2:$AZ2"),INDIRECT("'"&amp;H$3&amp;"'!"&amp;"$C40:$AZ73")))</f>
        <v>8</v>
      </c>
      <c r="I24" s="42">
        <f t="shared" ca="1" si="0"/>
        <v>3</v>
      </c>
      <c r="J24" s="55"/>
    </row>
    <row r="25" spans="1:10" x14ac:dyDescent="0.25">
      <c r="A25" s="54"/>
      <c r="B25" s="39" t="s">
        <v>114</v>
      </c>
      <c r="C25" s="40" t="s">
        <v>115</v>
      </c>
      <c r="D25" s="56"/>
      <c r="E25" s="41" cm="1">
        <f t="array" aca="1" ref="E25" ca="1">_xlfn.XLOOKUP($B25,INDIRECT("'"&amp;E$3&amp;"'!"&amp;"$A3:$A36"),_xlfn.XLOOKUP(E$5,INDIRECT("'"&amp;E$3&amp;"'!"&amp;"$C2:$AZ2"),INDIRECT("'"&amp;E$3&amp;"'!"&amp;"$C3:$AZ36")))</f>
        <v>0</v>
      </c>
      <c r="F25" s="42" cm="1">
        <f t="array" aca="1" ref="F25" ca="1">_xlfn.XLOOKUP($B25,INDIRECT("'"&amp;F$3&amp;"'!"&amp;"$A40:$A73"),_xlfn.XLOOKUP(F$5,INDIRECT("'"&amp;F$3&amp;"'!"&amp;"$C2:$AZ2"),INDIRECT("'"&amp;F$3&amp;"'!"&amp;"$C40:$AZ73")))</f>
        <v>3</v>
      </c>
      <c r="G25" s="43" cm="1">
        <f t="array" aca="1" ref="G25" ca="1">_xlfn.XLOOKUP($B25,INDIRECT("'"&amp;G$3&amp;"'!"&amp;"$A3:$A36"),_xlfn.XLOOKUP(G$5,INDIRECT("'"&amp;G$3&amp;"'!"&amp;"$C2:$AZ2"),INDIRECT("'"&amp;G$3&amp;"'!"&amp;"$C3:$AZ36")))</f>
        <v>0</v>
      </c>
      <c r="H25" s="37" cm="1">
        <f t="array" aca="1" ref="H25" ca="1">_xlfn.XLOOKUP($B25,INDIRECT("'"&amp;H$3&amp;"'!"&amp;"$A40:$A73"),_xlfn.XLOOKUP(H$5,INDIRECT("'"&amp;H$3&amp;"'!"&amp;"$C2:$AZ2"),INDIRECT("'"&amp;H$3&amp;"'!"&amp;"$C40:$AZ73")))</f>
        <v>0</v>
      </c>
      <c r="I25" s="42">
        <f t="shared" ca="1" si="0"/>
        <v>-3</v>
      </c>
      <c r="J25" s="55"/>
    </row>
    <row r="26" spans="1:10" x14ac:dyDescent="0.25">
      <c r="A26" s="54"/>
      <c r="B26" s="39" t="s">
        <v>116</v>
      </c>
      <c r="C26" s="44" t="s">
        <v>117</v>
      </c>
      <c r="D26" s="56"/>
      <c r="E26" s="41" cm="1">
        <f t="array" aca="1" ref="E26" ca="1">_xlfn.XLOOKUP($B26,INDIRECT("'"&amp;E$3&amp;"'!"&amp;"$A3:$A36"),_xlfn.XLOOKUP(E$5,INDIRECT("'"&amp;E$3&amp;"'!"&amp;"$C2:$AZ2"),INDIRECT("'"&amp;E$3&amp;"'!"&amp;"$C3:$AZ36")))</f>
        <v>0</v>
      </c>
      <c r="F26" s="42" cm="1">
        <f t="array" aca="1" ref="F26" ca="1">_xlfn.XLOOKUP($B26,INDIRECT("'"&amp;F$3&amp;"'!"&amp;"$A40:$A73"),_xlfn.XLOOKUP(F$5,INDIRECT("'"&amp;F$3&amp;"'!"&amp;"$C2:$AZ2"),INDIRECT("'"&amp;F$3&amp;"'!"&amp;"$C40:$AZ73")))</f>
        <v>0</v>
      </c>
      <c r="G26" s="43" cm="1">
        <f t="array" aca="1" ref="G26" ca="1">_xlfn.XLOOKUP($B26,INDIRECT("'"&amp;G$3&amp;"'!"&amp;"$A3:$A36"),_xlfn.XLOOKUP(G$5,INDIRECT("'"&amp;G$3&amp;"'!"&amp;"$C2:$AZ2"),INDIRECT("'"&amp;G$3&amp;"'!"&amp;"$C3:$AZ36")))</f>
        <v>0</v>
      </c>
      <c r="H26" s="37" cm="1">
        <f t="array" aca="1" ref="H26" ca="1">_xlfn.XLOOKUP($B26,INDIRECT("'"&amp;H$3&amp;"'!"&amp;"$A40:$A73"),_xlfn.XLOOKUP(H$5,INDIRECT("'"&amp;H$3&amp;"'!"&amp;"$C2:$AZ2"),INDIRECT("'"&amp;H$3&amp;"'!"&amp;"$C40:$AZ73")))</f>
        <v>0</v>
      </c>
      <c r="I26" s="42">
        <f t="shared" ca="1" si="0"/>
        <v>0</v>
      </c>
      <c r="J26" s="55"/>
    </row>
    <row r="27" spans="1:10" x14ac:dyDescent="0.25">
      <c r="A27" s="54"/>
      <c r="B27" s="39" t="s">
        <v>118</v>
      </c>
      <c r="C27" s="44" t="s">
        <v>119</v>
      </c>
      <c r="D27" s="56"/>
      <c r="E27" s="41" cm="1">
        <f t="array" aca="1" ref="E27" ca="1">_xlfn.XLOOKUP($B27,INDIRECT("'"&amp;E$3&amp;"'!"&amp;"$A3:$A36"),_xlfn.XLOOKUP(E$5,INDIRECT("'"&amp;E$3&amp;"'!"&amp;"$C2:$AZ2"),INDIRECT("'"&amp;E$3&amp;"'!"&amp;"$C3:$AZ36")))</f>
        <v>0</v>
      </c>
      <c r="F27" s="42" cm="1">
        <f t="array" aca="1" ref="F27" ca="1">_xlfn.XLOOKUP($B27,INDIRECT("'"&amp;F$3&amp;"'!"&amp;"$A40:$A73"),_xlfn.XLOOKUP(F$5,INDIRECT("'"&amp;F$3&amp;"'!"&amp;"$C2:$AZ2"),INDIRECT("'"&amp;F$3&amp;"'!"&amp;"$C40:$AZ73")))</f>
        <v>1</v>
      </c>
      <c r="G27" s="43" cm="1">
        <f t="array" aca="1" ref="G27" ca="1">_xlfn.XLOOKUP($B27,INDIRECT("'"&amp;G$3&amp;"'!"&amp;"$A3:$A36"),_xlfn.XLOOKUP(G$5,INDIRECT("'"&amp;G$3&amp;"'!"&amp;"$C2:$AZ2"),INDIRECT("'"&amp;G$3&amp;"'!"&amp;"$C3:$AZ36")))</f>
        <v>0</v>
      </c>
      <c r="H27" s="37" cm="1">
        <f t="array" aca="1" ref="H27" ca="1">_xlfn.XLOOKUP($B27,INDIRECT("'"&amp;H$3&amp;"'!"&amp;"$A40:$A73"),_xlfn.XLOOKUP(H$5,INDIRECT("'"&amp;H$3&amp;"'!"&amp;"$C2:$AZ2"),INDIRECT("'"&amp;H$3&amp;"'!"&amp;"$C40:$AZ73")))</f>
        <v>1</v>
      </c>
      <c r="I27" s="42">
        <f t="shared" ca="1" si="0"/>
        <v>0</v>
      </c>
      <c r="J27" s="55"/>
    </row>
    <row r="28" spans="1:10" x14ac:dyDescent="0.25">
      <c r="A28" s="54"/>
      <c r="B28" s="39" t="s">
        <v>120</v>
      </c>
      <c r="C28" s="44" t="s">
        <v>121</v>
      </c>
      <c r="D28" s="56"/>
      <c r="E28" s="41" cm="1">
        <f t="array" aca="1" ref="E28" ca="1">_xlfn.XLOOKUP($B28,INDIRECT("'"&amp;E$3&amp;"'!"&amp;"$A3:$A36"),_xlfn.XLOOKUP(E$5,INDIRECT("'"&amp;E$3&amp;"'!"&amp;"$C2:$AZ2"),INDIRECT("'"&amp;E$3&amp;"'!"&amp;"$C3:$AZ36")))</f>
        <v>0</v>
      </c>
      <c r="F28" s="42" cm="1">
        <f t="array" aca="1" ref="F28" ca="1">_xlfn.XLOOKUP($B28,INDIRECT("'"&amp;F$3&amp;"'!"&amp;"$A40:$A73"),_xlfn.XLOOKUP(F$5,INDIRECT("'"&amp;F$3&amp;"'!"&amp;"$C2:$AZ2"),INDIRECT("'"&amp;F$3&amp;"'!"&amp;"$C40:$AZ73")))</f>
        <v>1</v>
      </c>
      <c r="G28" s="43" cm="1">
        <f t="array" aca="1" ref="G28" ca="1">_xlfn.XLOOKUP($B28,INDIRECT("'"&amp;G$3&amp;"'!"&amp;"$A3:$A36"),_xlfn.XLOOKUP(G$5,INDIRECT("'"&amp;G$3&amp;"'!"&amp;"$C2:$AZ2"),INDIRECT("'"&amp;G$3&amp;"'!"&amp;"$C3:$AZ36")))</f>
        <v>0</v>
      </c>
      <c r="H28" s="37" cm="1">
        <f t="array" aca="1" ref="H28" ca="1">_xlfn.XLOOKUP($B28,INDIRECT("'"&amp;H$3&amp;"'!"&amp;"$A40:$A73"),_xlfn.XLOOKUP(H$5,INDIRECT("'"&amp;H$3&amp;"'!"&amp;"$C2:$AZ2"),INDIRECT("'"&amp;H$3&amp;"'!"&amp;"$C40:$AZ73")))</f>
        <v>0</v>
      </c>
      <c r="I28" s="42">
        <f t="shared" ca="1" si="0"/>
        <v>-1</v>
      </c>
      <c r="J28" s="55"/>
    </row>
    <row r="29" spans="1:10" x14ac:dyDescent="0.25">
      <c r="A29" s="54"/>
      <c r="B29" s="39" t="s">
        <v>122</v>
      </c>
      <c r="C29" s="44" t="s">
        <v>123</v>
      </c>
      <c r="D29" s="56"/>
      <c r="E29" s="41" cm="1">
        <f t="array" aca="1" ref="E29" ca="1">_xlfn.XLOOKUP($B29,INDIRECT("'"&amp;E$3&amp;"'!"&amp;"$A3:$A36"),_xlfn.XLOOKUP(E$5,INDIRECT("'"&amp;E$3&amp;"'!"&amp;"$C2:$AZ2"),INDIRECT("'"&amp;E$3&amp;"'!"&amp;"$C3:$AZ36")))</f>
        <v>0</v>
      </c>
      <c r="F29" s="42" cm="1">
        <f t="array" aca="1" ref="F29" ca="1">_xlfn.XLOOKUP($B29,INDIRECT("'"&amp;F$3&amp;"'!"&amp;"$A40:$A73"),_xlfn.XLOOKUP(F$5,INDIRECT("'"&amp;F$3&amp;"'!"&amp;"$C2:$AZ2"),INDIRECT("'"&amp;F$3&amp;"'!"&amp;"$C40:$AZ73")))</f>
        <v>2</v>
      </c>
      <c r="G29" s="43" cm="1">
        <f t="array" aca="1" ref="G29" ca="1">_xlfn.XLOOKUP($B29,INDIRECT("'"&amp;G$3&amp;"'!"&amp;"$A3:$A36"),_xlfn.XLOOKUP(G$5,INDIRECT("'"&amp;G$3&amp;"'!"&amp;"$C2:$AZ2"),INDIRECT("'"&amp;G$3&amp;"'!"&amp;"$C3:$AZ36")))</f>
        <v>0</v>
      </c>
      <c r="H29" s="37" cm="1">
        <f t="array" aca="1" ref="H29" ca="1">_xlfn.XLOOKUP($B29,INDIRECT("'"&amp;H$3&amp;"'!"&amp;"$A40:$A73"),_xlfn.XLOOKUP(H$5,INDIRECT("'"&amp;H$3&amp;"'!"&amp;"$C2:$AZ2"),INDIRECT("'"&amp;H$3&amp;"'!"&amp;"$C40:$AZ73")))</f>
        <v>1</v>
      </c>
      <c r="I29" s="42">
        <f t="shared" ca="1" si="0"/>
        <v>-1</v>
      </c>
      <c r="J29" s="55"/>
    </row>
    <row r="30" spans="1:10" x14ac:dyDescent="0.25">
      <c r="A30" s="54"/>
      <c r="B30" s="39" t="s">
        <v>124</v>
      </c>
      <c r="C30" s="44" t="s">
        <v>125</v>
      </c>
      <c r="D30" s="56"/>
      <c r="E30" s="41" cm="1">
        <f t="array" aca="1" ref="E30" ca="1">_xlfn.XLOOKUP($B30,INDIRECT("'"&amp;E$3&amp;"'!"&amp;"$A3:$A36"),_xlfn.XLOOKUP(E$5,INDIRECT("'"&amp;E$3&amp;"'!"&amp;"$C2:$AZ2"),INDIRECT("'"&amp;E$3&amp;"'!"&amp;"$C3:$AZ36")))</f>
        <v>0</v>
      </c>
      <c r="F30" s="42" cm="1">
        <f t="array" aca="1" ref="F30" ca="1">_xlfn.XLOOKUP($B30,INDIRECT("'"&amp;F$3&amp;"'!"&amp;"$A40:$A73"),_xlfn.XLOOKUP(F$5,INDIRECT("'"&amp;F$3&amp;"'!"&amp;"$C2:$AZ2"),INDIRECT("'"&amp;F$3&amp;"'!"&amp;"$C40:$AZ73")))</f>
        <v>0</v>
      </c>
      <c r="G30" s="43" cm="1">
        <f t="array" aca="1" ref="G30" ca="1">_xlfn.XLOOKUP($B30,INDIRECT("'"&amp;G$3&amp;"'!"&amp;"$A3:$A36"),_xlfn.XLOOKUP(G$5,INDIRECT("'"&amp;G$3&amp;"'!"&amp;"$C2:$AZ2"),INDIRECT("'"&amp;G$3&amp;"'!"&amp;"$C3:$AZ36")))</f>
        <v>0</v>
      </c>
      <c r="H30" s="37" cm="1">
        <f t="array" aca="1" ref="H30" ca="1">_xlfn.XLOOKUP($B30,INDIRECT("'"&amp;H$3&amp;"'!"&amp;"$A40:$A73"),_xlfn.XLOOKUP(H$5,INDIRECT("'"&amp;H$3&amp;"'!"&amp;"$C2:$AZ2"),INDIRECT("'"&amp;H$3&amp;"'!"&amp;"$C40:$AZ73")))</f>
        <v>1</v>
      </c>
      <c r="I30" s="42">
        <f t="shared" ca="1" si="0"/>
        <v>1</v>
      </c>
      <c r="J30" s="55"/>
    </row>
    <row r="31" spans="1:10" x14ac:dyDescent="0.25">
      <c r="A31" s="54"/>
      <c r="B31" s="39" t="s">
        <v>126</v>
      </c>
      <c r="C31" s="44" t="s">
        <v>127</v>
      </c>
      <c r="D31" s="56"/>
      <c r="E31" s="41" cm="1">
        <f t="array" aca="1" ref="E31" ca="1">_xlfn.XLOOKUP($B31,INDIRECT("'"&amp;E$3&amp;"'!"&amp;"$A3:$A36"),_xlfn.XLOOKUP(E$5,INDIRECT("'"&amp;E$3&amp;"'!"&amp;"$C2:$AZ2"),INDIRECT("'"&amp;E$3&amp;"'!"&amp;"$C3:$AZ36")))</f>
        <v>0</v>
      </c>
      <c r="F31" s="42" cm="1">
        <f t="array" aca="1" ref="F31" ca="1">_xlfn.XLOOKUP($B31,INDIRECT("'"&amp;F$3&amp;"'!"&amp;"$A40:$A73"),_xlfn.XLOOKUP(F$5,INDIRECT("'"&amp;F$3&amp;"'!"&amp;"$C2:$AZ2"),INDIRECT("'"&amp;F$3&amp;"'!"&amp;"$C40:$AZ73")))</f>
        <v>5</v>
      </c>
      <c r="G31" s="43" cm="1">
        <f t="array" aca="1" ref="G31" ca="1">_xlfn.XLOOKUP($B31,INDIRECT("'"&amp;G$3&amp;"'!"&amp;"$A3:$A36"),_xlfn.XLOOKUP(G$5,INDIRECT("'"&amp;G$3&amp;"'!"&amp;"$C2:$AZ2"),INDIRECT("'"&amp;G$3&amp;"'!"&amp;"$C3:$AZ36")))</f>
        <v>0</v>
      </c>
      <c r="H31" s="37" cm="1">
        <f t="array" aca="1" ref="H31" ca="1">_xlfn.XLOOKUP($B31,INDIRECT("'"&amp;H$3&amp;"'!"&amp;"$A40:$A73"),_xlfn.XLOOKUP(H$5,INDIRECT("'"&amp;H$3&amp;"'!"&amp;"$C2:$AZ2"),INDIRECT("'"&amp;H$3&amp;"'!"&amp;"$C40:$AZ73")))</f>
        <v>1</v>
      </c>
      <c r="I31" s="42">
        <f t="shared" ca="1" si="0"/>
        <v>-4</v>
      </c>
      <c r="J31" s="55"/>
    </row>
    <row r="32" spans="1:10" x14ac:dyDescent="0.25">
      <c r="A32" s="54"/>
      <c r="B32" s="39" t="s">
        <v>128</v>
      </c>
      <c r="C32" s="44" t="s">
        <v>129</v>
      </c>
      <c r="D32" s="56"/>
      <c r="E32" s="41" cm="1">
        <f t="array" aca="1" ref="E32" ca="1">_xlfn.XLOOKUP($B32,INDIRECT("'"&amp;E$3&amp;"'!"&amp;"$A3:$A36"),_xlfn.XLOOKUP(E$5,INDIRECT("'"&amp;E$3&amp;"'!"&amp;"$C2:$AZ2"),INDIRECT("'"&amp;E$3&amp;"'!"&amp;"$C3:$AZ36")))</f>
        <v>2</v>
      </c>
      <c r="F32" s="42" cm="1">
        <f t="array" aca="1" ref="F32" ca="1">_xlfn.XLOOKUP($B32,INDIRECT("'"&amp;F$3&amp;"'!"&amp;"$A40:$A73"),_xlfn.XLOOKUP(F$5,INDIRECT("'"&amp;F$3&amp;"'!"&amp;"$C2:$AZ2"),INDIRECT("'"&amp;F$3&amp;"'!"&amp;"$C40:$AZ73")))</f>
        <v>26</v>
      </c>
      <c r="G32" s="43" cm="1">
        <f t="array" aca="1" ref="G32" ca="1">_xlfn.XLOOKUP($B32,INDIRECT("'"&amp;G$3&amp;"'!"&amp;"$A3:$A36"),_xlfn.XLOOKUP(G$5,INDIRECT("'"&amp;G$3&amp;"'!"&amp;"$C2:$AZ2"),INDIRECT("'"&amp;G$3&amp;"'!"&amp;"$C3:$AZ36")))</f>
        <v>4</v>
      </c>
      <c r="H32" s="37" cm="1">
        <f t="array" aca="1" ref="H32" ca="1">_xlfn.XLOOKUP($B32,INDIRECT("'"&amp;H$3&amp;"'!"&amp;"$A40:$A73"),_xlfn.XLOOKUP(H$5,INDIRECT("'"&amp;H$3&amp;"'!"&amp;"$C2:$AZ2"),INDIRECT("'"&amp;H$3&amp;"'!"&amp;"$C40:$AZ73")))</f>
        <v>12</v>
      </c>
      <c r="I32" s="42">
        <f t="shared" ca="1" si="0"/>
        <v>-14</v>
      </c>
      <c r="J32" s="55"/>
    </row>
    <row r="33" spans="1:10" x14ac:dyDescent="0.25">
      <c r="A33" s="54"/>
      <c r="B33" s="39" t="s">
        <v>130</v>
      </c>
      <c r="C33" s="44" t="s">
        <v>131</v>
      </c>
      <c r="D33" s="56"/>
      <c r="E33" s="41" cm="1">
        <f t="array" aca="1" ref="E33" ca="1">_xlfn.XLOOKUP($B33,INDIRECT("'"&amp;E$3&amp;"'!"&amp;"$A3:$A36"),_xlfn.XLOOKUP(E$5,INDIRECT("'"&amp;E$3&amp;"'!"&amp;"$C2:$AZ2"),INDIRECT("'"&amp;E$3&amp;"'!"&amp;"$C3:$AZ36")))</f>
        <v>0</v>
      </c>
      <c r="F33" s="42" cm="1">
        <f t="array" aca="1" ref="F33" ca="1">_xlfn.XLOOKUP($B33,INDIRECT("'"&amp;F$3&amp;"'!"&amp;"$A40:$A73"),_xlfn.XLOOKUP(F$5,INDIRECT("'"&amp;F$3&amp;"'!"&amp;"$C2:$AZ2"),INDIRECT("'"&amp;F$3&amp;"'!"&amp;"$C40:$AZ73")))</f>
        <v>1</v>
      </c>
      <c r="G33" s="43" cm="1">
        <f t="array" aca="1" ref="G33" ca="1">_xlfn.XLOOKUP($B33,INDIRECT("'"&amp;G$3&amp;"'!"&amp;"$A3:$A36"),_xlfn.XLOOKUP(G$5,INDIRECT("'"&amp;G$3&amp;"'!"&amp;"$C2:$AZ2"),INDIRECT("'"&amp;G$3&amp;"'!"&amp;"$C3:$AZ36")))</f>
        <v>1</v>
      </c>
      <c r="H33" s="37" cm="1">
        <f t="array" aca="1" ref="H33" ca="1">_xlfn.XLOOKUP($B33,INDIRECT("'"&amp;H$3&amp;"'!"&amp;"$A40:$A73"),_xlfn.XLOOKUP(H$5,INDIRECT("'"&amp;H$3&amp;"'!"&amp;"$C2:$AZ2"),INDIRECT("'"&amp;H$3&amp;"'!"&amp;"$C40:$AZ73")))</f>
        <v>1</v>
      </c>
      <c r="I33" s="42">
        <f t="shared" ca="1" si="0"/>
        <v>0</v>
      </c>
      <c r="J33" s="55"/>
    </row>
    <row r="34" spans="1:10" x14ac:dyDescent="0.25">
      <c r="A34" s="54"/>
      <c r="B34" s="39" t="s">
        <v>132</v>
      </c>
      <c r="C34" s="44" t="s">
        <v>133</v>
      </c>
      <c r="D34" s="56"/>
      <c r="E34" s="41" cm="1">
        <f t="array" aca="1" ref="E34" ca="1">_xlfn.XLOOKUP($B34,INDIRECT("'"&amp;E$3&amp;"'!"&amp;"$A3:$A36"),_xlfn.XLOOKUP(E$5,INDIRECT("'"&amp;E$3&amp;"'!"&amp;"$C2:$AZ2"),INDIRECT("'"&amp;E$3&amp;"'!"&amp;"$C3:$AZ36")))</f>
        <v>0</v>
      </c>
      <c r="F34" s="42" cm="1">
        <f t="array" aca="1" ref="F34" ca="1">_xlfn.XLOOKUP($B34,INDIRECT("'"&amp;F$3&amp;"'!"&amp;"$A40:$A73"),_xlfn.XLOOKUP(F$5,INDIRECT("'"&amp;F$3&amp;"'!"&amp;"$C2:$AZ2"),INDIRECT("'"&amp;F$3&amp;"'!"&amp;"$C40:$AZ73")))</f>
        <v>9</v>
      </c>
      <c r="G34" s="43" cm="1">
        <f t="array" aca="1" ref="G34" ca="1">_xlfn.XLOOKUP($B34,INDIRECT("'"&amp;G$3&amp;"'!"&amp;"$A3:$A36"),_xlfn.XLOOKUP(G$5,INDIRECT("'"&amp;G$3&amp;"'!"&amp;"$C2:$AZ2"),INDIRECT("'"&amp;G$3&amp;"'!"&amp;"$C3:$AZ36")))</f>
        <v>0</v>
      </c>
      <c r="H34" s="37" cm="1">
        <f t="array" aca="1" ref="H34" ca="1">_xlfn.XLOOKUP($B34,INDIRECT("'"&amp;H$3&amp;"'!"&amp;"$A40:$A73"),_xlfn.XLOOKUP(H$5,INDIRECT("'"&amp;H$3&amp;"'!"&amp;"$C2:$AZ2"),INDIRECT("'"&amp;H$3&amp;"'!"&amp;"$C40:$AZ73")))</f>
        <v>10</v>
      </c>
      <c r="I34" s="42">
        <f t="shared" ca="1" si="0"/>
        <v>1</v>
      </c>
      <c r="J34" s="55"/>
    </row>
    <row r="35" spans="1:10" x14ac:dyDescent="0.25">
      <c r="A35" s="54"/>
      <c r="B35" s="39" t="s">
        <v>134</v>
      </c>
      <c r="C35" s="44" t="s">
        <v>135</v>
      </c>
      <c r="D35" s="56"/>
      <c r="E35" s="41" cm="1">
        <f t="array" aca="1" ref="E35" ca="1">_xlfn.XLOOKUP($B35,INDIRECT("'"&amp;E$3&amp;"'!"&amp;"$A3:$A36"),_xlfn.XLOOKUP(E$5,INDIRECT("'"&amp;E$3&amp;"'!"&amp;"$C2:$AZ2"),INDIRECT("'"&amp;E$3&amp;"'!"&amp;"$C3:$AZ36")))</f>
        <v>0</v>
      </c>
      <c r="F35" s="42" cm="1">
        <f t="array" aca="1" ref="F35" ca="1">_xlfn.XLOOKUP($B35,INDIRECT("'"&amp;F$3&amp;"'!"&amp;"$A40:$A73"),_xlfn.XLOOKUP(F$5,INDIRECT("'"&amp;F$3&amp;"'!"&amp;"$C2:$AZ2"),INDIRECT("'"&amp;F$3&amp;"'!"&amp;"$C40:$AZ73")))</f>
        <v>0</v>
      </c>
      <c r="G35" s="43" cm="1">
        <f t="array" aca="1" ref="G35" ca="1">_xlfn.XLOOKUP($B35,INDIRECT("'"&amp;G$3&amp;"'!"&amp;"$A3:$A36"),_xlfn.XLOOKUP(G$5,INDIRECT("'"&amp;G$3&amp;"'!"&amp;"$C2:$AZ2"),INDIRECT("'"&amp;G$3&amp;"'!"&amp;"$C3:$AZ36")))</f>
        <v>0</v>
      </c>
      <c r="H35" s="37" cm="1">
        <f t="array" aca="1" ref="H35" ca="1">_xlfn.XLOOKUP($B35,INDIRECT("'"&amp;H$3&amp;"'!"&amp;"$A40:$A73"),_xlfn.XLOOKUP(H$5,INDIRECT("'"&amp;H$3&amp;"'!"&amp;"$C2:$AZ2"),INDIRECT("'"&amp;H$3&amp;"'!"&amp;"$C40:$AZ73")))</f>
        <v>0</v>
      </c>
      <c r="I35" s="42">
        <f t="shared" ca="1" si="0"/>
        <v>0</v>
      </c>
      <c r="J35" s="55"/>
    </row>
    <row r="36" spans="1:10" x14ac:dyDescent="0.25">
      <c r="A36" s="54"/>
      <c r="B36" s="39" t="s">
        <v>136</v>
      </c>
      <c r="C36" s="44" t="s">
        <v>137</v>
      </c>
      <c r="D36" s="56"/>
      <c r="E36" s="41" cm="1">
        <f t="array" aca="1" ref="E36" ca="1">_xlfn.XLOOKUP($B36,INDIRECT("'"&amp;E$3&amp;"'!"&amp;"$A3:$A36"),_xlfn.XLOOKUP(E$5,INDIRECT("'"&amp;E$3&amp;"'!"&amp;"$C2:$AZ2"),INDIRECT("'"&amp;E$3&amp;"'!"&amp;"$C3:$AZ36")))</f>
        <v>0</v>
      </c>
      <c r="F36" s="42" cm="1">
        <f t="array" aca="1" ref="F36" ca="1">_xlfn.XLOOKUP($B36,INDIRECT("'"&amp;F$3&amp;"'!"&amp;"$A40:$A73"),_xlfn.XLOOKUP(F$5,INDIRECT("'"&amp;F$3&amp;"'!"&amp;"$C2:$AZ2"),INDIRECT("'"&amp;F$3&amp;"'!"&amp;"$C40:$AZ73")))</f>
        <v>0</v>
      </c>
      <c r="G36" s="43" cm="1">
        <f t="array" aca="1" ref="G36" ca="1">_xlfn.XLOOKUP($B36,INDIRECT("'"&amp;G$3&amp;"'!"&amp;"$A3:$A36"),_xlfn.XLOOKUP(G$5,INDIRECT("'"&amp;G$3&amp;"'!"&amp;"$C2:$AZ2"),INDIRECT("'"&amp;G$3&amp;"'!"&amp;"$C3:$AZ36")))</f>
        <v>0</v>
      </c>
      <c r="H36" s="37" cm="1">
        <f t="array" aca="1" ref="H36" ca="1">_xlfn.XLOOKUP($B36,INDIRECT("'"&amp;H$3&amp;"'!"&amp;"$A40:$A73"),_xlfn.XLOOKUP(H$5,INDIRECT("'"&amp;H$3&amp;"'!"&amp;"$C2:$AZ2"),INDIRECT("'"&amp;H$3&amp;"'!"&amp;"$C40:$AZ73")))</f>
        <v>0</v>
      </c>
      <c r="I36" s="42">
        <f t="shared" ca="1" si="0"/>
        <v>0</v>
      </c>
      <c r="J36" s="55"/>
    </row>
    <row r="37" spans="1:10" x14ac:dyDescent="0.25">
      <c r="A37" s="54"/>
      <c r="B37" s="39" t="s">
        <v>138</v>
      </c>
      <c r="C37" s="44" t="s">
        <v>139</v>
      </c>
      <c r="D37" s="56"/>
      <c r="E37" s="41" cm="1">
        <f t="array" aca="1" ref="E37" ca="1">_xlfn.XLOOKUP($B37,INDIRECT("'"&amp;E$3&amp;"'!"&amp;"$A3:$A36"),_xlfn.XLOOKUP(E$5,INDIRECT("'"&amp;E$3&amp;"'!"&amp;"$C2:$AZ2"),INDIRECT("'"&amp;E$3&amp;"'!"&amp;"$C3:$AZ36")))</f>
        <v>0</v>
      </c>
      <c r="F37" s="42" cm="1">
        <f t="array" aca="1" ref="F37" ca="1">_xlfn.XLOOKUP($B37,INDIRECT("'"&amp;F$3&amp;"'!"&amp;"$A40:$A73"),_xlfn.XLOOKUP(F$5,INDIRECT("'"&amp;F$3&amp;"'!"&amp;"$C2:$AZ2"),INDIRECT("'"&amp;F$3&amp;"'!"&amp;"$C40:$AZ73")))</f>
        <v>0</v>
      </c>
      <c r="G37" s="43" cm="1">
        <f t="array" aca="1" ref="G37" ca="1">_xlfn.XLOOKUP($B37,INDIRECT("'"&amp;G$3&amp;"'!"&amp;"$A3:$A36"),_xlfn.XLOOKUP(G$5,INDIRECT("'"&amp;G$3&amp;"'!"&amp;"$C2:$AZ2"),INDIRECT("'"&amp;G$3&amp;"'!"&amp;"$C3:$AZ36")))</f>
        <v>0</v>
      </c>
      <c r="H37" s="37" cm="1">
        <f t="array" aca="1" ref="H37" ca="1">_xlfn.XLOOKUP($B37,INDIRECT("'"&amp;H$3&amp;"'!"&amp;"$A40:$A73"),_xlfn.XLOOKUP(H$5,INDIRECT("'"&amp;H$3&amp;"'!"&amp;"$C2:$AZ2"),INDIRECT("'"&amp;H$3&amp;"'!"&amp;"$C40:$AZ73")))</f>
        <v>0</v>
      </c>
      <c r="I37" s="42">
        <f t="shared" ca="1" si="0"/>
        <v>0</v>
      </c>
      <c r="J37" s="55"/>
    </row>
    <row r="38" spans="1:10" x14ac:dyDescent="0.25">
      <c r="A38" s="54"/>
      <c r="B38" s="39" t="s">
        <v>140</v>
      </c>
      <c r="C38" s="44" t="s">
        <v>141</v>
      </c>
      <c r="D38" s="56"/>
      <c r="E38" s="41" cm="1">
        <f t="array" aca="1" ref="E38" ca="1">_xlfn.XLOOKUP($B38,INDIRECT("'"&amp;E$3&amp;"'!"&amp;"$A3:$A36"),_xlfn.XLOOKUP(E$5,INDIRECT("'"&amp;E$3&amp;"'!"&amp;"$C2:$AZ2"),INDIRECT("'"&amp;E$3&amp;"'!"&amp;"$C3:$AZ36")))</f>
        <v>0</v>
      </c>
      <c r="F38" s="42" cm="1">
        <f t="array" aca="1" ref="F38" ca="1">_xlfn.XLOOKUP($B38,INDIRECT("'"&amp;F$3&amp;"'!"&amp;"$A40:$A73"),_xlfn.XLOOKUP(F$5,INDIRECT("'"&amp;F$3&amp;"'!"&amp;"$C2:$AZ2"),INDIRECT("'"&amp;F$3&amp;"'!"&amp;"$C40:$AZ73")))</f>
        <v>1</v>
      </c>
      <c r="G38" s="43" cm="1">
        <f t="array" aca="1" ref="G38" ca="1">_xlfn.XLOOKUP($B38,INDIRECT("'"&amp;G$3&amp;"'!"&amp;"$A3:$A36"),_xlfn.XLOOKUP(G$5,INDIRECT("'"&amp;G$3&amp;"'!"&amp;"$C2:$AZ2"),INDIRECT("'"&amp;G$3&amp;"'!"&amp;"$C3:$AZ36")))</f>
        <v>0</v>
      </c>
      <c r="H38" s="37" cm="1">
        <f t="array" aca="1" ref="H38" ca="1">_xlfn.XLOOKUP($B38,INDIRECT("'"&amp;H$3&amp;"'!"&amp;"$A40:$A73"),_xlfn.XLOOKUP(H$5,INDIRECT("'"&amp;H$3&amp;"'!"&amp;"$C2:$AZ2"),INDIRECT("'"&amp;H$3&amp;"'!"&amp;"$C40:$AZ73")))</f>
        <v>0</v>
      </c>
      <c r="I38" s="42">
        <f t="shared" ca="1" si="0"/>
        <v>-1</v>
      </c>
      <c r="J38" s="55"/>
    </row>
    <row r="39" spans="1:10" x14ac:dyDescent="0.25">
      <c r="A39" s="54"/>
      <c r="B39" s="39" t="s">
        <v>142</v>
      </c>
      <c r="C39" s="44" t="s">
        <v>143</v>
      </c>
      <c r="D39" s="56"/>
      <c r="E39" s="45" cm="1">
        <f t="array" aca="1" ref="E39" ca="1">_xlfn.XLOOKUP($B39,INDIRECT("'"&amp;E$3&amp;"'!"&amp;"$A3:$A36"),_xlfn.XLOOKUP(E$5,INDIRECT("'"&amp;E$3&amp;"'!"&amp;"$C2:$AZ2"),INDIRECT("'"&amp;E$3&amp;"'!"&amp;"$C3:$AZ36")))</f>
        <v>0</v>
      </c>
      <c r="F39" s="46" cm="1">
        <f t="array" aca="1" ref="F39" ca="1">_xlfn.XLOOKUP($B39,INDIRECT("'"&amp;F$3&amp;"'!"&amp;"$A40:$A73"),_xlfn.XLOOKUP(F$5,INDIRECT("'"&amp;F$3&amp;"'!"&amp;"$C2:$AZ2"),INDIRECT("'"&amp;F$3&amp;"'!"&amp;"$C40:$AZ73")))</f>
        <v>1</v>
      </c>
      <c r="G39" s="47" cm="1">
        <f t="array" aca="1" ref="G39" ca="1">_xlfn.XLOOKUP($B39,INDIRECT("'"&amp;G$3&amp;"'!"&amp;"$A3:$A36"),_xlfn.XLOOKUP(G$5,INDIRECT("'"&amp;G$3&amp;"'!"&amp;"$C2:$AZ2"),INDIRECT("'"&amp;G$3&amp;"'!"&amp;"$C3:$AZ36")))</f>
        <v>0</v>
      </c>
      <c r="H39" s="48" cm="1">
        <f t="array" aca="1" ref="H39" ca="1">_xlfn.XLOOKUP($B39,INDIRECT("'"&amp;H$3&amp;"'!"&amp;"$A40:$A73"),_xlfn.XLOOKUP(H$5,INDIRECT("'"&amp;H$3&amp;"'!"&amp;"$C2:$AZ2"),INDIRECT("'"&amp;H$3&amp;"'!"&amp;"$C40:$AZ73")))</f>
        <v>0</v>
      </c>
      <c r="I39" s="46">
        <f t="shared" ca="1" si="0"/>
        <v>-1</v>
      </c>
      <c r="J39" s="55"/>
    </row>
    <row r="40" spans="1:10" ht="15.75" thickBot="1" x14ac:dyDescent="0.3">
      <c r="A40" s="54"/>
      <c r="B40" s="49" t="s">
        <v>144</v>
      </c>
      <c r="C40" s="50" t="s">
        <v>145</v>
      </c>
      <c r="D40" s="56"/>
      <c r="E40" s="41" cm="1">
        <f t="array" aca="1" ref="E40" ca="1">_xlfn.XLOOKUP($B40,INDIRECT("'"&amp;E$3&amp;"'!"&amp;"$A3:$A36"),_xlfn.XLOOKUP(E$5,INDIRECT("'"&amp;E$3&amp;"'!"&amp;"$C2:$AZ2"),INDIRECT("'"&amp;E$3&amp;"'!"&amp;"$C3:$AZ36")))</f>
        <v>0</v>
      </c>
      <c r="F40" s="42" cm="1">
        <f t="array" aca="1" ref="F40" ca="1">_xlfn.XLOOKUP($B40,INDIRECT("'"&amp;F$3&amp;"'!"&amp;"$A40:$A73"),_xlfn.XLOOKUP(F$5,INDIRECT("'"&amp;F$3&amp;"'!"&amp;"$C2:$AZ2"),INDIRECT("'"&amp;F$3&amp;"'!"&amp;"$C40:$AZ73")))</f>
        <v>1</v>
      </c>
      <c r="G40" s="43" cm="1">
        <f t="array" aca="1" ref="G40" ca="1">_xlfn.XLOOKUP($B40,INDIRECT("'"&amp;G$3&amp;"'!"&amp;"$A3:$A36"),_xlfn.XLOOKUP(G$5,INDIRECT("'"&amp;G$3&amp;"'!"&amp;"$C2:$AZ2"),INDIRECT("'"&amp;G$3&amp;"'!"&amp;"$C3:$AZ36")))</f>
        <v>0</v>
      </c>
      <c r="H40" s="37" cm="1">
        <f t="array" aca="1" ref="H40" ca="1">_xlfn.XLOOKUP($B40,INDIRECT("'"&amp;H$3&amp;"'!"&amp;"$A40:$A73"),_xlfn.XLOOKUP(H$5,INDIRECT("'"&amp;H$3&amp;"'!"&amp;"$C2:$AZ2"),INDIRECT("'"&amp;H$3&amp;"'!"&amp;"$C40:$AZ73")))</f>
        <v>4</v>
      </c>
      <c r="I40" s="42">
        <f t="shared" ref="I40" ca="1" si="1">H40-F40</f>
        <v>3</v>
      </c>
      <c r="J40" s="55"/>
    </row>
    <row r="41" spans="1:10" ht="15.75" thickBot="1" x14ac:dyDescent="0.3">
      <c r="A41" s="54"/>
      <c r="B41" s="85" t="s">
        <v>75</v>
      </c>
      <c r="C41" s="85"/>
      <c r="D41" s="69"/>
      <c r="E41" s="68">
        <f ca="1">SUM(E7:E40)</f>
        <v>3</v>
      </c>
      <c r="F41" s="68">
        <f t="shared" ref="F41:I41" ca="1" si="2">SUM(F7:F40)</f>
        <v>88</v>
      </c>
      <c r="G41" s="74">
        <f t="shared" ca="1" si="2"/>
        <v>7</v>
      </c>
      <c r="H41" s="68">
        <f t="shared" ca="1" si="2"/>
        <v>51</v>
      </c>
      <c r="I41" s="68">
        <f t="shared" ca="1" si="2"/>
        <v>-37</v>
      </c>
      <c r="J41" s="55"/>
    </row>
    <row r="42" spans="1:10" ht="23.25" customHeight="1" thickBot="1" x14ac:dyDescent="0.3">
      <c r="A42" s="57"/>
      <c r="B42" s="58" t="s">
        <v>76</v>
      </c>
      <c r="C42" s="58"/>
      <c r="D42" s="58"/>
      <c r="E42" s="58"/>
      <c r="F42" s="58"/>
      <c r="G42" s="58"/>
      <c r="H42" s="58"/>
      <c r="I42" s="58"/>
      <c r="J42" s="59"/>
    </row>
  </sheetData>
  <mergeCells count="4">
    <mergeCell ref="E2:I2"/>
    <mergeCell ref="E4:F4"/>
    <mergeCell ref="G4:I4"/>
    <mergeCell ref="B41:C41"/>
  </mergeCells>
  <pageMargins left="0.7" right="0.7" top="0.75" bottom="0.75" header="0.3" footer="0.3"/>
  <ignoredErrors>
    <ignoredError sqref="G7:G40 F7:F4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AA93-CDE3-4C0D-AEA9-1CF21F48B4C5}">
  <sheetPr>
    <tabColor rgb="FF00B0F0"/>
  </sheetPr>
  <dimension ref="A1:J50"/>
  <sheetViews>
    <sheetView zoomScale="90" zoomScaleNormal="90" workbookViewId="0">
      <selection activeCell="L60" sqref="L60"/>
    </sheetView>
  </sheetViews>
  <sheetFormatPr defaultRowHeight="15" x14ac:dyDescent="0.25"/>
  <cols>
    <col min="1" max="1" width="2.42578125" customWidth="1"/>
    <col min="3" max="3" width="28.140625" bestFit="1" customWidth="1"/>
    <col min="4" max="4" width="1.85546875" customWidth="1"/>
    <col min="10" max="10" width="1.85546875" customWidth="1"/>
  </cols>
  <sheetData>
    <row r="1" spans="1:10" ht="15.75" thickBot="1" x14ac:dyDescent="0.3">
      <c r="A1" s="51"/>
      <c r="B1" s="52"/>
      <c r="C1" s="52"/>
      <c r="D1" s="52"/>
      <c r="E1" s="52"/>
      <c r="F1" s="52"/>
      <c r="G1" s="52"/>
      <c r="H1" s="52"/>
      <c r="I1" s="52"/>
      <c r="J1" s="53"/>
    </row>
    <row r="2" spans="1:10" ht="15.75" thickBot="1" x14ac:dyDescent="0.3">
      <c r="A2" s="54"/>
      <c r="B2" s="21"/>
      <c r="C2" s="21"/>
      <c r="E2" s="88" t="s">
        <v>0</v>
      </c>
      <c r="F2" s="88"/>
      <c r="G2" s="88"/>
      <c r="H2" s="88"/>
      <c r="I2" s="88"/>
      <c r="J2" s="55"/>
    </row>
    <row r="3" spans="1:10" ht="15.75" hidden="1" thickBot="1" x14ac:dyDescent="0.3">
      <c r="A3" s="54"/>
      <c r="B3" s="21"/>
      <c r="C3" s="21"/>
      <c r="E3" s="79" t="s">
        <v>146</v>
      </c>
      <c r="F3" s="79" t="s">
        <v>146</v>
      </c>
      <c r="G3" s="79" t="s">
        <v>146</v>
      </c>
      <c r="H3" s="79" t="s">
        <v>146</v>
      </c>
      <c r="I3" s="79" t="s">
        <v>146</v>
      </c>
      <c r="J3" s="55"/>
    </row>
    <row r="4" spans="1:10" ht="15.75" thickBot="1" x14ac:dyDescent="0.3">
      <c r="A4" s="54"/>
      <c r="B4" s="21"/>
      <c r="C4" s="21"/>
      <c r="E4" s="88" t="s">
        <v>2</v>
      </c>
      <c r="F4" s="88"/>
      <c r="G4" s="88" t="s">
        <v>3</v>
      </c>
      <c r="H4" s="88"/>
      <c r="I4" s="88"/>
      <c r="J4" s="55"/>
    </row>
    <row r="5" spans="1:10" ht="15.75" hidden="1" thickBot="1" x14ac:dyDescent="0.3">
      <c r="A5" s="54"/>
      <c r="B5" s="21"/>
      <c r="C5" s="21"/>
      <c r="E5" s="79" t="str">
        <f>E6&amp;", "&amp;E4</f>
        <v>MAY, FY24</v>
      </c>
      <c r="F5" s="79" t="str">
        <f>E6&amp;", "&amp;E4</f>
        <v>MAY, FY24</v>
      </c>
      <c r="G5" s="79" t="str">
        <f>G6&amp;", "&amp;G4</f>
        <v>MAY, FY25</v>
      </c>
      <c r="H5" s="79" t="str">
        <f>G6&amp;", "&amp;G4</f>
        <v>MAY, FY25</v>
      </c>
      <c r="I5" s="79"/>
      <c r="J5" s="55"/>
    </row>
    <row r="6" spans="1:10" ht="27.75" thickBot="1" x14ac:dyDescent="0.3">
      <c r="A6" s="54"/>
      <c r="B6" s="25" t="s">
        <v>4</v>
      </c>
      <c r="C6" s="25" t="s">
        <v>5</v>
      </c>
      <c r="E6" s="80" t="s">
        <v>6</v>
      </c>
      <c r="F6" s="80" t="s">
        <v>7</v>
      </c>
      <c r="G6" s="80" t="s">
        <v>6</v>
      </c>
      <c r="H6" s="80" t="s">
        <v>7</v>
      </c>
      <c r="I6" s="80" t="s">
        <v>8</v>
      </c>
      <c r="J6" s="55"/>
    </row>
    <row r="7" spans="1:10" x14ac:dyDescent="0.25">
      <c r="A7" s="54"/>
      <c r="B7" s="70" t="s">
        <v>147</v>
      </c>
      <c r="C7" s="44" t="s">
        <v>148</v>
      </c>
      <c r="D7" s="56"/>
      <c r="E7" s="34" cm="1">
        <f t="array" aca="1" ref="E7" ca="1">_xlfn.XLOOKUP($B7,INDIRECT("'"&amp;E$3&amp;"'!"&amp;"$A3:$A44"),_xlfn.XLOOKUP(E$5,INDIRECT("'"&amp;E$3&amp;"'!"&amp;"$C2:$AZ2"),INDIRECT("'"&amp;E$3&amp;"'!"&amp;"$C3:$AZ44")))</f>
        <v>0</v>
      </c>
      <c r="F7" s="35" cm="1">
        <f t="array" aca="1" ref="F7" ca="1">_xlfn.XLOOKUP($B7,INDIRECT("'"&amp;F$3&amp;"'!"&amp;"$A48:$A89"),_xlfn.XLOOKUP(F$5,INDIRECT("'"&amp;F$3&amp;"'!"&amp;"$C2:$AZ2"),INDIRECT("'"&amp;F$3&amp;"'!"&amp;"$C48:$AZ89")))</f>
        <v>0</v>
      </c>
      <c r="G7" s="36" cm="1">
        <f t="array" aca="1" ref="G7" ca="1">_xlfn.XLOOKUP($B7,INDIRECT("'"&amp;G$3&amp;"'!"&amp;"$A3:$A44"),_xlfn.XLOOKUP(G$5,INDIRECT("'"&amp;G$3&amp;"'!"&amp;"$C2:$AZ2"),INDIRECT("'"&amp;G$3&amp;"'!"&amp;"$C3:$AZ44")))</f>
        <v>0</v>
      </c>
      <c r="H7" s="37" cm="1">
        <f t="array" aca="1" ref="H7" ca="1">_xlfn.XLOOKUP($B7,INDIRECT("'"&amp;H$3&amp;"'!"&amp;"$A48:$A89"),_xlfn.XLOOKUP(H$5,INDIRECT("'"&amp;H$3&amp;"'!"&amp;"$C2:$AZ2"),INDIRECT("'"&amp;H$3&amp;"'!"&amp;"$C48:$AZ89")))</f>
        <v>0</v>
      </c>
      <c r="I7" s="38">
        <f ca="1">H7-F7</f>
        <v>0</v>
      </c>
      <c r="J7" s="55"/>
    </row>
    <row r="8" spans="1:10" x14ac:dyDescent="0.25">
      <c r="A8" s="54"/>
      <c r="B8" s="70" t="s">
        <v>149</v>
      </c>
      <c r="C8" s="44" t="s">
        <v>150</v>
      </c>
      <c r="D8" s="56"/>
      <c r="E8" s="41" cm="1">
        <f t="array" aca="1" ref="E8" ca="1">_xlfn.XLOOKUP($B8,INDIRECT("'"&amp;E$3&amp;"'!"&amp;"$A3:$A44"),_xlfn.XLOOKUP(E$5,INDIRECT("'"&amp;E$3&amp;"'!"&amp;"$C2:$AZ2"),INDIRECT("'"&amp;E$3&amp;"'!"&amp;"$C3:$AZ44")))</f>
        <v>0</v>
      </c>
      <c r="F8" s="42" cm="1">
        <f t="array" aca="1" ref="F8" ca="1">_xlfn.XLOOKUP($B8,INDIRECT("'"&amp;F$3&amp;"'!"&amp;"$A48:$A89"),_xlfn.XLOOKUP(F$5,INDIRECT("'"&amp;F$3&amp;"'!"&amp;"$C2:$AZ2"),INDIRECT("'"&amp;F$3&amp;"'!"&amp;"$C48:$AZ89")))</f>
        <v>1</v>
      </c>
      <c r="G8" s="43" cm="1">
        <f t="array" aca="1" ref="G8" ca="1">_xlfn.XLOOKUP($B8,INDIRECT("'"&amp;G$3&amp;"'!"&amp;"$A3:$A44"),_xlfn.XLOOKUP(G$5,INDIRECT("'"&amp;G$3&amp;"'!"&amp;"$C2:$AZ2"),INDIRECT("'"&amp;G$3&amp;"'!"&amp;"$C3:$AZ44")))</f>
        <v>0</v>
      </c>
      <c r="H8" s="37" cm="1">
        <f t="array" aca="1" ref="H8" ca="1">_xlfn.XLOOKUP($B8,INDIRECT("'"&amp;H$3&amp;"'!"&amp;"$A48:$A89"),_xlfn.XLOOKUP(H$5,INDIRECT("'"&amp;H$3&amp;"'!"&amp;"$C2:$AZ2"),INDIRECT("'"&amp;H$3&amp;"'!"&amp;"$C48:$AZ89")))</f>
        <v>0</v>
      </c>
      <c r="I8" s="42">
        <f t="shared" ref="I8:I39" ca="1" si="0">H8-F8</f>
        <v>-1</v>
      </c>
      <c r="J8" s="55"/>
    </row>
    <row r="9" spans="1:10" x14ac:dyDescent="0.25">
      <c r="A9" s="54"/>
      <c r="B9" s="70" t="s">
        <v>151</v>
      </c>
      <c r="C9" s="44" t="s">
        <v>152</v>
      </c>
      <c r="D9" s="56"/>
      <c r="E9" s="41" cm="1">
        <f t="array" aca="1" ref="E9" ca="1">_xlfn.XLOOKUP($B9,INDIRECT("'"&amp;E$3&amp;"'!"&amp;"$A3:$A44"),_xlfn.XLOOKUP(E$5,INDIRECT("'"&amp;E$3&amp;"'!"&amp;"$C2:$AZ2"),INDIRECT("'"&amp;E$3&amp;"'!"&amp;"$C3:$AZ44")))</f>
        <v>0</v>
      </c>
      <c r="F9" s="42" cm="1">
        <f t="array" aca="1" ref="F9" ca="1">_xlfn.XLOOKUP($B9,INDIRECT("'"&amp;F$3&amp;"'!"&amp;"$A48:$A89"),_xlfn.XLOOKUP(F$5,INDIRECT("'"&amp;F$3&amp;"'!"&amp;"$C2:$AZ2"),INDIRECT("'"&amp;F$3&amp;"'!"&amp;"$C48:$AZ89")))</f>
        <v>3</v>
      </c>
      <c r="G9" s="43" cm="1">
        <f t="array" aca="1" ref="G9" ca="1">_xlfn.XLOOKUP($B9,INDIRECT("'"&amp;G$3&amp;"'!"&amp;"$A3:$A44"),_xlfn.XLOOKUP(G$5,INDIRECT("'"&amp;G$3&amp;"'!"&amp;"$C2:$AZ2"),INDIRECT("'"&amp;G$3&amp;"'!"&amp;"$C3:$AZ44")))</f>
        <v>0</v>
      </c>
      <c r="H9" s="37" cm="1">
        <f t="array" aca="1" ref="H9" ca="1">_xlfn.XLOOKUP($B9,INDIRECT("'"&amp;H$3&amp;"'!"&amp;"$A48:$A89"),_xlfn.XLOOKUP(H$5,INDIRECT("'"&amp;H$3&amp;"'!"&amp;"$C2:$AZ2"),INDIRECT("'"&amp;H$3&amp;"'!"&amp;"$C48:$AZ89")))</f>
        <v>2</v>
      </c>
      <c r="I9" s="42">
        <f t="shared" ca="1" si="0"/>
        <v>-1</v>
      </c>
      <c r="J9" s="55"/>
    </row>
    <row r="10" spans="1:10" x14ac:dyDescent="0.25">
      <c r="A10" s="54"/>
      <c r="B10" s="70" t="s">
        <v>153</v>
      </c>
      <c r="C10" s="44" t="s">
        <v>154</v>
      </c>
      <c r="D10" s="56"/>
      <c r="E10" s="41" cm="1">
        <f t="array" aca="1" ref="E10" ca="1">_xlfn.XLOOKUP($B10,INDIRECT("'"&amp;E$3&amp;"'!"&amp;"$A3:$A44"),_xlfn.XLOOKUP(E$5,INDIRECT("'"&amp;E$3&amp;"'!"&amp;"$C2:$AZ2"),INDIRECT("'"&amp;E$3&amp;"'!"&amp;"$C3:$AZ44")))</f>
        <v>0</v>
      </c>
      <c r="F10" s="42" cm="1">
        <f t="array" aca="1" ref="F10" ca="1">_xlfn.XLOOKUP($B10,INDIRECT("'"&amp;F$3&amp;"'!"&amp;"$A48:$A89"),_xlfn.XLOOKUP(F$5,INDIRECT("'"&amp;F$3&amp;"'!"&amp;"$C2:$AZ2"),INDIRECT("'"&amp;F$3&amp;"'!"&amp;"$C48:$AZ89")))</f>
        <v>0</v>
      </c>
      <c r="G10" s="43" cm="1">
        <f t="array" aca="1" ref="G10" ca="1">_xlfn.XLOOKUP($B10,INDIRECT("'"&amp;G$3&amp;"'!"&amp;"$A3:$A44"),_xlfn.XLOOKUP(G$5,INDIRECT("'"&amp;G$3&amp;"'!"&amp;"$C2:$AZ2"),INDIRECT("'"&amp;G$3&amp;"'!"&amp;"$C3:$AZ44")))</f>
        <v>0</v>
      </c>
      <c r="H10" s="37" cm="1">
        <f t="array" aca="1" ref="H10" ca="1">_xlfn.XLOOKUP($B10,INDIRECT("'"&amp;H$3&amp;"'!"&amp;"$A48:$A89"),_xlfn.XLOOKUP(H$5,INDIRECT("'"&amp;H$3&amp;"'!"&amp;"$C2:$AZ2"),INDIRECT("'"&amp;H$3&amp;"'!"&amp;"$C48:$AZ89")))</f>
        <v>0</v>
      </c>
      <c r="I10" s="42">
        <f t="shared" ca="1" si="0"/>
        <v>0</v>
      </c>
      <c r="J10" s="55"/>
    </row>
    <row r="11" spans="1:10" x14ac:dyDescent="0.25">
      <c r="A11" s="54"/>
      <c r="B11" s="70" t="s">
        <v>155</v>
      </c>
      <c r="C11" s="44" t="s">
        <v>156</v>
      </c>
      <c r="D11" s="56"/>
      <c r="E11" s="41" cm="1">
        <f t="array" aca="1" ref="E11" ca="1">_xlfn.XLOOKUP($B11,INDIRECT("'"&amp;E$3&amp;"'!"&amp;"$A3:$A44"),_xlfn.XLOOKUP(E$5,INDIRECT("'"&amp;E$3&amp;"'!"&amp;"$C2:$AZ2"),INDIRECT("'"&amp;E$3&amp;"'!"&amp;"$C3:$AZ44")))</f>
        <v>3</v>
      </c>
      <c r="F11" s="42" cm="1">
        <f t="array" aca="1" ref="F11" ca="1">_xlfn.XLOOKUP($B11,INDIRECT("'"&amp;F$3&amp;"'!"&amp;"$A48:$A89"),_xlfn.XLOOKUP(F$5,INDIRECT("'"&amp;F$3&amp;"'!"&amp;"$C2:$AZ2"),INDIRECT("'"&amp;F$3&amp;"'!"&amp;"$C48:$AZ89")))</f>
        <v>11</v>
      </c>
      <c r="G11" s="43" cm="1">
        <f t="array" aca="1" ref="G11" ca="1">_xlfn.XLOOKUP($B11,INDIRECT("'"&amp;G$3&amp;"'!"&amp;"$A3:$A44"),_xlfn.XLOOKUP(G$5,INDIRECT("'"&amp;G$3&amp;"'!"&amp;"$C2:$AZ2"),INDIRECT("'"&amp;G$3&amp;"'!"&amp;"$C3:$AZ44")))</f>
        <v>1</v>
      </c>
      <c r="H11" s="37" cm="1">
        <f t="array" aca="1" ref="H11" ca="1">_xlfn.XLOOKUP($B11,INDIRECT("'"&amp;H$3&amp;"'!"&amp;"$A48:$A89"),_xlfn.XLOOKUP(H$5,INDIRECT("'"&amp;H$3&amp;"'!"&amp;"$C2:$AZ2"),INDIRECT("'"&amp;H$3&amp;"'!"&amp;"$C48:$AZ89")))</f>
        <v>8</v>
      </c>
      <c r="I11" s="42">
        <f t="shared" ca="1" si="0"/>
        <v>-3</v>
      </c>
      <c r="J11" s="55"/>
    </row>
    <row r="12" spans="1:10" x14ac:dyDescent="0.25">
      <c r="A12" s="54"/>
      <c r="B12" s="70" t="s">
        <v>157</v>
      </c>
      <c r="C12" s="44" t="s">
        <v>158</v>
      </c>
      <c r="D12" s="56"/>
      <c r="E12" s="41" cm="1">
        <f t="array" aca="1" ref="E12" ca="1">_xlfn.XLOOKUP($B12,INDIRECT("'"&amp;E$3&amp;"'!"&amp;"$A3:$A44"),_xlfn.XLOOKUP(E$5,INDIRECT("'"&amp;E$3&amp;"'!"&amp;"$C2:$AZ2"),INDIRECT("'"&amp;E$3&amp;"'!"&amp;"$C3:$AZ44")))</f>
        <v>0</v>
      </c>
      <c r="F12" s="42" cm="1">
        <f t="array" aca="1" ref="F12" ca="1">_xlfn.XLOOKUP($B12,INDIRECT("'"&amp;F$3&amp;"'!"&amp;"$A48:$A89"),_xlfn.XLOOKUP(F$5,INDIRECT("'"&amp;F$3&amp;"'!"&amp;"$C2:$AZ2"),INDIRECT("'"&amp;F$3&amp;"'!"&amp;"$C48:$AZ89")))</f>
        <v>0</v>
      </c>
      <c r="G12" s="43" cm="1">
        <f t="array" aca="1" ref="G12" ca="1">_xlfn.XLOOKUP($B12,INDIRECT("'"&amp;G$3&amp;"'!"&amp;"$A3:$A44"),_xlfn.XLOOKUP(G$5,INDIRECT("'"&amp;G$3&amp;"'!"&amp;"$C2:$AZ2"),INDIRECT("'"&amp;G$3&amp;"'!"&amp;"$C3:$AZ44")))</f>
        <v>0</v>
      </c>
      <c r="H12" s="37" cm="1">
        <f t="array" aca="1" ref="H12" ca="1">_xlfn.XLOOKUP($B12,INDIRECT("'"&amp;H$3&amp;"'!"&amp;"$A48:$A89"),_xlfn.XLOOKUP(H$5,INDIRECT("'"&amp;H$3&amp;"'!"&amp;"$C2:$AZ2"),INDIRECT("'"&amp;H$3&amp;"'!"&amp;"$C48:$AZ89")))</f>
        <v>0</v>
      </c>
      <c r="I12" s="42">
        <f t="shared" ca="1" si="0"/>
        <v>0</v>
      </c>
      <c r="J12" s="55"/>
    </row>
    <row r="13" spans="1:10" x14ac:dyDescent="0.25">
      <c r="A13" s="54"/>
      <c r="B13" s="70" t="s">
        <v>159</v>
      </c>
      <c r="C13" s="44" t="s">
        <v>160</v>
      </c>
      <c r="D13" s="56"/>
      <c r="E13" s="41" cm="1">
        <f t="array" aca="1" ref="E13" ca="1">_xlfn.XLOOKUP($B13,INDIRECT("'"&amp;E$3&amp;"'!"&amp;"$A3:$A44"),_xlfn.XLOOKUP(E$5,INDIRECT("'"&amp;E$3&amp;"'!"&amp;"$C2:$AZ2"),INDIRECT("'"&amp;E$3&amp;"'!"&amp;"$C3:$AZ44")))</f>
        <v>0</v>
      </c>
      <c r="F13" s="42" cm="1">
        <f t="array" aca="1" ref="F13" ca="1">_xlfn.XLOOKUP($B13,INDIRECT("'"&amp;F$3&amp;"'!"&amp;"$A48:$A89"),_xlfn.XLOOKUP(F$5,INDIRECT("'"&amp;F$3&amp;"'!"&amp;"$C2:$AZ2"),INDIRECT("'"&amp;F$3&amp;"'!"&amp;"$C48:$AZ89")))</f>
        <v>0</v>
      </c>
      <c r="G13" s="43" cm="1">
        <f t="array" aca="1" ref="G13" ca="1">_xlfn.XLOOKUP($B13,INDIRECT("'"&amp;G$3&amp;"'!"&amp;"$A3:$A44"),_xlfn.XLOOKUP(G$5,INDIRECT("'"&amp;G$3&amp;"'!"&amp;"$C2:$AZ2"),INDIRECT("'"&amp;G$3&amp;"'!"&amp;"$C3:$AZ44")))</f>
        <v>0</v>
      </c>
      <c r="H13" s="37" cm="1">
        <f t="array" aca="1" ref="H13" ca="1">_xlfn.XLOOKUP($B13,INDIRECT("'"&amp;H$3&amp;"'!"&amp;"$A48:$A89"),_xlfn.XLOOKUP(H$5,INDIRECT("'"&amp;H$3&amp;"'!"&amp;"$C2:$AZ2"),INDIRECT("'"&amp;H$3&amp;"'!"&amp;"$C48:$AZ89")))</f>
        <v>0</v>
      </c>
      <c r="I13" s="42">
        <f t="shared" ca="1" si="0"/>
        <v>0</v>
      </c>
      <c r="J13" s="55"/>
    </row>
    <row r="14" spans="1:10" x14ac:dyDescent="0.25">
      <c r="A14" s="54"/>
      <c r="B14" s="70" t="s">
        <v>161</v>
      </c>
      <c r="C14" s="44" t="s">
        <v>162</v>
      </c>
      <c r="D14" s="56"/>
      <c r="E14" s="41" cm="1">
        <f t="array" aca="1" ref="E14" ca="1">_xlfn.XLOOKUP($B14,INDIRECT("'"&amp;E$3&amp;"'!"&amp;"$A3:$A44"),_xlfn.XLOOKUP(E$5,INDIRECT("'"&amp;E$3&amp;"'!"&amp;"$C2:$AZ2"),INDIRECT("'"&amp;E$3&amp;"'!"&amp;"$C3:$AZ44")))</f>
        <v>0</v>
      </c>
      <c r="F14" s="42" cm="1">
        <f t="array" aca="1" ref="F14" ca="1">_xlfn.XLOOKUP($B14,INDIRECT("'"&amp;F$3&amp;"'!"&amp;"$A48:$A89"),_xlfn.XLOOKUP(F$5,INDIRECT("'"&amp;F$3&amp;"'!"&amp;"$C2:$AZ2"),INDIRECT("'"&amp;F$3&amp;"'!"&amp;"$C48:$AZ89")))</f>
        <v>2</v>
      </c>
      <c r="G14" s="43" cm="1">
        <f t="array" aca="1" ref="G14" ca="1">_xlfn.XLOOKUP($B14,INDIRECT("'"&amp;G$3&amp;"'!"&amp;"$A3:$A44"),_xlfn.XLOOKUP(G$5,INDIRECT("'"&amp;G$3&amp;"'!"&amp;"$C2:$AZ2"),INDIRECT("'"&amp;G$3&amp;"'!"&amp;"$C3:$AZ44")))</f>
        <v>0</v>
      </c>
      <c r="H14" s="37" cm="1">
        <f t="array" aca="1" ref="H14" ca="1">_xlfn.XLOOKUP($B14,INDIRECT("'"&amp;H$3&amp;"'!"&amp;"$A48:$A89"),_xlfn.XLOOKUP(H$5,INDIRECT("'"&amp;H$3&amp;"'!"&amp;"$C2:$AZ2"),INDIRECT("'"&amp;H$3&amp;"'!"&amp;"$C48:$AZ89")))</f>
        <v>4</v>
      </c>
      <c r="I14" s="42">
        <f t="shared" ca="1" si="0"/>
        <v>2</v>
      </c>
      <c r="J14" s="55"/>
    </row>
    <row r="15" spans="1:10" x14ac:dyDescent="0.25">
      <c r="A15" s="54"/>
      <c r="B15" s="70" t="s">
        <v>163</v>
      </c>
      <c r="C15" s="44" t="s">
        <v>164</v>
      </c>
      <c r="D15" s="56"/>
      <c r="E15" s="41" cm="1">
        <f t="array" aca="1" ref="E15" ca="1">_xlfn.XLOOKUP($B15,INDIRECT("'"&amp;E$3&amp;"'!"&amp;"$A3:$A44"),_xlfn.XLOOKUP(E$5,INDIRECT("'"&amp;E$3&amp;"'!"&amp;"$C2:$AZ2"),INDIRECT("'"&amp;E$3&amp;"'!"&amp;"$C3:$AZ44")))</f>
        <v>0</v>
      </c>
      <c r="F15" s="42" cm="1">
        <f t="array" aca="1" ref="F15" ca="1">_xlfn.XLOOKUP($B15,INDIRECT("'"&amp;F$3&amp;"'!"&amp;"$A48:$A89"),_xlfn.XLOOKUP(F$5,INDIRECT("'"&amp;F$3&amp;"'!"&amp;"$C2:$AZ2"),INDIRECT("'"&amp;F$3&amp;"'!"&amp;"$C48:$AZ89")))</f>
        <v>1</v>
      </c>
      <c r="G15" s="43" cm="1">
        <f t="array" aca="1" ref="G15" ca="1">_xlfn.XLOOKUP($B15,INDIRECT("'"&amp;G$3&amp;"'!"&amp;"$A3:$A44"),_xlfn.XLOOKUP(G$5,INDIRECT("'"&amp;G$3&amp;"'!"&amp;"$C2:$AZ2"),INDIRECT("'"&amp;G$3&amp;"'!"&amp;"$C3:$AZ44")))</f>
        <v>0</v>
      </c>
      <c r="H15" s="37" cm="1">
        <f t="array" aca="1" ref="H15" ca="1">_xlfn.XLOOKUP($B15,INDIRECT("'"&amp;H$3&amp;"'!"&amp;"$A48:$A89"),_xlfn.XLOOKUP(H$5,INDIRECT("'"&amp;H$3&amp;"'!"&amp;"$C2:$AZ2"),INDIRECT("'"&amp;H$3&amp;"'!"&amp;"$C48:$AZ89")))</f>
        <v>0</v>
      </c>
      <c r="I15" s="42">
        <f t="shared" ca="1" si="0"/>
        <v>-1</v>
      </c>
      <c r="J15" s="55"/>
    </row>
    <row r="16" spans="1:10" x14ac:dyDescent="0.25">
      <c r="A16" s="54"/>
      <c r="B16" s="70" t="s">
        <v>165</v>
      </c>
      <c r="C16" s="44" t="s">
        <v>166</v>
      </c>
      <c r="D16" s="56"/>
      <c r="E16" s="41" cm="1">
        <f t="array" aca="1" ref="E16" ca="1">_xlfn.XLOOKUP($B16,INDIRECT("'"&amp;E$3&amp;"'!"&amp;"$A3:$A44"),_xlfn.XLOOKUP(E$5,INDIRECT("'"&amp;E$3&amp;"'!"&amp;"$C2:$AZ2"),INDIRECT("'"&amp;E$3&amp;"'!"&amp;"$C3:$AZ44")))</f>
        <v>0</v>
      </c>
      <c r="F16" s="42" cm="1">
        <f t="array" aca="1" ref="F16" ca="1">_xlfn.XLOOKUP($B16,INDIRECT("'"&amp;F$3&amp;"'!"&amp;"$A48:$A89"),_xlfn.XLOOKUP(F$5,INDIRECT("'"&amp;F$3&amp;"'!"&amp;"$C2:$AZ2"),INDIRECT("'"&amp;F$3&amp;"'!"&amp;"$C48:$AZ89")))</f>
        <v>1</v>
      </c>
      <c r="G16" s="43" cm="1">
        <f t="array" aca="1" ref="G16" ca="1">_xlfn.XLOOKUP($B16,INDIRECT("'"&amp;G$3&amp;"'!"&amp;"$A3:$A44"),_xlfn.XLOOKUP(G$5,INDIRECT("'"&amp;G$3&amp;"'!"&amp;"$C2:$AZ2"),INDIRECT("'"&amp;G$3&amp;"'!"&amp;"$C3:$AZ44")))</f>
        <v>0</v>
      </c>
      <c r="H16" s="37" cm="1">
        <f t="array" aca="1" ref="H16" ca="1">_xlfn.XLOOKUP($B16,INDIRECT("'"&amp;H$3&amp;"'!"&amp;"$A48:$A89"),_xlfn.XLOOKUP(H$5,INDIRECT("'"&amp;H$3&amp;"'!"&amp;"$C2:$AZ2"),INDIRECT("'"&amp;H$3&amp;"'!"&amp;"$C48:$AZ89")))</f>
        <v>0</v>
      </c>
      <c r="I16" s="42">
        <f t="shared" ca="1" si="0"/>
        <v>-1</v>
      </c>
      <c r="J16" s="55"/>
    </row>
    <row r="17" spans="1:10" x14ac:dyDescent="0.25">
      <c r="A17" s="54"/>
      <c r="B17" s="70" t="s">
        <v>167</v>
      </c>
      <c r="C17" s="44" t="s">
        <v>168</v>
      </c>
      <c r="D17" s="56"/>
      <c r="E17" s="41" cm="1">
        <f t="array" aca="1" ref="E17" ca="1">_xlfn.XLOOKUP($B17,INDIRECT("'"&amp;E$3&amp;"'!"&amp;"$A3:$A44"),_xlfn.XLOOKUP(E$5,INDIRECT("'"&amp;E$3&amp;"'!"&amp;"$C2:$AZ2"),INDIRECT("'"&amp;E$3&amp;"'!"&amp;"$C3:$AZ44")))</f>
        <v>0</v>
      </c>
      <c r="F17" s="42" cm="1">
        <f t="array" aca="1" ref="F17" ca="1">_xlfn.XLOOKUP($B17,INDIRECT("'"&amp;F$3&amp;"'!"&amp;"$A48:$A89"),_xlfn.XLOOKUP(F$5,INDIRECT("'"&amp;F$3&amp;"'!"&amp;"$C2:$AZ2"),INDIRECT("'"&amp;F$3&amp;"'!"&amp;"$C48:$AZ89")))</f>
        <v>1</v>
      </c>
      <c r="G17" s="43" cm="1">
        <f t="array" aca="1" ref="G17" ca="1">_xlfn.XLOOKUP($B17,INDIRECT("'"&amp;G$3&amp;"'!"&amp;"$A3:$A44"),_xlfn.XLOOKUP(G$5,INDIRECT("'"&amp;G$3&amp;"'!"&amp;"$C2:$AZ2"),INDIRECT("'"&amp;G$3&amp;"'!"&amp;"$C3:$AZ44")))</f>
        <v>0</v>
      </c>
      <c r="H17" s="37" cm="1">
        <f t="array" aca="1" ref="H17" ca="1">_xlfn.XLOOKUP($B17,INDIRECT("'"&amp;H$3&amp;"'!"&amp;"$A48:$A89"),_xlfn.XLOOKUP(H$5,INDIRECT("'"&amp;H$3&amp;"'!"&amp;"$C2:$AZ2"),INDIRECT("'"&amp;H$3&amp;"'!"&amp;"$C48:$AZ89")))</f>
        <v>1</v>
      </c>
      <c r="I17" s="42">
        <f t="shared" ca="1" si="0"/>
        <v>0</v>
      </c>
      <c r="J17" s="55"/>
    </row>
    <row r="18" spans="1:10" x14ac:dyDescent="0.25">
      <c r="A18" s="54"/>
      <c r="B18" s="70" t="s">
        <v>169</v>
      </c>
      <c r="C18" s="44" t="s">
        <v>170</v>
      </c>
      <c r="D18" s="56"/>
      <c r="E18" s="41" cm="1">
        <f t="array" aca="1" ref="E18" ca="1">_xlfn.XLOOKUP($B18,INDIRECT("'"&amp;E$3&amp;"'!"&amp;"$A3:$A44"),_xlfn.XLOOKUP(E$5,INDIRECT("'"&amp;E$3&amp;"'!"&amp;"$C2:$AZ2"),INDIRECT("'"&amp;E$3&amp;"'!"&amp;"$C3:$AZ44")))</f>
        <v>0</v>
      </c>
      <c r="F18" s="42" cm="1">
        <f t="array" aca="1" ref="F18" ca="1">_xlfn.XLOOKUP($B18,INDIRECT("'"&amp;F$3&amp;"'!"&amp;"$A48:$A89"),_xlfn.XLOOKUP(F$5,INDIRECT("'"&amp;F$3&amp;"'!"&amp;"$C2:$AZ2"),INDIRECT("'"&amp;F$3&amp;"'!"&amp;"$C48:$AZ89")))</f>
        <v>0</v>
      </c>
      <c r="G18" s="43" cm="1">
        <f t="array" aca="1" ref="G18" ca="1">_xlfn.XLOOKUP($B18,INDIRECT("'"&amp;G$3&amp;"'!"&amp;"$A3:$A44"),_xlfn.XLOOKUP(G$5,INDIRECT("'"&amp;G$3&amp;"'!"&amp;"$C2:$AZ2"),INDIRECT("'"&amp;G$3&amp;"'!"&amp;"$C3:$AZ44")))</f>
        <v>0</v>
      </c>
      <c r="H18" s="37" cm="1">
        <f t="array" aca="1" ref="H18" ca="1">_xlfn.XLOOKUP($B18,INDIRECT("'"&amp;H$3&amp;"'!"&amp;"$A48:$A89"),_xlfn.XLOOKUP(H$5,INDIRECT("'"&amp;H$3&amp;"'!"&amp;"$C2:$AZ2"),INDIRECT("'"&amp;H$3&amp;"'!"&amp;"$C48:$AZ89")))</f>
        <v>1</v>
      </c>
      <c r="I18" s="42">
        <f t="shared" ca="1" si="0"/>
        <v>1</v>
      </c>
      <c r="J18" s="55"/>
    </row>
    <row r="19" spans="1:10" x14ac:dyDescent="0.25">
      <c r="A19" s="54"/>
      <c r="B19" s="70" t="s">
        <v>171</v>
      </c>
      <c r="C19" s="44" t="s">
        <v>172</v>
      </c>
      <c r="D19" s="56"/>
      <c r="E19" s="41" cm="1">
        <f t="array" aca="1" ref="E19" ca="1">_xlfn.XLOOKUP($B19,INDIRECT("'"&amp;E$3&amp;"'!"&amp;"$A3:$A44"),_xlfn.XLOOKUP(E$5,INDIRECT("'"&amp;E$3&amp;"'!"&amp;"$C2:$AZ2"),INDIRECT("'"&amp;E$3&amp;"'!"&amp;"$C3:$AZ44")))</f>
        <v>0</v>
      </c>
      <c r="F19" s="42" cm="1">
        <f t="array" aca="1" ref="F19" ca="1">_xlfn.XLOOKUP($B19,INDIRECT("'"&amp;F$3&amp;"'!"&amp;"$A48:$A89"),_xlfn.XLOOKUP(F$5,INDIRECT("'"&amp;F$3&amp;"'!"&amp;"$C2:$AZ2"),INDIRECT("'"&amp;F$3&amp;"'!"&amp;"$C48:$AZ89")))</f>
        <v>5</v>
      </c>
      <c r="G19" s="43" cm="1">
        <f t="array" aca="1" ref="G19" ca="1">_xlfn.XLOOKUP($B19,INDIRECT("'"&amp;G$3&amp;"'!"&amp;"$A3:$A44"),_xlfn.XLOOKUP(G$5,INDIRECT("'"&amp;G$3&amp;"'!"&amp;"$C2:$AZ2"),INDIRECT("'"&amp;G$3&amp;"'!"&amp;"$C3:$AZ44")))</f>
        <v>2</v>
      </c>
      <c r="H19" s="37" cm="1">
        <f t="array" aca="1" ref="H19" ca="1">_xlfn.XLOOKUP($B19,INDIRECT("'"&amp;H$3&amp;"'!"&amp;"$A48:$A89"),_xlfn.XLOOKUP(H$5,INDIRECT("'"&amp;H$3&amp;"'!"&amp;"$C2:$AZ2"),INDIRECT("'"&amp;H$3&amp;"'!"&amp;"$C48:$AZ89")))</f>
        <v>8</v>
      </c>
      <c r="I19" s="42">
        <f t="shared" ca="1" si="0"/>
        <v>3</v>
      </c>
      <c r="J19" s="55"/>
    </row>
    <row r="20" spans="1:10" x14ac:dyDescent="0.25">
      <c r="A20" s="54"/>
      <c r="B20" s="70" t="s">
        <v>173</v>
      </c>
      <c r="C20" s="44" t="s">
        <v>174</v>
      </c>
      <c r="D20" s="56"/>
      <c r="E20" s="41" cm="1">
        <f t="array" aca="1" ref="E20" ca="1">_xlfn.XLOOKUP($B20,INDIRECT("'"&amp;E$3&amp;"'!"&amp;"$A3:$A44"),_xlfn.XLOOKUP(E$5,INDIRECT("'"&amp;E$3&amp;"'!"&amp;"$C2:$AZ2"),INDIRECT("'"&amp;E$3&amp;"'!"&amp;"$C3:$AZ44")))</f>
        <v>0</v>
      </c>
      <c r="F20" s="42" cm="1">
        <f t="array" aca="1" ref="F20" ca="1">_xlfn.XLOOKUP($B20,INDIRECT("'"&amp;F$3&amp;"'!"&amp;"$A48:$A89"),_xlfn.XLOOKUP(F$5,INDIRECT("'"&amp;F$3&amp;"'!"&amp;"$C2:$AZ2"),INDIRECT("'"&amp;F$3&amp;"'!"&amp;"$C48:$AZ89")))</f>
        <v>1</v>
      </c>
      <c r="G20" s="43" cm="1">
        <f t="array" aca="1" ref="G20" ca="1">_xlfn.XLOOKUP($B20,INDIRECT("'"&amp;G$3&amp;"'!"&amp;"$A3:$A44"),_xlfn.XLOOKUP(G$5,INDIRECT("'"&amp;G$3&amp;"'!"&amp;"$C2:$AZ2"),INDIRECT("'"&amp;G$3&amp;"'!"&amp;"$C3:$AZ44")))</f>
        <v>0</v>
      </c>
      <c r="H20" s="37" cm="1">
        <f t="array" aca="1" ref="H20" ca="1">_xlfn.XLOOKUP($B20,INDIRECT("'"&amp;H$3&amp;"'!"&amp;"$A48:$A89"),_xlfn.XLOOKUP(H$5,INDIRECT("'"&amp;H$3&amp;"'!"&amp;"$C2:$AZ2"),INDIRECT("'"&amp;H$3&amp;"'!"&amp;"$C48:$AZ89")))</f>
        <v>0</v>
      </c>
      <c r="I20" s="42">
        <f t="shared" ca="1" si="0"/>
        <v>-1</v>
      </c>
      <c r="J20" s="55"/>
    </row>
    <row r="21" spans="1:10" x14ac:dyDescent="0.25">
      <c r="A21" s="54"/>
      <c r="B21" s="70" t="s">
        <v>175</v>
      </c>
      <c r="C21" s="44" t="s">
        <v>176</v>
      </c>
      <c r="D21" s="56"/>
      <c r="E21" s="41" cm="1">
        <f t="array" aca="1" ref="E21" ca="1">_xlfn.XLOOKUP($B21,INDIRECT("'"&amp;E$3&amp;"'!"&amp;"$A3:$A44"),_xlfn.XLOOKUP(E$5,INDIRECT("'"&amp;E$3&amp;"'!"&amp;"$C2:$AZ2"),INDIRECT("'"&amp;E$3&amp;"'!"&amp;"$C3:$AZ44")))</f>
        <v>0</v>
      </c>
      <c r="F21" s="42" cm="1">
        <f t="array" aca="1" ref="F21" ca="1">_xlfn.XLOOKUP($B21,INDIRECT("'"&amp;F$3&amp;"'!"&amp;"$A48:$A89"),_xlfn.XLOOKUP(F$5,INDIRECT("'"&amp;F$3&amp;"'!"&amp;"$C2:$AZ2"),INDIRECT("'"&amp;F$3&amp;"'!"&amp;"$C48:$AZ89")))</f>
        <v>0</v>
      </c>
      <c r="G21" s="43" cm="1">
        <f t="array" aca="1" ref="G21" ca="1">_xlfn.XLOOKUP($B21,INDIRECT("'"&amp;G$3&amp;"'!"&amp;"$A3:$A44"),_xlfn.XLOOKUP(G$5,INDIRECT("'"&amp;G$3&amp;"'!"&amp;"$C2:$AZ2"),INDIRECT("'"&amp;G$3&amp;"'!"&amp;"$C3:$AZ44")))</f>
        <v>0</v>
      </c>
      <c r="H21" s="37" cm="1">
        <f t="array" aca="1" ref="H21" ca="1">_xlfn.XLOOKUP($B21,INDIRECT("'"&amp;H$3&amp;"'!"&amp;"$A48:$A89"),_xlfn.XLOOKUP(H$5,INDIRECT("'"&amp;H$3&amp;"'!"&amp;"$C2:$AZ2"),INDIRECT("'"&amp;H$3&amp;"'!"&amp;"$C48:$AZ89")))</f>
        <v>0</v>
      </c>
      <c r="I21" s="42">
        <f t="shared" ca="1" si="0"/>
        <v>0</v>
      </c>
      <c r="J21" s="55"/>
    </row>
    <row r="22" spans="1:10" x14ac:dyDescent="0.25">
      <c r="A22" s="54"/>
      <c r="B22" s="70" t="s">
        <v>177</v>
      </c>
      <c r="C22" s="44" t="s">
        <v>178</v>
      </c>
      <c r="D22" s="56"/>
      <c r="E22" s="41" cm="1">
        <f t="array" aca="1" ref="E22" ca="1">_xlfn.XLOOKUP($B22,INDIRECT("'"&amp;E$3&amp;"'!"&amp;"$A3:$A44"),_xlfn.XLOOKUP(E$5,INDIRECT("'"&amp;E$3&amp;"'!"&amp;"$C2:$AZ2"),INDIRECT("'"&amp;E$3&amp;"'!"&amp;"$C3:$AZ44")))</f>
        <v>0</v>
      </c>
      <c r="F22" s="42" cm="1">
        <f t="array" aca="1" ref="F22" ca="1">_xlfn.XLOOKUP($B22,INDIRECT("'"&amp;F$3&amp;"'!"&amp;"$A48:$A89"),_xlfn.XLOOKUP(F$5,INDIRECT("'"&amp;F$3&amp;"'!"&amp;"$C2:$AZ2"),INDIRECT("'"&amp;F$3&amp;"'!"&amp;"$C48:$AZ89")))</f>
        <v>0</v>
      </c>
      <c r="G22" s="43" cm="1">
        <f t="array" aca="1" ref="G22" ca="1">_xlfn.XLOOKUP($B22,INDIRECT("'"&amp;G$3&amp;"'!"&amp;"$A3:$A44"),_xlfn.XLOOKUP(G$5,INDIRECT("'"&amp;G$3&amp;"'!"&amp;"$C2:$AZ2"),INDIRECT("'"&amp;G$3&amp;"'!"&amp;"$C3:$AZ44")))</f>
        <v>0</v>
      </c>
      <c r="H22" s="37" cm="1">
        <f t="array" aca="1" ref="H22" ca="1">_xlfn.XLOOKUP($B22,INDIRECT("'"&amp;H$3&amp;"'!"&amp;"$A48:$A89"),_xlfn.XLOOKUP(H$5,INDIRECT("'"&amp;H$3&amp;"'!"&amp;"$C2:$AZ2"),INDIRECT("'"&amp;H$3&amp;"'!"&amp;"$C48:$AZ89")))</f>
        <v>0</v>
      </c>
      <c r="I22" s="42">
        <f t="shared" ca="1" si="0"/>
        <v>0</v>
      </c>
      <c r="J22" s="55"/>
    </row>
    <row r="23" spans="1:10" x14ac:dyDescent="0.25">
      <c r="A23" s="54"/>
      <c r="B23" s="70" t="s">
        <v>179</v>
      </c>
      <c r="C23" s="44" t="s">
        <v>180</v>
      </c>
      <c r="D23" s="56"/>
      <c r="E23" s="41" cm="1">
        <f t="array" aca="1" ref="E23" ca="1">_xlfn.XLOOKUP($B23,INDIRECT("'"&amp;E$3&amp;"'!"&amp;"$A3:$A44"),_xlfn.XLOOKUP(E$5,INDIRECT("'"&amp;E$3&amp;"'!"&amp;"$C2:$AZ2"),INDIRECT("'"&amp;E$3&amp;"'!"&amp;"$C3:$AZ44")))</f>
        <v>0</v>
      </c>
      <c r="F23" s="42" cm="1">
        <f t="array" aca="1" ref="F23" ca="1">_xlfn.XLOOKUP($B23,INDIRECT("'"&amp;F$3&amp;"'!"&amp;"$A48:$A89"),_xlfn.XLOOKUP(F$5,INDIRECT("'"&amp;F$3&amp;"'!"&amp;"$C2:$AZ2"),INDIRECT("'"&amp;F$3&amp;"'!"&amp;"$C48:$AZ89")))</f>
        <v>7</v>
      </c>
      <c r="G23" s="43" cm="1">
        <f t="array" aca="1" ref="G23" ca="1">_xlfn.XLOOKUP($B23,INDIRECT("'"&amp;G$3&amp;"'!"&amp;"$A3:$A44"),_xlfn.XLOOKUP(G$5,INDIRECT("'"&amp;G$3&amp;"'!"&amp;"$C2:$AZ2"),INDIRECT("'"&amp;G$3&amp;"'!"&amp;"$C3:$AZ44")))</f>
        <v>1</v>
      </c>
      <c r="H23" s="37" cm="1">
        <f t="array" aca="1" ref="H23" ca="1">_xlfn.XLOOKUP($B23,INDIRECT("'"&amp;H$3&amp;"'!"&amp;"$A48:$A89"),_xlfn.XLOOKUP(H$5,INDIRECT("'"&amp;H$3&amp;"'!"&amp;"$C2:$AZ2"),INDIRECT("'"&amp;H$3&amp;"'!"&amp;"$C48:$AZ89")))</f>
        <v>3</v>
      </c>
      <c r="I23" s="42">
        <f t="shared" ca="1" si="0"/>
        <v>-4</v>
      </c>
      <c r="J23" s="55"/>
    </row>
    <row r="24" spans="1:10" x14ac:dyDescent="0.25">
      <c r="A24" s="54"/>
      <c r="B24" s="70" t="s">
        <v>181</v>
      </c>
      <c r="C24" s="44" t="s">
        <v>182</v>
      </c>
      <c r="D24" s="56"/>
      <c r="E24" s="41" cm="1">
        <f t="array" aca="1" ref="E24" ca="1">_xlfn.XLOOKUP($B24,INDIRECT("'"&amp;E$3&amp;"'!"&amp;"$A3:$A44"),_xlfn.XLOOKUP(E$5,INDIRECT("'"&amp;E$3&amp;"'!"&amp;"$C2:$AZ2"),INDIRECT("'"&amp;E$3&amp;"'!"&amp;"$C3:$AZ44")))</f>
        <v>0</v>
      </c>
      <c r="F24" s="42" cm="1">
        <f t="array" aca="1" ref="F24" ca="1">_xlfn.XLOOKUP($B24,INDIRECT("'"&amp;F$3&amp;"'!"&amp;"$A48:$A89"),_xlfn.XLOOKUP(F$5,INDIRECT("'"&amp;F$3&amp;"'!"&amp;"$C2:$AZ2"),INDIRECT("'"&amp;F$3&amp;"'!"&amp;"$C48:$AZ89")))</f>
        <v>0</v>
      </c>
      <c r="G24" s="43" cm="1">
        <f t="array" aca="1" ref="G24" ca="1">_xlfn.XLOOKUP($B24,INDIRECT("'"&amp;G$3&amp;"'!"&amp;"$A3:$A44"),_xlfn.XLOOKUP(G$5,INDIRECT("'"&amp;G$3&amp;"'!"&amp;"$C2:$AZ2"),INDIRECT("'"&amp;G$3&amp;"'!"&amp;"$C3:$AZ44")))</f>
        <v>0</v>
      </c>
      <c r="H24" s="37" cm="1">
        <f t="array" aca="1" ref="H24" ca="1">_xlfn.XLOOKUP($B24,INDIRECT("'"&amp;H$3&amp;"'!"&amp;"$A48:$A89"),_xlfn.XLOOKUP(H$5,INDIRECT("'"&amp;H$3&amp;"'!"&amp;"$C2:$AZ2"),INDIRECT("'"&amp;H$3&amp;"'!"&amp;"$C48:$AZ89")))</f>
        <v>3</v>
      </c>
      <c r="I24" s="42">
        <f t="shared" ca="1" si="0"/>
        <v>3</v>
      </c>
      <c r="J24" s="55"/>
    </row>
    <row r="25" spans="1:10" x14ac:dyDescent="0.25">
      <c r="A25" s="54"/>
      <c r="B25" s="70" t="s">
        <v>183</v>
      </c>
      <c r="C25" s="44" t="s">
        <v>184</v>
      </c>
      <c r="D25" s="56"/>
      <c r="E25" s="41" cm="1">
        <f t="array" aca="1" ref="E25" ca="1">_xlfn.XLOOKUP($B25,INDIRECT("'"&amp;E$3&amp;"'!"&amp;"$A3:$A44"),_xlfn.XLOOKUP(E$5,INDIRECT("'"&amp;E$3&amp;"'!"&amp;"$C2:$AZ2"),INDIRECT("'"&amp;E$3&amp;"'!"&amp;"$C3:$AZ44")))</f>
        <v>0</v>
      </c>
      <c r="F25" s="42" cm="1">
        <f t="array" aca="1" ref="F25" ca="1">_xlfn.XLOOKUP($B25,INDIRECT("'"&amp;F$3&amp;"'!"&amp;"$A48:$A89"),_xlfn.XLOOKUP(F$5,INDIRECT("'"&amp;F$3&amp;"'!"&amp;"$C2:$AZ2"),INDIRECT("'"&amp;F$3&amp;"'!"&amp;"$C48:$AZ89")))</f>
        <v>0</v>
      </c>
      <c r="G25" s="43" cm="1">
        <f t="array" aca="1" ref="G25" ca="1">_xlfn.XLOOKUP($B25,INDIRECT("'"&amp;G$3&amp;"'!"&amp;"$A3:$A44"),_xlfn.XLOOKUP(G$5,INDIRECT("'"&amp;G$3&amp;"'!"&amp;"$C2:$AZ2"),INDIRECT("'"&amp;G$3&amp;"'!"&amp;"$C3:$AZ44")))</f>
        <v>0</v>
      </c>
      <c r="H25" s="37" cm="1">
        <f t="array" aca="1" ref="H25" ca="1">_xlfn.XLOOKUP($B25,INDIRECT("'"&amp;H$3&amp;"'!"&amp;"$A48:$A89"),_xlfn.XLOOKUP(H$5,INDIRECT("'"&amp;H$3&amp;"'!"&amp;"$C2:$AZ2"),INDIRECT("'"&amp;H$3&amp;"'!"&amp;"$C48:$AZ89")))</f>
        <v>0</v>
      </c>
      <c r="I25" s="42">
        <f t="shared" ca="1" si="0"/>
        <v>0</v>
      </c>
      <c r="J25" s="55"/>
    </row>
    <row r="26" spans="1:10" x14ac:dyDescent="0.25">
      <c r="A26" s="54"/>
      <c r="B26" s="70" t="s">
        <v>185</v>
      </c>
      <c r="C26" s="44" t="s">
        <v>186</v>
      </c>
      <c r="D26" s="56"/>
      <c r="E26" s="41" cm="1">
        <f t="array" aca="1" ref="E26" ca="1">_xlfn.XLOOKUP($B26,INDIRECT("'"&amp;E$3&amp;"'!"&amp;"$A3:$A44"),_xlfn.XLOOKUP(E$5,INDIRECT("'"&amp;E$3&amp;"'!"&amp;"$C2:$AZ2"),INDIRECT("'"&amp;E$3&amp;"'!"&amp;"$C3:$AZ44")))</f>
        <v>0</v>
      </c>
      <c r="F26" s="42" cm="1">
        <f t="array" aca="1" ref="F26" ca="1">_xlfn.XLOOKUP($B26,INDIRECT("'"&amp;F$3&amp;"'!"&amp;"$A48:$A89"),_xlfn.XLOOKUP(F$5,INDIRECT("'"&amp;F$3&amp;"'!"&amp;"$C2:$AZ2"),INDIRECT("'"&amp;F$3&amp;"'!"&amp;"$C48:$AZ89")))</f>
        <v>0</v>
      </c>
      <c r="G26" s="43" cm="1">
        <f t="array" aca="1" ref="G26" ca="1">_xlfn.XLOOKUP($B26,INDIRECT("'"&amp;G$3&amp;"'!"&amp;"$A3:$A44"),_xlfn.XLOOKUP(G$5,INDIRECT("'"&amp;G$3&amp;"'!"&amp;"$C2:$AZ2"),INDIRECT("'"&amp;G$3&amp;"'!"&amp;"$C3:$AZ44")))</f>
        <v>0</v>
      </c>
      <c r="H26" s="37" cm="1">
        <f t="array" aca="1" ref="H26" ca="1">_xlfn.XLOOKUP($B26,INDIRECT("'"&amp;H$3&amp;"'!"&amp;"$A48:$A89"),_xlfn.XLOOKUP(H$5,INDIRECT("'"&amp;H$3&amp;"'!"&amp;"$C2:$AZ2"),INDIRECT("'"&amp;H$3&amp;"'!"&amp;"$C48:$AZ89")))</f>
        <v>0</v>
      </c>
      <c r="I26" s="42">
        <f t="shared" ca="1" si="0"/>
        <v>0</v>
      </c>
      <c r="J26" s="55"/>
    </row>
    <row r="27" spans="1:10" x14ac:dyDescent="0.25">
      <c r="A27" s="54"/>
      <c r="B27" s="70" t="s">
        <v>187</v>
      </c>
      <c r="C27" s="44" t="s">
        <v>188</v>
      </c>
      <c r="D27" s="56"/>
      <c r="E27" s="41" cm="1">
        <f t="array" aca="1" ref="E27" ca="1">_xlfn.XLOOKUP($B27,INDIRECT("'"&amp;E$3&amp;"'!"&amp;"$A3:$A44"),_xlfn.XLOOKUP(E$5,INDIRECT("'"&amp;E$3&amp;"'!"&amp;"$C2:$AZ2"),INDIRECT("'"&amp;E$3&amp;"'!"&amp;"$C3:$AZ44")))</f>
        <v>0</v>
      </c>
      <c r="F27" s="42" cm="1">
        <f t="array" aca="1" ref="F27" ca="1">_xlfn.XLOOKUP($B27,INDIRECT("'"&amp;F$3&amp;"'!"&amp;"$A48:$A89"),_xlfn.XLOOKUP(F$5,INDIRECT("'"&amp;F$3&amp;"'!"&amp;"$C2:$AZ2"),INDIRECT("'"&amp;F$3&amp;"'!"&amp;"$C48:$AZ89")))</f>
        <v>1</v>
      </c>
      <c r="G27" s="43" cm="1">
        <f t="array" aca="1" ref="G27" ca="1">_xlfn.XLOOKUP($B27,INDIRECT("'"&amp;G$3&amp;"'!"&amp;"$A3:$A44"),_xlfn.XLOOKUP(G$5,INDIRECT("'"&amp;G$3&amp;"'!"&amp;"$C2:$AZ2"),INDIRECT("'"&amp;G$3&amp;"'!"&amp;"$C3:$AZ44")))</f>
        <v>0</v>
      </c>
      <c r="H27" s="37" cm="1">
        <f t="array" aca="1" ref="H27" ca="1">_xlfn.XLOOKUP($B27,INDIRECT("'"&amp;H$3&amp;"'!"&amp;"$A48:$A89"),_xlfn.XLOOKUP(H$5,INDIRECT("'"&amp;H$3&amp;"'!"&amp;"$C2:$AZ2"),INDIRECT("'"&amp;H$3&amp;"'!"&amp;"$C48:$AZ89")))</f>
        <v>0</v>
      </c>
      <c r="I27" s="42">
        <f t="shared" ca="1" si="0"/>
        <v>-1</v>
      </c>
      <c r="J27" s="55"/>
    </row>
    <row r="28" spans="1:10" x14ac:dyDescent="0.25">
      <c r="A28" s="54"/>
      <c r="B28" s="70" t="s">
        <v>189</v>
      </c>
      <c r="C28" s="44" t="s">
        <v>190</v>
      </c>
      <c r="D28" s="56"/>
      <c r="E28" s="41" cm="1">
        <f t="array" aca="1" ref="E28" ca="1">_xlfn.XLOOKUP($B28,INDIRECT("'"&amp;E$3&amp;"'!"&amp;"$A3:$A44"),_xlfn.XLOOKUP(E$5,INDIRECT("'"&amp;E$3&amp;"'!"&amp;"$C2:$AZ2"),INDIRECT("'"&amp;E$3&amp;"'!"&amp;"$C3:$AZ44")))</f>
        <v>3</v>
      </c>
      <c r="F28" s="42" cm="1">
        <f t="array" aca="1" ref="F28" ca="1">_xlfn.XLOOKUP($B28,INDIRECT("'"&amp;F$3&amp;"'!"&amp;"$A48:$A89"),_xlfn.XLOOKUP(F$5,INDIRECT("'"&amp;F$3&amp;"'!"&amp;"$C2:$AZ2"),INDIRECT("'"&amp;F$3&amp;"'!"&amp;"$C48:$AZ89")))</f>
        <v>10</v>
      </c>
      <c r="G28" s="43" cm="1">
        <f t="array" aca="1" ref="G28" ca="1">_xlfn.XLOOKUP($B28,INDIRECT("'"&amp;G$3&amp;"'!"&amp;"$A3:$A44"),_xlfn.XLOOKUP(G$5,INDIRECT("'"&amp;G$3&amp;"'!"&amp;"$C2:$AZ2"),INDIRECT("'"&amp;G$3&amp;"'!"&amp;"$C3:$AZ44")))</f>
        <v>1</v>
      </c>
      <c r="H28" s="37" cm="1">
        <f t="array" aca="1" ref="H28" ca="1">_xlfn.XLOOKUP($B28,INDIRECT("'"&amp;H$3&amp;"'!"&amp;"$A48:$A89"),_xlfn.XLOOKUP(H$5,INDIRECT("'"&amp;H$3&amp;"'!"&amp;"$C2:$AZ2"),INDIRECT("'"&amp;H$3&amp;"'!"&amp;"$C48:$AZ89")))</f>
        <v>11</v>
      </c>
      <c r="I28" s="42">
        <f t="shared" ca="1" si="0"/>
        <v>1</v>
      </c>
      <c r="J28" s="55"/>
    </row>
    <row r="29" spans="1:10" x14ac:dyDescent="0.25">
      <c r="A29" s="54"/>
      <c r="B29" s="70" t="s">
        <v>191</v>
      </c>
      <c r="C29" s="44" t="s">
        <v>192</v>
      </c>
      <c r="D29" s="56"/>
      <c r="E29" s="41" cm="1">
        <f t="array" aca="1" ref="E29" ca="1">_xlfn.XLOOKUP($B29,INDIRECT("'"&amp;E$3&amp;"'!"&amp;"$A3:$A44"),_xlfn.XLOOKUP(E$5,INDIRECT("'"&amp;E$3&amp;"'!"&amp;"$C2:$AZ2"),INDIRECT("'"&amp;E$3&amp;"'!"&amp;"$C3:$AZ44")))</f>
        <v>0</v>
      </c>
      <c r="F29" s="42" cm="1">
        <f t="array" aca="1" ref="F29" ca="1">_xlfn.XLOOKUP($B29,INDIRECT("'"&amp;F$3&amp;"'!"&amp;"$A48:$A89"),_xlfn.XLOOKUP(F$5,INDIRECT("'"&amp;F$3&amp;"'!"&amp;"$C2:$AZ2"),INDIRECT("'"&amp;F$3&amp;"'!"&amp;"$C48:$AZ89")))</f>
        <v>0</v>
      </c>
      <c r="G29" s="43" cm="1">
        <f t="array" aca="1" ref="G29" ca="1">_xlfn.XLOOKUP($B29,INDIRECT("'"&amp;G$3&amp;"'!"&amp;"$A3:$A44"),_xlfn.XLOOKUP(G$5,INDIRECT("'"&amp;G$3&amp;"'!"&amp;"$C2:$AZ2"),INDIRECT("'"&amp;G$3&amp;"'!"&amp;"$C3:$AZ44")))</f>
        <v>0</v>
      </c>
      <c r="H29" s="37" cm="1">
        <f t="array" aca="1" ref="H29" ca="1">_xlfn.XLOOKUP($B29,INDIRECT("'"&amp;H$3&amp;"'!"&amp;"$A48:$A89"),_xlfn.XLOOKUP(H$5,INDIRECT("'"&amp;H$3&amp;"'!"&amp;"$C2:$AZ2"),INDIRECT("'"&amp;H$3&amp;"'!"&amp;"$C48:$AZ89")))</f>
        <v>0</v>
      </c>
      <c r="I29" s="42">
        <f t="shared" ca="1" si="0"/>
        <v>0</v>
      </c>
      <c r="J29" s="55"/>
    </row>
    <row r="30" spans="1:10" x14ac:dyDescent="0.25">
      <c r="A30" s="54"/>
      <c r="B30" s="70" t="s">
        <v>193</v>
      </c>
      <c r="C30" s="44" t="s">
        <v>194</v>
      </c>
      <c r="D30" s="56"/>
      <c r="E30" s="41" cm="1">
        <f t="array" aca="1" ref="E30" ca="1">_xlfn.XLOOKUP($B30,INDIRECT("'"&amp;E$3&amp;"'!"&amp;"$A3:$A44"),_xlfn.XLOOKUP(E$5,INDIRECT("'"&amp;E$3&amp;"'!"&amp;"$C2:$AZ2"),INDIRECT("'"&amp;E$3&amp;"'!"&amp;"$C3:$AZ44")))</f>
        <v>0</v>
      </c>
      <c r="F30" s="42" cm="1">
        <f t="array" aca="1" ref="F30" ca="1">_xlfn.XLOOKUP($B30,INDIRECT("'"&amp;F$3&amp;"'!"&amp;"$A48:$A89"),_xlfn.XLOOKUP(F$5,INDIRECT("'"&amp;F$3&amp;"'!"&amp;"$C2:$AZ2"),INDIRECT("'"&amp;F$3&amp;"'!"&amp;"$C48:$AZ89")))</f>
        <v>0</v>
      </c>
      <c r="G30" s="43" cm="1">
        <f t="array" aca="1" ref="G30" ca="1">_xlfn.XLOOKUP($B30,INDIRECT("'"&amp;G$3&amp;"'!"&amp;"$A3:$A44"),_xlfn.XLOOKUP(G$5,INDIRECT("'"&amp;G$3&amp;"'!"&amp;"$C2:$AZ2"),INDIRECT("'"&amp;G$3&amp;"'!"&amp;"$C3:$AZ44")))</f>
        <v>0</v>
      </c>
      <c r="H30" s="37" cm="1">
        <f t="array" aca="1" ref="H30" ca="1">_xlfn.XLOOKUP($B30,INDIRECT("'"&amp;H$3&amp;"'!"&amp;"$A48:$A89"),_xlfn.XLOOKUP(H$5,INDIRECT("'"&amp;H$3&amp;"'!"&amp;"$C2:$AZ2"),INDIRECT("'"&amp;H$3&amp;"'!"&amp;"$C48:$AZ89")))</f>
        <v>0</v>
      </c>
      <c r="I30" s="42">
        <f t="shared" ca="1" si="0"/>
        <v>0</v>
      </c>
      <c r="J30" s="55"/>
    </row>
    <row r="31" spans="1:10" x14ac:dyDescent="0.25">
      <c r="A31" s="54"/>
      <c r="B31" s="70" t="s">
        <v>195</v>
      </c>
      <c r="C31" s="44" t="s">
        <v>196</v>
      </c>
      <c r="D31" s="56"/>
      <c r="E31" s="41" cm="1">
        <f t="array" aca="1" ref="E31" ca="1">_xlfn.XLOOKUP($B31,INDIRECT("'"&amp;E$3&amp;"'!"&amp;"$A3:$A44"),_xlfn.XLOOKUP(E$5,INDIRECT("'"&amp;E$3&amp;"'!"&amp;"$C2:$AZ2"),INDIRECT("'"&amp;E$3&amp;"'!"&amp;"$C3:$AZ44")))</f>
        <v>0</v>
      </c>
      <c r="F31" s="42" cm="1">
        <f t="array" aca="1" ref="F31" ca="1">_xlfn.XLOOKUP($B31,INDIRECT("'"&amp;F$3&amp;"'!"&amp;"$A48:$A89"),_xlfn.XLOOKUP(F$5,INDIRECT("'"&amp;F$3&amp;"'!"&amp;"$C2:$AZ2"),INDIRECT("'"&amp;F$3&amp;"'!"&amp;"$C48:$AZ89")))</f>
        <v>0</v>
      </c>
      <c r="G31" s="43" cm="1">
        <f t="array" aca="1" ref="G31" ca="1">_xlfn.XLOOKUP($B31,INDIRECT("'"&amp;G$3&amp;"'!"&amp;"$A3:$A44"),_xlfn.XLOOKUP(G$5,INDIRECT("'"&amp;G$3&amp;"'!"&amp;"$C2:$AZ2"),INDIRECT("'"&amp;G$3&amp;"'!"&amp;"$C3:$AZ44")))</f>
        <v>0</v>
      </c>
      <c r="H31" s="37" cm="1">
        <f t="array" aca="1" ref="H31" ca="1">_xlfn.XLOOKUP($B31,INDIRECT("'"&amp;H$3&amp;"'!"&amp;"$A48:$A89"),_xlfn.XLOOKUP(H$5,INDIRECT("'"&amp;H$3&amp;"'!"&amp;"$C2:$AZ2"),INDIRECT("'"&amp;H$3&amp;"'!"&amp;"$C48:$AZ89")))</f>
        <v>0</v>
      </c>
      <c r="I31" s="42">
        <f t="shared" ca="1" si="0"/>
        <v>0</v>
      </c>
      <c r="J31" s="55"/>
    </row>
    <row r="32" spans="1:10" x14ac:dyDescent="0.25">
      <c r="A32" s="54"/>
      <c r="B32" s="70" t="s">
        <v>197</v>
      </c>
      <c r="C32" s="44" t="s">
        <v>198</v>
      </c>
      <c r="D32" s="56"/>
      <c r="E32" s="41" cm="1">
        <f t="array" aca="1" ref="E32" ca="1">_xlfn.XLOOKUP($B32,INDIRECT("'"&amp;E$3&amp;"'!"&amp;"$A3:$A44"),_xlfn.XLOOKUP(E$5,INDIRECT("'"&amp;E$3&amp;"'!"&amp;"$C2:$AZ2"),INDIRECT("'"&amp;E$3&amp;"'!"&amp;"$C3:$AZ44")))</f>
        <v>0</v>
      </c>
      <c r="F32" s="42" cm="1">
        <f t="array" aca="1" ref="F32" ca="1">_xlfn.XLOOKUP($B32,INDIRECT("'"&amp;F$3&amp;"'!"&amp;"$A48:$A89"),_xlfn.XLOOKUP(F$5,INDIRECT("'"&amp;F$3&amp;"'!"&amp;"$C2:$AZ2"),INDIRECT("'"&amp;F$3&amp;"'!"&amp;"$C48:$AZ89")))</f>
        <v>3</v>
      </c>
      <c r="G32" s="43" cm="1">
        <f t="array" aca="1" ref="G32" ca="1">_xlfn.XLOOKUP($B32,INDIRECT("'"&amp;G$3&amp;"'!"&amp;"$A3:$A44"),_xlfn.XLOOKUP(G$5,INDIRECT("'"&amp;G$3&amp;"'!"&amp;"$C2:$AZ2"),INDIRECT("'"&amp;G$3&amp;"'!"&amp;"$C3:$AZ44")))</f>
        <v>0</v>
      </c>
      <c r="H32" s="37" cm="1">
        <f t="array" aca="1" ref="H32" ca="1">_xlfn.XLOOKUP($B32,INDIRECT("'"&amp;H$3&amp;"'!"&amp;"$A48:$A89"),_xlfn.XLOOKUP(H$5,INDIRECT("'"&amp;H$3&amp;"'!"&amp;"$C2:$AZ2"),INDIRECT("'"&amp;H$3&amp;"'!"&amp;"$C48:$AZ89")))</f>
        <v>2</v>
      </c>
      <c r="I32" s="42">
        <f t="shared" ca="1" si="0"/>
        <v>-1</v>
      </c>
      <c r="J32" s="55"/>
    </row>
    <row r="33" spans="1:10" x14ac:dyDescent="0.25">
      <c r="A33" s="54"/>
      <c r="B33" s="70" t="s">
        <v>199</v>
      </c>
      <c r="C33" s="44" t="s">
        <v>200</v>
      </c>
      <c r="D33" s="56"/>
      <c r="E33" s="41" cm="1">
        <f t="array" aca="1" ref="E33" ca="1">_xlfn.XLOOKUP($B33,INDIRECT("'"&amp;E$3&amp;"'!"&amp;"$A3:$A44"),_xlfn.XLOOKUP(E$5,INDIRECT("'"&amp;E$3&amp;"'!"&amp;"$C2:$AZ2"),INDIRECT("'"&amp;E$3&amp;"'!"&amp;"$C3:$AZ44")))</f>
        <v>0</v>
      </c>
      <c r="F33" s="42" cm="1">
        <f t="array" aca="1" ref="F33" ca="1">_xlfn.XLOOKUP($B33,INDIRECT("'"&amp;F$3&amp;"'!"&amp;"$A48:$A89"),_xlfn.XLOOKUP(F$5,INDIRECT("'"&amp;F$3&amp;"'!"&amp;"$C2:$AZ2"),INDIRECT("'"&amp;F$3&amp;"'!"&amp;"$C48:$AZ89")))</f>
        <v>1</v>
      </c>
      <c r="G33" s="43" cm="1">
        <f t="array" aca="1" ref="G33" ca="1">_xlfn.XLOOKUP($B33,INDIRECT("'"&amp;G$3&amp;"'!"&amp;"$A3:$A44"),_xlfn.XLOOKUP(G$5,INDIRECT("'"&amp;G$3&amp;"'!"&amp;"$C2:$AZ2"),INDIRECT("'"&amp;G$3&amp;"'!"&amp;"$C3:$AZ44")))</f>
        <v>0</v>
      </c>
      <c r="H33" s="37" cm="1">
        <f t="array" aca="1" ref="H33" ca="1">_xlfn.XLOOKUP($B33,INDIRECT("'"&amp;H$3&amp;"'!"&amp;"$A48:$A89"),_xlfn.XLOOKUP(H$5,INDIRECT("'"&amp;H$3&amp;"'!"&amp;"$C2:$AZ2"),INDIRECT("'"&amp;H$3&amp;"'!"&amp;"$C48:$AZ89")))</f>
        <v>0</v>
      </c>
      <c r="I33" s="42">
        <f t="shared" ca="1" si="0"/>
        <v>-1</v>
      </c>
      <c r="J33" s="55"/>
    </row>
    <row r="34" spans="1:10" x14ac:dyDescent="0.25">
      <c r="A34" s="54"/>
      <c r="B34" s="70" t="s">
        <v>201</v>
      </c>
      <c r="C34" s="44" t="s">
        <v>202</v>
      </c>
      <c r="D34" s="56"/>
      <c r="E34" s="41" cm="1">
        <f t="array" aca="1" ref="E34" ca="1">_xlfn.XLOOKUP($B34,INDIRECT("'"&amp;E$3&amp;"'!"&amp;"$A3:$A44"),_xlfn.XLOOKUP(E$5,INDIRECT("'"&amp;E$3&amp;"'!"&amp;"$C2:$AZ2"),INDIRECT("'"&amp;E$3&amp;"'!"&amp;"$C3:$AZ44")))</f>
        <v>0</v>
      </c>
      <c r="F34" s="42" cm="1">
        <f t="array" aca="1" ref="F34" ca="1">_xlfn.XLOOKUP($B34,INDIRECT("'"&amp;F$3&amp;"'!"&amp;"$A48:$A89"),_xlfn.XLOOKUP(F$5,INDIRECT("'"&amp;F$3&amp;"'!"&amp;"$C2:$AZ2"),INDIRECT("'"&amp;F$3&amp;"'!"&amp;"$C48:$AZ89")))</f>
        <v>1</v>
      </c>
      <c r="G34" s="43" cm="1">
        <f t="array" aca="1" ref="G34" ca="1">_xlfn.XLOOKUP($B34,INDIRECT("'"&amp;G$3&amp;"'!"&amp;"$A3:$A44"),_xlfn.XLOOKUP(G$5,INDIRECT("'"&amp;G$3&amp;"'!"&amp;"$C2:$AZ2"),INDIRECT("'"&amp;G$3&amp;"'!"&amp;"$C3:$AZ44")))</f>
        <v>0</v>
      </c>
      <c r="H34" s="37" cm="1">
        <f t="array" aca="1" ref="H34" ca="1">_xlfn.XLOOKUP($B34,INDIRECT("'"&amp;H$3&amp;"'!"&amp;"$A48:$A89"),_xlfn.XLOOKUP(H$5,INDIRECT("'"&amp;H$3&amp;"'!"&amp;"$C2:$AZ2"),INDIRECT("'"&amp;H$3&amp;"'!"&amp;"$C48:$AZ89")))</f>
        <v>0</v>
      </c>
      <c r="I34" s="42">
        <f t="shared" ca="1" si="0"/>
        <v>-1</v>
      </c>
      <c r="J34" s="55"/>
    </row>
    <row r="35" spans="1:10" x14ac:dyDescent="0.25">
      <c r="A35" s="54"/>
      <c r="B35" s="70" t="s">
        <v>203</v>
      </c>
      <c r="C35" s="44" t="s">
        <v>204</v>
      </c>
      <c r="D35" s="56"/>
      <c r="E35" s="41" cm="1">
        <f t="array" aca="1" ref="E35" ca="1">_xlfn.XLOOKUP($B35,INDIRECT("'"&amp;E$3&amp;"'!"&amp;"$A3:$A44"),_xlfn.XLOOKUP(E$5,INDIRECT("'"&amp;E$3&amp;"'!"&amp;"$C2:$AZ2"),INDIRECT("'"&amp;E$3&amp;"'!"&amp;"$C3:$AZ44")))</f>
        <v>0</v>
      </c>
      <c r="F35" s="42" cm="1">
        <f t="array" aca="1" ref="F35" ca="1">_xlfn.XLOOKUP($B35,INDIRECT("'"&amp;F$3&amp;"'!"&amp;"$A48:$A89"),_xlfn.XLOOKUP(F$5,INDIRECT("'"&amp;F$3&amp;"'!"&amp;"$C2:$AZ2"),INDIRECT("'"&amp;F$3&amp;"'!"&amp;"$C48:$AZ89")))</f>
        <v>2</v>
      </c>
      <c r="G35" s="43" cm="1">
        <f t="array" aca="1" ref="G35" ca="1">_xlfn.XLOOKUP($B35,INDIRECT("'"&amp;G$3&amp;"'!"&amp;"$A3:$A44"),_xlfn.XLOOKUP(G$5,INDIRECT("'"&amp;G$3&amp;"'!"&amp;"$C2:$AZ2"),INDIRECT("'"&amp;G$3&amp;"'!"&amp;"$C3:$AZ44")))</f>
        <v>0</v>
      </c>
      <c r="H35" s="37" cm="1">
        <f t="array" aca="1" ref="H35" ca="1">_xlfn.XLOOKUP($B35,INDIRECT("'"&amp;H$3&amp;"'!"&amp;"$A48:$A89"),_xlfn.XLOOKUP(H$5,INDIRECT("'"&amp;H$3&amp;"'!"&amp;"$C2:$AZ2"),INDIRECT("'"&amp;H$3&amp;"'!"&amp;"$C48:$AZ89")))</f>
        <v>0</v>
      </c>
      <c r="I35" s="42">
        <f t="shared" ca="1" si="0"/>
        <v>-2</v>
      </c>
      <c r="J35" s="55"/>
    </row>
    <row r="36" spans="1:10" x14ac:dyDescent="0.25">
      <c r="A36" s="54"/>
      <c r="B36" s="70" t="s">
        <v>205</v>
      </c>
      <c r="C36" s="44" t="s">
        <v>206</v>
      </c>
      <c r="D36" s="56"/>
      <c r="E36" s="41" cm="1">
        <f t="array" aca="1" ref="E36" ca="1">_xlfn.XLOOKUP($B36,INDIRECT("'"&amp;E$3&amp;"'!"&amp;"$A3:$A44"),_xlfn.XLOOKUP(E$5,INDIRECT("'"&amp;E$3&amp;"'!"&amp;"$C2:$AZ2"),INDIRECT("'"&amp;E$3&amp;"'!"&amp;"$C3:$AZ44")))</f>
        <v>0</v>
      </c>
      <c r="F36" s="42" cm="1">
        <f t="array" aca="1" ref="F36" ca="1">_xlfn.XLOOKUP($B36,INDIRECT("'"&amp;F$3&amp;"'!"&amp;"$A48:$A89"),_xlfn.XLOOKUP(F$5,INDIRECT("'"&amp;F$3&amp;"'!"&amp;"$C2:$AZ2"),INDIRECT("'"&amp;F$3&amp;"'!"&amp;"$C48:$AZ89")))</f>
        <v>0</v>
      </c>
      <c r="G36" s="43" cm="1">
        <f t="array" aca="1" ref="G36" ca="1">_xlfn.XLOOKUP($B36,INDIRECT("'"&amp;G$3&amp;"'!"&amp;"$A3:$A44"),_xlfn.XLOOKUP(G$5,INDIRECT("'"&amp;G$3&amp;"'!"&amp;"$C2:$AZ2"),INDIRECT("'"&amp;G$3&amp;"'!"&amp;"$C3:$AZ44")))</f>
        <v>0</v>
      </c>
      <c r="H36" s="37" cm="1">
        <f t="array" aca="1" ref="H36" ca="1">_xlfn.XLOOKUP($B36,INDIRECT("'"&amp;H$3&amp;"'!"&amp;"$A48:$A89"),_xlfn.XLOOKUP(H$5,INDIRECT("'"&amp;H$3&amp;"'!"&amp;"$C2:$AZ2"),INDIRECT("'"&amp;H$3&amp;"'!"&amp;"$C48:$AZ89")))</f>
        <v>0</v>
      </c>
      <c r="I36" s="42">
        <f t="shared" ca="1" si="0"/>
        <v>0</v>
      </c>
      <c r="J36" s="55"/>
    </row>
    <row r="37" spans="1:10" x14ac:dyDescent="0.25">
      <c r="A37" s="54"/>
      <c r="B37" s="70" t="s">
        <v>207</v>
      </c>
      <c r="C37" s="44" t="s">
        <v>208</v>
      </c>
      <c r="D37" s="56"/>
      <c r="E37" s="41" cm="1">
        <f t="array" aca="1" ref="E37" ca="1">_xlfn.XLOOKUP($B37,INDIRECT("'"&amp;E$3&amp;"'!"&amp;"$A3:$A44"),_xlfn.XLOOKUP(E$5,INDIRECT("'"&amp;E$3&amp;"'!"&amp;"$C2:$AZ2"),INDIRECT("'"&amp;E$3&amp;"'!"&amp;"$C3:$AZ44")))</f>
        <v>0</v>
      </c>
      <c r="F37" s="42" cm="1">
        <f t="array" aca="1" ref="F37" ca="1">_xlfn.XLOOKUP($B37,INDIRECT("'"&amp;F$3&amp;"'!"&amp;"$A48:$A89"),_xlfn.XLOOKUP(F$5,INDIRECT("'"&amp;F$3&amp;"'!"&amp;"$C2:$AZ2"),INDIRECT("'"&amp;F$3&amp;"'!"&amp;"$C48:$AZ89")))</f>
        <v>1</v>
      </c>
      <c r="G37" s="43" cm="1">
        <f t="array" aca="1" ref="G37" ca="1">_xlfn.XLOOKUP($B37,INDIRECT("'"&amp;G$3&amp;"'!"&amp;"$A3:$A44"),_xlfn.XLOOKUP(G$5,INDIRECT("'"&amp;G$3&amp;"'!"&amp;"$C2:$AZ2"),INDIRECT("'"&amp;G$3&amp;"'!"&amp;"$C3:$AZ44")))</f>
        <v>0</v>
      </c>
      <c r="H37" s="37" cm="1">
        <f t="array" aca="1" ref="H37" ca="1">_xlfn.XLOOKUP($B37,INDIRECT("'"&amp;H$3&amp;"'!"&amp;"$A48:$A89"),_xlfn.XLOOKUP(H$5,INDIRECT("'"&amp;H$3&amp;"'!"&amp;"$C2:$AZ2"),INDIRECT("'"&amp;H$3&amp;"'!"&amp;"$C48:$AZ89")))</f>
        <v>0</v>
      </c>
      <c r="I37" s="42">
        <f t="shared" ca="1" si="0"/>
        <v>-1</v>
      </c>
      <c r="J37" s="55"/>
    </row>
    <row r="38" spans="1:10" x14ac:dyDescent="0.25">
      <c r="A38" s="54"/>
      <c r="B38" s="70" t="s">
        <v>209</v>
      </c>
      <c r="C38" s="44" t="s">
        <v>210</v>
      </c>
      <c r="D38" s="56"/>
      <c r="E38" s="41" cm="1">
        <f t="array" aca="1" ref="E38" ca="1">_xlfn.XLOOKUP($B38,INDIRECT("'"&amp;E$3&amp;"'!"&amp;"$A3:$A44"),_xlfn.XLOOKUP(E$5,INDIRECT("'"&amp;E$3&amp;"'!"&amp;"$C2:$AZ2"),INDIRECT("'"&amp;E$3&amp;"'!"&amp;"$C3:$AZ44")))</f>
        <v>0</v>
      </c>
      <c r="F38" s="42" cm="1">
        <f t="array" aca="1" ref="F38" ca="1">_xlfn.XLOOKUP($B38,INDIRECT("'"&amp;F$3&amp;"'!"&amp;"$A48:$A89"),_xlfn.XLOOKUP(F$5,INDIRECT("'"&amp;F$3&amp;"'!"&amp;"$C2:$AZ2"),INDIRECT("'"&amp;F$3&amp;"'!"&amp;"$C48:$AZ89")))</f>
        <v>2</v>
      </c>
      <c r="G38" s="43" cm="1">
        <f t="array" aca="1" ref="G38" ca="1">_xlfn.XLOOKUP($B38,INDIRECT("'"&amp;G$3&amp;"'!"&amp;"$A3:$A44"),_xlfn.XLOOKUP(G$5,INDIRECT("'"&amp;G$3&amp;"'!"&amp;"$C2:$AZ2"),INDIRECT("'"&amp;G$3&amp;"'!"&amp;"$C3:$AZ44")))</f>
        <v>0</v>
      </c>
      <c r="H38" s="37" cm="1">
        <f t="array" aca="1" ref="H38" ca="1">_xlfn.XLOOKUP($B38,INDIRECT("'"&amp;H$3&amp;"'!"&amp;"$A48:$A89"),_xlfn.XLOOKUP(H$5,INDIRECT("'"&amp;H$3&amp;"'!"&amp;"$C2:$AZ2"),INDIRECT("'"&amp;H$3&amp;"'!"&amp;"$C48:$AZ89")))</f>
        <v>0</v>
      </c>
      <c r="I38" s="42">
        <f t="shared" ca="1" si="0"/>
        <v>-2</v>
      </c>
      <c r="J38" s="55"/>
    </row>
    <row r="39" spans="1:10" x14ac:dyDescent="0.25">
      <c r="A39" s="54"/>
      <c r="B39" s="70" t="s">
        <v>211</v>
      </c>
      <c r="C39" s="44" t="s">
        <v>212</v>
      </c>
      <c r="D39" s="56"/>
      <c r="E39" s="45" cm="1">
        <f t="array" aca="1" ref="E39" ca="1">_xlfn.XLOOKUP($B39,INDIRECT("'"&amp;E$3&amp;"'!"&amp;"$A3:$A44"),_xlfn.XLOOKUP(E$5,INDIRECT("'"&amp;E$3&amp;"'!"&amp;"$C2:$AZ2"),INDIRECT("'"&amp;E$3&amp;"'!"&amp;"$C3:$AZ44")))</f>
        <v>0</v>
      </c>
      <c r="F39" s="46" cm="1">
        <f t="array" aca="1" ref="F39" ca="1">_xlfn.XLOOKUP($B39,INDIRECT("'"&amp;F$3&amp;"'!"&amp;"$A48:$A89"),_xlfn.XLOOKUP(F$5,INDIRECT("'"&amp;F$3&amp;"'!"&amp;"$C2:$AZ2"),INDIRECT("'"&amp;F$3&amp;"'!"&amp;"$C48:$AZ89")))</f>
        <v>2</v>
      </c>
      <c r="G39" s="47" cm="1">
        <f t="array" aca="1" ref="G39" ca="1">_xlfn.XLOOKUP($B39,INDIRECT("'"&amp;G$3&amp;"'!"&amp;"$A3:$A44"),_xlfn.XLOOKUP(G$5,INDIRECT("'"&amp;G$3&amp;"'!"&amp;"$C2:$AZ2"),INDIRECT("'"&amp;G$3&amp;"'!"&amp;"$C3:$AZ44")))</f>
        <v>0</v>
      </c>
      <c r="H39" s="48" cm="1">
        <f t="array" aca="1" ref="H39" ca="1">_xlfn.XLOOKUP($B39,INDIRECT("'"&amp;H$3&amp;"'!"&amp;"$A48:$A89"),_xlfn.XLOOKUP(H$5,INDIRECT("'"&amp;H$3&amp;"'!"&amp;"$C2:$AZ2"),INDIRECT("'"&amp;H$3&amp;"'!"&amp;"$C48:$AZ89")))</f>
        <v>2</v>
      </c>
      <c r="I39" s="46">
        <f t="shared" ca="1" si="0"/>
        <v>0</v>
      </c>
      <c r="J39" s="55"/>
    </row>
    <row r="40" spans="1:10" x14ac:dyDescent="0.25">
      <c r="A40" s="54"/>
      <c r="B40" s="70" t="s">
        <v>213</v>
      </c>
      <c r="C40" s="44" t="s">
        <v>214</v>
      </c>
      <c r="D40" s="56"/>
      <c r="E40" s="45" cm="1">
        <f t="array" aca="1" ref="E40" ca="1">_xlfn.XLOOKUP($B40,INDIRECT("'"&amp;E$3&amp;"'!"&amp;"$A3:$A44"),_xlfn.XLOOKUP(E$5,INDIRECT("'"&amp;E$3&amp;"'!"&amp;"$C2:$AZ2"),INDIRECT("'"&amp;E$3&amp;"'!"&amp;"$C3:$AZ44")))</f>
        <v>0</v>
      </c>
      <c r="F40" s="46" cm="1">
        <f t="array" aca="1" ref="F40" ca="1">_xlfn.XLOOKUP($B40,INDIRECT("'"&amp;F$3&amp;"'!"&amp;"$A48:$A89"),_xlfn.XLOOKUP(F$5,INDIRECT("'"&amp;F$3&amp;"'!"&amp;"$C2:$AZ2"),INDIRECT("'"&amp;F$3&amp;"'!"&amp;"$C48:$AZ89")))</f>
        <v>0</v>
      </c>
      <c r="G40" s="47" cm="1">
        <f t="array" aca="1" ref="G40" ca="1">_xlfn.XLOOKUP($B40,INDIRECT("'"&amp;G$3&amp;"'!"&amp;"$A3:$A44"),_xlfn.XLOOKUP(G$5,INDIRECT("'"&amp;G$3&amp;"'!"&amp;"$C2:$AZ2"),INDIRECT("'"&amp;G$3&amp;"'!"&amp;"$C3:$AZ44")))</f>
        <v>0</v>
      </c>
      <c r="H40" s="48" cm="1">
        <f t="array" aca="1" ref="H40" ca="1">_xlfn.XLOOKUP($B40,INDIRECT("'"&amp;H$3&amp;"'!"&amp;"$A48:$A89"),_xlfn.XLOOKUP(H$5,INDIRECT("'"&amp;H$3&amp;"'!"&amp;"$C2:$AZ2"),INDIRECT("'"&amp;H$3&amp;"'!"&amp;"$C48:$AZ89")))</f>
        <v>0</v>
      </c>
      <c r="I40" s="46">
        <f t="shared" ref="I40:I48" ca="1" si="1">H40-F40</f>
        <v>0</v>
      </c>
      <c r="J40" s="55"/>
    </row>
    <row r="41" spans="1:10" x14ac:dyDescent="0.25">
      <c r="A41" s="54"/>
      <c r="B41" s="70" t="s">
        <v>215</v>
      </c>
      <c r="C41" s="44" t="s">
        <v>216</v>
      </c>
      <c r="D41" s="56"/>
      <c r="E41" s="45" cm="1">
        <f t="array" aca="1" ref="E41" ca="1">_xlfn.XLOOKUP($B41,INDIRECT("'"&amp;E$3&amp;"'!"&amp;"$A3:$A44"),_xlfn.XLOOKUP(E$5,INDIRECT("'"&amp;E$3&amp;"'!"&amp;"$C2:$AZ2"),INDIRECT("'"&amp;E$3&amp;"'!"&amp;"$C3:$AZ44")))</f>
        <v>4</v>
      </c>
      <c r="F41" s="46" cm="1">
        <f t="array" aca="1" ref="F41" ca="1">_xlfn.XLOOKUP($B41,INDIRECT("'"&amp;F$3&amp;"'!"&amp;"$A48:$A89"),_xlfn.XLOOKUP(F$5,INDIRECT("'"&amp;F$3&amp;"'!"&amp;"$C2:$AZ2"),INDIRECT("'"&amp;F$3&amp;"'!"&amp;"$C48:$AZ89")))</f>
        <v>14</v>
      </c>
      <c r="G41" s="47" cm="1">
        <f t="array" aca="1" ref="G41" ca="1">_xlfn.XLOOKUP($B41,INDIRECT("'"&amp;G$3&amp;"'!"&amp;"$A3:$A44"),_xlfn.XLOOKUP(G$5,INDIRECT("'"&amp;G$3&amp;"'!"&amp;"$C2:$AZ2"),INDIRECT("'"&amp;G$3&amp;"'!"&amp;"$C3:$AZ44")))</f>
        <v>5</v>
      </c>
      <c r="H41" s="48" cm="1">
        <f t="array" aca="1" ref="H41" ca="1">_xlfn.XLOOKUP($B41,INDIRECT("'"&amp;H$3&amp;"'!"&amp;"$A48:$A89"),_xlfn.XLOOKUP(H$5,INDIRECT("'"&amp;H$3&amp;"'!"&amp;"$C2:$AZ2"),INDIRECT("'"&amp;H$3&amp;"'!"&amp;"$C48:$AZ89")))</f>
        <v>10</v>
      </c>
      <c r="I41" s="46">
        <f t="shared" ca="1" si="1"/>
        <v>-4</v>
      </c>
      <c r="J41" s="55"/>
    </row>
    <row r="42" spans="1:10" x14ac:dyDescent="0.25">
      <c r="A42" s="54"/>
      <c r="B42" s="70" t="s">
        <v>217</v>
      </c>
      <c r="C42" s="44" t="s">
        <v>218</v>
      </c>
      <c r="D42" s="56"/>
      <c r="E42" s="45" cm="1">
        <f t="array" aca="1" ref="E42" ca="1">_xlfn.XLOOKUP($B42,INDIRECT("'"&amp;E$3&amp;"'!"&amp;"$A3:$A44"),_xlfn.XLOOKUP(E$5,INDIRECT("'"&amp;E$3&amp;"'!"&amp;"$C2:$AZ2"),INDIRECT("'"&amp;E$3&amp;"'!"&amp;"$C3:$AZ44")))</f>
        <v>0</v>
      </c>
      <c r="F42" s="46" cm="1">
        <f t="array" aca="1" ref="F42" ca="1">_xlfn.XLOOKUP($B42,INDIRECT("'"&amp;F$3&amp;"'!"&amp;"$A48:$A89"),_xlfn.XLOOKUP(F$5,INDIRECT("'"&amp;F$3&amp;"'!"&amp;"$C2:$AZ2"),INDIRECT("'"&amp;F$3&amp;"'!"&amp;"$C48:$AZ89")))</f>
        <v>3</v>
      </c>
      <c r="G42" s="47" cm="1">
        <f t="array" aca="1" ref="G42" ca="1">_xlfn.XLOOKUP($B42,INDIRECT("'"&amp;G$3&amp;"'!"&amp;"$A3:$A44"),_xlfn.XLOOKUP(G$5,INDIRECT("'"&amp;G$3&amp;"'!"&amp;"$C2:$AZ2"),INDIRECT("'"&amp;G$3&amp;"'!"&amp;"$C3:$AZ44")))</f>
        <v>0</v>
      </c>
      <c r="H42" s="48" cm="1">
        <f t="array" aca="1" ref="H42" ca="1">_xlfn.XLOOKUP($B42,INDIRECT("'"&amp;H$3&amp;"'!"&amp;"$A48:$A89"),_xlfn.XLOOKUP(H$5,INDIRECT("'"&amp;H$3&amp;"'!"&amp;"$C2:$AZ2"),INDIRECT("'"&amp;H$3&amp;"'!"&amp;"$C48:$AZ89")))</f>
        <v>1</v>
      </c>
      <c r="I42" s="46">
        <f t="shared" ca="1" si="1"/>
        <v>-2</v>
      </c>
      <c r="J42" s="55"/>
    </row>
    <row r="43" spans="1:10" x14ac:dyDescent="0.25">
      <c r="A43" s="54"/>
      <c r="B43" s="70" t="s">
        <v>219</v>
      </c>
      <c r="C43" s="44" t="s">
        <v>220</v>
      </c>
      <c r="D43" s="56"/>
      <c r="E43" s="45" cm="1">
        <f t="array" aca="1" ref="E43" ca="1">_xlfn.XLOOKUP($B43,INDIRECT("'"&amp;E$3&amp;"'!"&amp;"$A3:$A44"),_xlfn.XLOOKUP(E$5,INDIRECT("'"&amp;E$3&amp;"'!"&amp;"$C2:$AZ2"),INDIRECT("'"&amp;E$3&amp;"'!"&amp;"$C3:$AZ44")))</f>
        <v>0</v>
      </c>
      <c r="F43" s="46" cm="1">
        <f t="array" aca="1" ref="F43" ca="1">_xlfn.XLOOKUP($B43,INDIRECT("'"&amp;F$3&amp;"'!"&amp;"$A48:$A89"),_xlfn.XLOOKUP(F$5,INDIRECT("'"&amp;F$3&amp;"'!"&amp;"$C2:$AZ2"),INDIRECT("'"&amp;F$3&amp;"'!"&amp;"$C48:$AZ89")))</f>
        <v>3</v>
      </c>
      <c r="G43" s="47" cm="1">
        <f t="array" aca="1" ref="G43" ca="1">_xlfn.XLOOKUP($B43,INDIRECT("'"&amp;G$3&amp;"'!"&amp;"$A3:$A44"),_xlfn.XLOOKUP(G$5,INDIRECT("'"&amp;G$3&amp;"'!"&amp;"$C2:$AZ2"),INDIRECT("'"&amp;G$3&amp;"'!"&amp;"$C3:$AZ44")))</f>
        <v>0</v>
      </c>
      <c r="H43" s="48" cm="1">
        <f t="array" aca="1" ref="H43" ca="1">_xlfn.XLOOKUP($B43,INDIRECT("'"&amp;H$3&amp;"'!"&amp;"$A48:$A89"),_xlfn.XLOOKUP(H$5,INDIRECT("'"&amp;H$3&amp;"'!"&amp;"$C2:$AZ2"),INDIRECT("'"&amp;H$3&amp;"'!"&amp;"$C48:$AZ89")))</f>
        <v>1</v>
      </c>
      <c r="I43" s="46">
        <f t="shared" ca="1" si="1"/>
        <v>-2</v>
      </c>
      <c r="J43" s="55"/>
    </row>
    <row r="44" spans="1:10" x14ac:dyDescent="0.25">
      <c r="A44" s="54"/>
      <c r="B44" s="70" t="s">
        <v>221</v>
      </c>
      <c r="C44" s="44" t="s">
        <v>222</v>
      </c>
      <c r="D44" s="56"/>
      <c r="E44" s="45" cm="1">
        <f t="array" aca="1" ref="E44" ca="1">_xlfn.XLOOKUP($B44,INDIRECT("'"&amp;E$3&amp;"'!"&amp;"$A3:$A44"),_xlfn.XLOOKUP(E$5,INDIRECT("'"&amp;E$3&amp;"'!"&amp;"$C2:$AZ2"),INDIRECT("'"&amp;E$3&amp;"'!"&amp;"$C3:$AZ44")))</f>
        <v>0</v>
      </c>
      <c r="F44" s="46" cm="1">
        <f t="array" aca="1" ref="F44" ca="1">_xlfn.XLOOKUP($B44,INDIRECT("'"&amp;F$3&amp;"'!"&amp;"$A48:$A89"),_xlfn.XLOOKUP(F$5,INDIRECT("'"&amp;F$3&amp;"'!"&amp;"$C2:$AZ2"),INDIRECT("'"&amp;F$3&amp;"'!"&amp;"$C48:$AZ89")))</f>
        <v>0</v>
      </c>
      <c r="G44" s="47" cm="1">
        <f t="array" aca="1" ref="G44" ca="1">_xlfn.XLOOKUP($B44,INDIRECT("'"&amp;G$3&amp;"'!"&amp;"$A3:$A44"),_xlfn.XLOOKUP(G$5,INDIRECT("'"&amp;G$3&amp;"'!"&amp;"$C2:$AZ2"),INDIRECT("'"&amp;G$3&amp;"'!"&amp;"$C3:$AZ44")))</f>
        <v>0</v>
      </c>
      <c r="H44" s="48" cm="1">
        <f t="array" aca="1" ref="H44" ca="1">_xlfn.XLOOKUP($B44,INDIRECT("'"&amp;H$3&amp;"'!"&amp;"$A48:$A89"),_xlfn.XLOOKUP(H$5,INDIRECT("'"&amp;H$3&amp;"'!"&amp;"$C2:$AZ2"),INDIRECT("'"&amp;H$3&amp;"'!"&amp;"$C48:$AZ89")))</f>
        <v>0</v>
      </c>
      <c r="I44" s="46">
        <f t="shared" ca="1" si="1"/>
        <v>0</v>
      </c>
      <c r="J44" s="55"/>
    </row>
    <row r="45" spans="1:10" x14ac:dyDescent="0.25">
      <c r="A45" s="54"/>
      <c r="B45" s="70" t="s">
        <v>223</v>
      </c>
      <c r="C45" s="44" t="s">
        <v>224</v>
      </c>
      <c r="D45" s="56"/>
      <c r="E45" s="45" cm="1">
        <f t="array" aca="1" ref="E45" ca="1">_xlfn.XLOOKUP($B45,INDIRECT("'"&amp;E$3&amp;"'!"&amp;"$A3:$A44"),_xlfn.XLOOKUP(E$5,INDIRECT("'"&amp;E$3&amp;"'!"&amp;"$C2:$AZ2"),INDIRECT("'"&amp;E$3&amp;"'!"&amp;"$C3:$AZ44")))</f>
        <v>0</v>
      </c>
      <c r="F45" s="46" cm="1">
        <f t="array" aca="1" ref="F45" ca="1">_xlfn.XLOOKUP($B45,INDIRECT("'"&amp;F$3&amp;"'!"&amp;"$A48:$A89"),_xlfn.XLOOKUP(F$5,INDIRECT("'"&amp;F$3&amp;"'!"&amp;"$C2:$AZ2"),INDIRECT("'"&amp;F$3&amp;"'!"&amp;"$C48:$AZ89")))</f>
        <v>1</v>
      </c>
      <c r="G45" s="47" cm="1">
        <f t="array" aca="1" ref="G45" ca="1">_xlfn.XLOOKUP($B45,INDIRECT("'"&amp;G$3&amp;"'!"&amp;"$A3:$A44"),_xlfn.XLOOKUP(G$5,INDIRECT("'"&amp;G$3&amp;"'!"&amp;"$C2:$AZ2"),INDIRECT("'"&amp;G$3&amp;"'!"&amp;"$C3:$AZ44")))</f>
        <v>0</v>
      </c>
      <c r="H45" s="48" cm="1">
        <f t="array" aca="1" ref="H45" ca="1">_xlfn.XLOOKUP($B45,INDIRECT("'"&amp;H$3&amp;"'!"&amp;"$A48:$A89"),_xlfn.XLOOKUP(H$5,INDIRECT("'"&amp;H$3&amp;"'!"&amp;"$C2:$AZ2"),INDIRECT("'"&amp;H$3&amp;"'!"&amp;"$C48:$AZ89")))</f>
        <v>0</v>
      </c>
      <c r="I45" s="46">
        <f t="shared" ca="1" si="1"/>
        <v>-1</v>
      </c>
      <c r="J45" s="55"/>
    </row>
    <row r="46" spans="1:10" x14ac:dyDescent="0.25">
      <c r="A46" s="54"/>
      <c r="B46" s="70" t="s">
        <v>225</v>
      </c>
      <c r="C46" s="44" t="s">
        <v>226</v>
      </c>
      <c r="D46" s="56"/>
      <c r="E46" s="45" cm="1">
        <f t="array" aca="1" ref="E46" ca="1">_xlfn.XLOOKUP($B46,INDIRECT("'"&amp;E$3&amp;"'!"&amp;"$A3:$A44"),_xlfn.XLOOKUP(E$5,INDIRECT("'"&amp;E$3&amp;"'!"&amp;"$C2:$AZ2"),INDIRECT("'"&amp;E$3&amp;"'!"&amp;"$C3:$AZ44")))</f>
        <v>0</v>
      </c>
      <c r="F46" s="46" cm="1">
        <f t="array" aca="1" ref="F46" ca="1">_xlfn.XLOOKUP($B46,INDIRECT("'"&amp;F$3&amp;"'!"&amp;"$A48:$A89"),_xlfn.XLOOKUP(F$5,INDIRECT("'"&amp;F$3&amp;"'!"&amp;"$C2:$AZ2"),INDIRECT("'"&amp;F$3&amp;"'!"&amp;"$C48:$AZ89")))</f>
        <v>0</v>
      </c>
      <c r="G46" s="47" cm="1">
        <f t="array" aca="1" ref="G46" ca="1">_xlfn.XLOOKUP($B46,INDIRECT("'"&amp;G$3&amp;"'!"&amp;"$A3:$A44"),_xlfn.XLOOKUP(G$5,INDIRECT("'"&amp;G$3&amp;"'!"&amp;"$C2:$AZ2"),INDIRECT("'"&amp;G$3&amp;"'!"&amp;"$C3:$AZ44")))</f>
        <v>0</v>
      </c>
      <c r="H46" s="48" cm="1">
        <f t="array" aca="1" ref="H46" ca="1">_xlfn.XLOOKUP($B46,INDIRECT("'"&amp;H$3&amp;"'!"&amp;"$A48:$A89"),_xlfn.XLOOKUP(H$5,INDIRECT("'"&amp;H$3&amp;"'!"&amp;"$C2:$AZ2"),INDIRECT("'"&amp;H$3&amp;"'!"&amp;"$C48:$AZ89")))</f>
        <v>1</v>
      </c>
      <c r="I46" s="46">
        <f t="shared" ca="1" si="1"/>
        <v>1</v>
      </c>
      <c r="J46" s="55"/>
    </row>
    <row r="47" spans="1:10" x14ac:dyDescent="0.25">
      <c r="A47" s="54"/>
      <c r="B47" s="70" t="s">
        <v>227</v>
      </c>
      <c r="C47" s="44" t="s">
        <v>228</v>
      </c>
      <c r="D47" s="56"/>
      <c r="E47" s="45" cm="1">
        <f t="array" aca="1" ref="E47" ca="1">_xlfn.XLOOKUP($B47,INDIRECT("'"&amp;E$3&amp;"'!"&amp;"$A3:$A44"),_xlfn.XLOOKUP(E$5,INDIRECT("'"&amp;E$3&amp;"'!"&amp;"$C2:$AZ2"),INDIRECT("'"&amp;E$3&amp;"'!"&amp;"$C3:$AZ44")))</f>
        <v>0</v>
      </c>
      <c r="F47" s="46" cm="1">
        <f t="array" aca="1" ref="F47" ca="1">_xlfn.XLOOKUP($B47,INDIRECT("'"&amp;F$3&amp;"'!"&amp;"$A48:$A89"),_xlfn.XLOOKUP(F$5,INDIRECT("'"&amp;F$3&amp;"'!"&amp;"$C2:$AZ2"),INDIRECT("'"&amp;F$3&amp;"'!"&amp;"$C48:$AZ89")))</f>
        <v>0</v>
      </c>
      <c r="G47" s="47" cm="1">
        <f t="array" aca="1" ref="G47" ca="1">_xlfn.XLOOKUP($B47,INDIRECT("'"&amp;G$3&amp;"'!"&amp;"$A3:$A44"),_xlfn.XLOOKUP(G$5,INDIRECT("'"&amp;G$3&amp;"'!"&amp;"$C2:$AZ2"),INDIRECT("'"&amp;G$3&amp;"'!"&amp;"$C3:$AZ44")))</f>
        <v>0</v>
      </c>
      <c r="H47" s="48" cm="1">
        <f t="array" aca="1" ref="H47" ca="1">_xlfn.XLOOKUP($B47,INDIRECT("'"&amp;H$3&amp;"'!"&amp;"$A48:$A89"),_xlfn.XLOOKUP(H$5,INDIRECT("'"&amp;H$3&amp;"'!"&amp;"$C2:$AZ2"),INDIRECT("'"&amp;H$3&amp;"'!"&amp;"$C48:$AZ89")))</f>
        <v>0</v>
      </c>
      <c r="I47" s="46">
        <f t="shared" ca="1" si="1"/>
        <v>0</v>
      </c>
      <c r="J47" s="55"/>
    </row>
    <row r="48" spans="1:10" ht="15.75" thickBot="1" x14ac:dyDescent="0.3">
      <c r="A48" s="54"/>
      <c r="B48" s="70" t="s">
        <v>229</v>
      </c>
      <c r="C48" s="44" t="s">
        <v>230</v>
      </c>
      <c r="D48" s="56"/>
      <c r="E48" s="45" cm="1">
        <f t="array" aca="1" ref="E48" ca="1">_xlfn.XLOOKUP($B48,INDIRECT("'"&amp;E$3&amp;"'!"&amp;"$A3:$A44"),_xlfn.XLOOKUP(E$5,INDIRECT("'"&amp;E$3&amp;"'!"&amp;"$C2:$AZ2"),INDIRECT("'"&amp;E$3&amp;"'!"&amp;"$C3:$AZ44")))</f>
        <v>0</v>
      </c>
      <c r="F48" s="46" cm="1">
        <f t="array" aca="1" ref="F48" ca="1">_xlfn.XLOOKUP($B48,INDIRECT("'"&amp;F$3&amp;"'!"&amp;"$A48:$A89"),_xlfn.XLOOKUP(F$5,INDIRECT("'"&amp;F$3&amp;"'!"&amp;"$C2:$AZ2"),INDIRECT("'"&amp;F$3&amp;"'!"&amp;"$C48:$AZ89")))</f>
        <v>0</v>
      </c>
      <c r="G48" s="47" cm="1">
        <f t="array" aca="1" ref="G48" ca="1">_xlfn.XLOOKUP($B48,INDIRECT("'"&amp;G$3&amp;"'!"&amp;"$A3:$A44"),_xlfn.XLOOKUP(G$5,INDIRECT("'"&amp;G$3&amp;"'!"&amp;"$C2:$AZ2"),INDIRECT("'"&amp;G$3&amp;"'!"&amp;"$C3:$AZ44")))</f>
        <v>0</v>
      </c>
      <c r="H48" s="48" cm="1">
        <f t="array" aca="1" ref="H48" ca="1">_xlfn.XLOOKUP($B48,INDIRECT("'"&amp;H$3&amp;"'!"&amp;"$A48:$A89"),_xlfn.XLOOKUP(H$5,INDIRECT("'"&amp;H$3&amp;"'!"&amp;"$C2:$AZ2"),INDIRECT("'"&amp;H$3&amp;"'!"&amp;"$C48:$AZ89")))</f>
        <v>0</v>
      </c>
      <c r="I48" s="46">
        <f t="shared" ca="1" si="1"/>
        <v>0</v>
      </c>
      <c r="J48" s="55"/>
    </row>
    <row r="49" spans="1:10" ht="15.75" thickBot="1" x14ac:dyDescent="0.3">
      <c r="A49" s="54"/>
      <c r="B49" s="85" t="s">
        <v>75</v>
      </c>
      <c r="C49" s="85"/>
      <c r="D49" s="69"/>
      <c r="E49" s="68">
        <f ca="1">SUM(E7:E48)</f>
        <v>10</v>
      </c>
      <c r="F49" s="68">
        <f t="shared" ref="F49:I49" ca="1" si="2">SUM(F7:F48)</f>
        <v>77</v>
      </c>
      <c r="G49" s="68">
        <f t="shared" ca="1" si="2"/>
        <v>10</v>
      </c>
      <c r="H49" s="68">
        <f t="shared" ca="1" si="2"/>
        <v>58</v>
      </c>
      <c r="I49" s="68">
        <f t="shared" ca="1" si="2"/>
        <v>-19</v>
      </c>
      <c r="J49" s="55"/>
    </row>
    <row r="50" spans="1:10" ht="23.25" customHeight="1" thickBot="1" x14ac:dyDescent="0.3">
      <c r="A50" s="57"/>
      <c r="B50" s="58" t="s">
        <v>76</v>
      </c>
      <c r="C50" s="58"/>
      <c r="D50" s="58"/>
      <c r="E50" s="58"/>
      <c r="F50" s="58"/>
      <c r="G50" s="58"/>
      <c r="H50" s="58"/>
      <c r="I50" s="58"/>
      <c r="J50" s="59"/>
    </row>
  </sheetData>
  <mergeCells count="4">
    <mergeCell ref="E2:I2"/>
    <mergeCell ref="E4:F4"/>
    <mergeCell ref="G4:I4"/>
    <mergeCell ref="B49:C49"/>
  </mergeCells>
  <pageMargins left="0.7" right="0.7" top="0.75" bottom="0.75" header="0.3" footer="0.3"/>
  <ignoredErrors>
    <ignoredError sqref="G7:G48 F7:F48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B8C4-1AA5-4379-889F-88968583BFE3}">
  <sheetPr>
    <tabColor theme="5" tint="0.39997558519241921"/>
  </sheetPr>
  <dimension ref="A1:Q21"/>
  <sheetViews>
    <sheetView workbookViewId="0">
      <selection activeCell="B37" sqref="B37"/>
    </sheetView>
  </sheetViews>
  <sheetFormatPr defaultRowHeight="15" x14ac:dyDescent="0.25"/>
  <cols>
    <col min="1" max="1" width="23.5703125" bestFit="1" customWidth="1"/>
    <col min="2" max="2" width="16.85546875" bestFit="1" customWidth="1"/>
    <col min="3" max="3" width="10" bestFit="1" customWidth="1"/>
    <col min="4" max="4" width="11.28515625" bestFit="1" customWidth="1"/>
    <col min="5" max="5" width="11.28515625" customWidth="1"/>
    <col min="6" max="6" width="5.28515625" customWidth="1"/>
    <col min="7" max="7" width="14.5703125" bestFit="1" customWidth="1"/>
    <col min="8" max="8" width="17.28515625" bestFit="1" customWidth="1"/>
    <col min="9" max="9" width="10" bestFit="1" customWidth="1"/>
    <col min="10" max="10" width="11" bestFit="1" customWidth="1"/>
    <col min="11" max="12" width="11.28515625" bestFit="1" customWidth="1"/>
    <col min="13" max="13" width="11.28515625" customWidth="1"/>
    <col min="14" max="14" width="25.140625" bestFit="1" customWidth="1"/>
    <col min="15" max="15" width="16.85546875" bestFit="1" customWidth="1"/>
    <col min="16" max="16" width="10" bestFit="1" customWidth="1"/>
    <col min="17" max="17" width="11.28515625" bestFit="1" customWidth="1"/>
    <col min="18" max="18" width="8.42578125" bestFit="1" customWidth="1"/>
    <col min="19" max="19" width="11.28515625" bestFit="1" customWidth="1"/>
    <col min="20" max="20" width="11.85546875" customWidth="1"/>
    <col min="21" max="21" width="11.28515625" bestFit="1" customWidth="1"/>
  </cols>
  <sheetData>
    <row r="1" spans="1:17" x14ac:dyDescent="0.25">
      <c r="G1" s="31" t="s">
        <v>231</v>
      </c>
      <c r="H1" t="s">
        <v>232</v>
      </c>
    </row>
    <row r="3" spans="1:17" x14ac:dyDescent="0.25">
      <c r="G3" s="31" t="s">
        <v>233</v>
      </c>
      <c r="H3" s="31" t="s">
        <v>234</v>
      </c>
    </row>
    <row r="4" spans="1:17" x14ac:dyDescent="0.25">
      <c r="G4" s="31" t="s">
        <v>235</v>
      </c>
      <c r="H4" t="s">
        <v>236</v>
      </c>
      <c r="I4" t="s">
        <v>237</v>
      </c>
      <c r="J4" t="s">
        <v>238</v>
      </c>
      <c r="K4" t="s">
        <v>75</v>
      </c>
    </row>
    <row r="5" spans="1:17" x14ac:dyDescent="0.25">
      <c r="G5" s="4" t="s">
        <v>239</v>
      </c>
      <c r="H5">
        <v>13</v>
      </c>
      <c r="I5">
        <v>76</v>
      </c>
      <c r="K5">
        <v>89</v>
      </c>
    </row>
    <row r="6" spans="1:17" x14ac:dyDescent="0.25">
      <c r="G6" s="4" t="s">
        <v>240</v>
      </c>
      <c r="H6">
        <v>7</v>
      </c>
      <c r="I6">
        <v>47</v>
      </c>
      <c r="K6">
        <v>54</v>
      </c>
    </row>
    <row r="7" spans="1:17" x14ac:dyDescent="0.25">
      <c r="G7" s="4" t="s">
        <v>241</v>
      </c>
      <c r="H7">
        <v>16</v>
      </c>
      <c r="I7">
        <v>53</v>
      </c>
      <c r="J7">
        <v>1</v>
      </c>
      <c r="K7">
        <v>70</v>
      </c>
    </row>
    <row r="8" spans="1:17" x14ac:dyDescent="0.25">
      <c r="G8" s="4" t="s">
        <v>75</v>
      </c>
      <c r="H8">
        <v>36</v>
      </c>
      <c r="I8">
        <v>176</v>
      </c>
      <c r="J8">
        <v>1</v>
      </c>
      <c r="K8">
        <v>213</v>
      </c>
    </row>
    <row r="10" spans="1:17" x14ac:dyDescent="0.25">
      <c r="A10" s="75" t="s">
        <v>231</v>
      </c>
      <c r="B10" s="76" t="s">
        <v>242</v>
      </c>
      <c r="G10" s="75" t="s">
        <v>231</v>
      </c>
      <c r="H10" s="76" t="s">
        <v>242</v>
      </c>
      <c r="N10" s="75" t="s">
        <v>231</v>
      </c>
      <c r="O10" s="76" t="s">
        <v>242</v>
      </c>
    </row>
    <row r="12" spans="1:17" x14ac:dyDescent="0.25">
      <c r="A12" s="31" t="s">
        <v>233</v>
      </c>
      <c r="B12" s="31" t="s">
        <v>234</v>
      </c>
      <c r="G12" s="31" t="s">
        <v>233</v>
      </c>
      <c r="H12" s="31" t="s">
        <v>234</v>
      </c>
      <c r="N12" s="31" t="s">
        <v>233</v>
      </c>
      <c r="O12" s="31" t="s">
        <v>234</v>
      </c>
    </row>
    <row r="13" spans="1:17" x14ac:dyDescent="0.25">
      <c r="A13" s="31" t="s">
        <v>235</v>
      </c>
      <c r="B13" t="s">
        <v>236</v>
      </c>
      <c r="C13" t="s">
        <v>237</v>
      </c>
      <c r="D13" t="s">
        <v>75</v>
      </c>
      <c r="G13" s="31" t="s">
        <v>235</v>
      </c>
      <c r="H13" t="s">
        <v>236</v>
      </c>
      <c r="I13" t="s">
        <v>237</v>
      </c>
      <c r="J13" t="s">
        <v>75</v>
      </c>
      <c r="N13" s="31" t="s">
        <v>235</v>
      </c>
      <c r="O13" t="s">
        <v>236</v>
      </c>
      <c r="P13" t="s">
        <v>237</v>
      </c>
      <c r="Q13" t="s">
        <v>75</v>
      </c>
    </row>
    <row r="14" spans="1:17" x14ac:dyDescent="0.25">
      <c r="A14" s="4" t="s">
        <v>14</v>
      </c>
      <c r="B14">
        <v>1</v>
      </c>
      <c r="D14">
        <v>1</v>
      </c>
      <c r="G14" s="4" t="s">
        <v>79</v>
      </c>
      <c r="H14">
        <v>1</v>
      </c>
      <c r="J14">
        <v>1</v>
      </c>
      <c r="N14" s="4" t="s">
        <v>156</v>
      </c>
      <c r="O14">
        <v>1</v>
      </c>
      <c r="Q14">
        <v>1</v>
      </c>
    </row>
    <row r="15" spans="1:17" x14ac:dyDescent="0.25">
      <c r="A15" s="4" t="s">
        <v>16</v>
      </c>
      <c r="B15">
        <v>1</v>
      </c>
      <c r="D15">
        <v>1</v>
      </c>
      <c r="G15" s="4" t="s">
        <v>113</v>
      </c>
      <c r="I15">
        <v>1</v>
      </c>
      <c r="J15">
        <v>1</v>
      </c>
      <c r="N15" s="4" t="s">
        <v>172</v>
      </c>
      <c r="P15">
        <v>2</v>
      </c>
      <c r="Q15">
        <v>2</v>
      </c>
    </row>
    <row r="16" spans="1:17" x14ac:dyDescent="0.25">
      <c r="A16" s="4" t="s">
        <v>20</v>
      </c>
      <c r="B16">
        <v>1</v>
      </c>
      <c r="D16">
        <v>1</v>
      </c>
      <c r="G16" s="4" t="s">
        <v>129</v>
      </c>
      <c r="I16">
        <v>4</v>
      </c>
      <c r="J16">
        <v>4</v>
      </c>
      <c r="N16" s="4" t="s">
        <v>180</v>
      </c>
      <c r="P16">
        <v>1</v>
      </c>
      <c r="Q16">
        <v>1</v>
      </c>
    </row>
    <row r="17" spans="1:17" x14ac:dyDescent="0.25">
      <c r="A17" s="4" t="s">
        <v>40</v>
      </c>
      <c r="C17">
        <v>1</v>
      </c>
      <c r="D17">
        <v>1</v>
      </c>
      <c r="G17" s="4" t="s">
        <v>131</v>
      </c>
      <c r="I17">
        <v>1</v>
      </c>
      <c r="J17">
        <v>1</v>
      </c>
      <c r="N17" s="4" t="s">
        <v>190</v>
      </c>
      <c r="P17">
        <v>1</v>
      </c>
      <c r="Q17">
        <v>1</v>
      </c>
    </row>
    <row r="18" spans="1:17" x14ac:dyDescent="0.25">
      <c r="A18" s="4" t="s">
        <v>42</v>
      </c>
      <c r="C18">
        <v>2</v>
      </c>
      <c r="D18">
        <v>2</v>
      </c>
      <c r="G18" s="4" t="s">
        <v>75</v>
      </c>
      <c r="H18">
        <v>1</v>
      </c>
      <c r="I18">
        <v>6</v>
      </c>
      <c r="J18">
        <v>7</v>
      </c>
      <c r="N18" s="4" t="s">
        <v>216</v>
      </c>
      <c r="O18">
        <v>1</v>
      </c>
      <c r="P18">
        <v>4</v>
      </c>
      <c r="Q18">
        <v>5</v>
      </c>
    </row>
    <row r="19" spans="1:17" x14ac:dyDescent="0.25">
      <c r="A19" s="4" t="s">
        <v>64</v>
      </c>
      <c r="C19">
        <v>1</v>
      </c>
      <c r="D19">
        <v>1</v>
      </c>
      <c r="N19" s="4" t="s">
        <v>75</v>
      </c>
      <c r="O19">
        <v>2</v>
      </c>
      <c r="P19">
        <v>8</v>
      </c>
      <c r="Q19">
        <v>10</v>
      </c>
    </row>
    <row r="20" spans="1:17" x14ac:dyDescent="0.25">
      <c r="A20" s="4" t="s">
        <v>68</v>
      </c>
      <c r="B20">
        <v>2</v>
      </c>
      <c r="D20">
        <v>2</v>
      </c>
    </row>
    <row r="21" spans="1:17" x14ac:dyDescent="0.25">
      <c r="A21" s="4" t="s">
        <v>75</v>
      </c>
      <c r="B21">
        <v>5</v>
      </c>
      <c r="C21">
        <v>4</v>
      </c>
      <c r="D2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3F2B-670A-4D03-8B9B-7AB01249A652}">
  <sheetPr>
    <tabColor theme="5" tint="0.39997558519241921"/>
  </sheetPr>
  <dimension ref="A1:E13"/>
  <sheetViews>
    <sheetView workbookViewId="0">
      <selection activeCell="F15" sqref="F15"/>
    </sheetView>
  </sheetViews>
  <sheetFormatPr defaultRowHeight="15" x14ac:dyDescent="0.25"/>
  <cols>
    <col min="1" max="1" width="26.28515625" bestFit="1" customWidth="1"/>
    <col min="2" max="2" width="17.28515625" bestFit="1" customWidth="1"/>
    <col min="3" max="3" width="11.7109375" customWidth="1"/>
    <col min="4" max="4" width="11" bestFit="1" customWidth="1"/>
    <col min="5" max="6" width="11.28515625" bestFit="1" customWidth="1"/>
    <col min="7" max="7" width="11" customWidth="1"/>
  </cols>
  <sheetData>
    <row r="1" spans="1:5" x14ac:dyDescent="0.25">
      <c r="A1" s="31" t="s">
        <v>231</v>
      </c>
      <c r="B1" t="s">
        <v>232</v>
      </c>
    </row>
    <row r="3" spans="1:5" x14ac:dyDescent="0.25">
      <c r="A3" s="31" t="s">
        <v>1159</v>
      </c>
      <c r="B3" s="31" t="s">
        <v>234</v>
      </c>
    </row>
    <row r="4" spans="1:5" x14ac:dyDescent="0.25">
      <c r="A4" s="31" t="s">
        <v>235</v>
      </c>
      <c r="B4" t="s">
        <v>236</v>
      </c>
      <c r="C4" t="s">
        <v>237</v>
      </c>
      <c r="D4" t="s">
        <v>238</v>
      </c>
      <c r="E4" t="s">
        <v>75</v>
      </c>
    </row>
    <row r="5" spans="1:5" x14ac:dyDescent="0.25">
      <c r="A5" s="4" t="s">
        <v>508</v>
      </c>
      <c r="C5">
        <v>1</v>
      </c>
      <c r="E5">
        <v>1</v>
      </c>
    </row>
    <row r="6" spans="1:5" x14ac:dyDescent="0.25">
      <c r="A6" s="4" t="s">
        <v>263</v>
      </c>
      <c r="B6">
        <v>8</v>
      </c>
      <c r="C6">
        <v>19</v>
      </c>
      <c r="E6">
        <v>27</v>
      </c>
    </row>
    <row r="7" spans="1:5" x14ac:dyDescent="0.25">
      <c r="A7" s="4" t="s">
        <v>307</v>
      </c>
      <c r="B7">
        <v>10</v>
      </c>
      <c r="C7">
        <v>25</v>
      </c>
      <c r="D7">
        <v>1</v>
      </c>
      <c r="E7">
        <v>36</v>
      </c>
    </row>
    <row r="8" spans="1:5" x14ac:dyDescent="0.25">
      <c r="A8" s="4" t="s">
        <v>278</v>
      </c>
      <c r="B8">
        <v>2</v>
      </c>
      <c r="C8">
        <v>35</v>
      </c>
      <c r="E8">
        <v>37</v>
      </c>
    </row>
    <row r="9" spans="1:5" x14ac:dyDescent="0.25">
      <c r="A9" s="4" t="s">
        <v>272</v>
      </c>
      <c r="B9">
        <v>9</v>
      </c>
      <c r="C9">
        <v>26</v>
      </c>
      <c r="E9">
        <v>35</v>
      </c>
    </row>
    <row r="10" spans="1:5" x14ac:dyDescent="0.25">
      <c r="A10" s="4" t="s">
        <v>284</v>
      </c>
      <c r="B10">
        <v>1</v>
      </c>
      <c r="C10">
        <v>8</v>
      </c>
      <c r="E10">
        <v>9</v>
      </c>
    </row>
    <row r="11" spans="1:5" x14ac:dyDescent="0.25">
      <c r="A11" s="4" t="s">
        <v>333</v>
      </c>
      <c r="B11">
        <v>4</v>
      </c>
      <c r="C11">
        <v>29</v>
      </c>
      <c r="E11">
        <v>33</v>
      </c>
    </row>
    <row r="12" spans="1:5" x14ac:dyDescent="0.25">
      <c r="A12" s="4" t="s">
        <v>542</v>
      </c>
      <c r="C12">
        <v>5</v>
      </c>
      <c r="E12">
        <v>5</v>
      </c>
    </row>
    <row r="13" spans="1:5" x14ac:dyDescent="0.25">
      <c r="A13" s="4" t="s">
        <v>75</v>
      </c>
      <c r="B13">
        <v>34</v>
      </c>
      <c r="C13">
        <v>148</v>
      </c>
      <c r="D13">
        <v>1</v>
      </c>
      <c r="E13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8385-4219-41D9-805A-A0464B547AB6}">
  <sheetPr>
    <tabColor theme="5" tint="0.39997558519241921"/>
  </sheetPr>
  <dimension ref="A1"/>
  <sheetViews>
    <sheetView workbookViewId="0">
      <selection activeCell="P30" sqref="P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8A27-DBB7-4002-94D6-EC79F50DDF7A}">
  <sheetPr>
    <tabColor theme="5"/>
  </sheetPr>
  <dimension ref="A1:AJ71"/>
  <sheetViews>
    <sheetView workbookViewId="0"/>
  </sheetViews>
  <sheetFormatPr defaultRowHeight="15" outlineLevelCol="1" x14ac:dyDescent="0.25"/>
  <cols>
    <col min="1" max="1" width="12" customWidth="1"/>
    <col min="2" max="2" width="26.28515625" customWidth="1"/>
    <col min="3" max="17" width="9.140625" customWidth="1" outlineLevel="1"/>
    <col min="18" max="18" width="9.140625" hidden="1" customWidth="1" outlineLevel="1"/>
    <col min="19" max="19" width="14.140625" hidden="1" customWidth="1" outlineLevel="1"/>
    <col min="23" max="23" width="0" hidden="1" customWidth="1"/>
    <col min="27" max="27" width="0" hidden="1" customWidth="1"/>
    <col min="31" max="31" width="0" hidden="1" customWidth="1"/>
    <col min="36" max="36" width="13.7109375" customWidth="1"/>
  </cols>
  <sheetData>
    <row r="1" spans="1:36" ht="15.75" thickBot="1" x14ac:dyDescent="0.3">
      <c r="A1" s="26"/>
      <c r="B1" s="26"/>
      <c r="C1" s="89" t="s">
        <v>2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 t="s">
        <v>3</v>
      </c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2"/>
    </row>
    <row r="2" spans="1:36" ht="15.75" thickBot="1" x14ac:dyDescent="0.3">
      <c r="A2" s="27" t="s">
        <v>4</v>
      </c>
      <c r="B2" s="27" t="s">
        <v>5</v>
      </c>
      <c r="C2" s="11" t="str">
        <f>"JUL, "&amp;C1</f>
        <v>JUL, FY24</v>
      </c>
      <c r="D2" s="11" t="str">
        <f>"AUG, "&amp;C1</f>
        <v>AUG, FY24</v>
      </c>
      <c r="E2" s="11" t="str">
        <f>"SEP, "&amp;C1</f>
        <v>SEP, FY24</v>
      </c>
      <c r="F2" s="11" t="str">
        <f>"Q1, "&amp;C1</f>
        <v>Q1, FY24</v>
      </c>
      <c r="G2" s="11" t="str">
        <f>"OCT, "&amp;C1</f>
        <v>OCT, FY24</v>
      </c>
      <c r="H2" s="11" t="str">
        <f>"NOV, "&amp;C1</f>
        <v>NOV, FY24</v>
      </c>
      <c r="I2" s="11" t="str">
        <f>"DEC, "&amp;C1</f>
        <v>DEC, FY24</v>
      </c>
      <c r="J2" s="11" t="str">
        <f>"Q2, "&amp;C1</f>
        <v>Q2, FY24</v>
      </c>
      <c r="K2" s="11" t="str">
        <f>"JAN, "&amp;C1</f>
        <v>JAN, FY24</v>
      </c>
      <c r="L2" s="11" t="str">
        <f>"FEB, "&amp;C1</f>
        <v>FEB, FY24</v>
      </c>
      <c r="M2" s="11" t="str">
        <f>"MAR, "&amp;C1</f>
        <v>MAR, FY24</v>
      </c>
      <c r="N2" s="11" t="str">
        <f>"Q3, "&amp;C1</f>
        <v>Q3, FY24</v>
      </c>
      <c r="O2" s="11" t="str">
        <f>"APR, "&amp;C1</f>
        <v>APR, FY24</v>
      </c>
      <c r="P2" s="11" t="str">
        <f>"MAY, "&amp;C1</f>
        <v>MAY, FY24</v>
      </c>
      <c r="Q2" s="11" t="str">
        <f>"JUN, "&amp;C1</f>
        <v>JUN, FY24</v>
      </c>
      <c r="R2" s="11" t="str">
        <f>"Q4, "&amp;C1</f>
        <v>Q4, FY24</v>
      </c>
      <c r="S2" s="11" t="str">
        <f>"Full Year, "&amp;C1</f>
        <v>Full Year, FY24</v>
      </c>
      <c r="T2" s="9" t="str">
        <f>"JUL, "&amp;T1</f>
        <v>JUL, FY25</v>
      </c>
      <c r="U2" s="10" t="str">
        <f>"AUG, "&amp;T1</f>
        <v>AUG, FY25</v>
      </c>
      <c r="V2" s="10" t="str">
        <f>"SEP, "&amp;T1</f>
        <v>SEP, FY25</v>
      </c>
      <c r="W2" s="10" t="str">
        <f>"Q1, "&amp;T1</f>
        <v>Q1, FY25</v>
      </c>
      <c r="X2" s="10" t="str">
        <f>"OCT, "&amp;T1</f>
        <v>OCT, FY25</v>
      </c>
      <c r="Y2" s="10" t="str">
        <f>"NOV, "&amp;T1</f>
        <v>NOV, FY25</v>
      </c>
      <c r="Z2" s="10" t="str">
        <f>"DEC, "&amp;T1</f>
        <v>DEC, FY25</v>
      </c>
      <c r="AA2" s="10" t="str">
        <f>"Q2, "&amp;T1</f>
        <v>Q2, FY25</v>
      </c>
      <c r="AB2" s="10" t="str">
        <f>"JAN, "&amp;T1</f>
        <v>JAN, FY25</v>
      </c>
      <c r="AC2" s="10" t="str">
        <f>"FEB, "&amp;T1</f>
        <v>FEB, FY25</v>
      </c>
      <c r="AD2" s="10" t="str">
        <f>"MAR, "&amp;T1</f>
        <v>MAR, FY25</v>
      </c>
      <c r="AE2" s="10" t="str">
        <f>"Q3, "&amp;T1</f>
        <v>Q3, FY25</v>
      </c>
      <c r="AF2" s="10" t="str">
        <f>"APR, "&amp;T1</f>
        <v>APR, FY25</v>
      </c>
      <c r="AG2" s="10" t="str">
        <f>"MAY, "&amp;T1</f>
        <v>MAY, FY25</v>
      </c>
      <c r="AH2" s="10" t="str">
        <f>"JUN, "&amp;T1</f>
        <v>JUN, FY25</v>
      </c>
      <c r="AI2" s="10" t="str">
        <f>"Q4, "&amp;T1</f>
        <v>Q4, FY25</v>
      </c>
      <c r="AJ2" s="10" t="str">
        <f>"Full Year, "&amp;T1</f>
        <v>Full Year, FY25</v>
      </c>
    </row>
    <row r="3" spans="1:36" x14ac:dyDescent="0.25">
      <c r="A3" s="23" t="s">
        <v>9</v>
      </c>
      <c r="B3" s="24" t="s">
        <v>10</v>
      </c>
      <c r="C3" s="28">
        <f>COUNTIFS('Data Dump'!$P:$P,'ANA FEED'!$A3,'Data Dump'!$S:$S,'ANA FEED'!C$2)</f>
        <v>1</v>
      </c>
      <c r="D3" s="28">
        <f>COUNTIFS('Data Dump'!$P:$P,'ANA FEED'!$A3,'Data Dump'!$S:$S,'ANA FEED'!D$2)</f>
        <v>0</v>
      </c>
      <c r="E3" s="28">
        <f>COUNTIFS('Data Dump'!$P:$P,'ANA FEED'!$A3,'Data Dump'!$S:$S,'ANA FEED'!E$2)</f>
        <v>0</v>
      </c>
      <c r="F3" s="29">
        <f>SUBTOTAL(9,C3:E3)</f>
        <v>1</v>
      </c>
      <c r="G3" s="28">
        <f>COUNTIFS('Data Dump'!$P:$P,'ANA FEED'!$A3,'Data Dump'!$S:$S,'ANA FEED'!G$2)</f>
        <v>0</v>
      </c>
      <c r="H3" s="28">
        <f>COUNTIFS('Data Dump'!$P:$P,'ANA FEED'!$A3,'Data Dump'!$S:$S,'ANA FEED'!H$2)</f>
        <v>0</v>
      </c>
      <c r="I3" s="28">
        <f>COUNTIFS('Data Dump'!$P:$P,'ANA FEED'!$A3,'Data Dump'!$S:$S,'ANA FEED'!I$2)</f>
        <v>1</v>
      </c>
      <c r="J3" s="29">
        <f>SUBTOTAL(9,G3:I3)</f>
        <v>1</v>
      </c>
      <c r="K3" s="28">
        <f>COUNTIFS('Data Dump'!$P:$P,'ANA FEED'!$A3,'Data Dump'!$S:$S,'ANA FEED'!K$2)</f>
        <v>0</v>
      </c>
      <c r="L3" s="28">
        <f>COUNTIFS('Data Dump'!$P:$P,'ANA FEED'!$A3,'Data Dump'!$S:$S,'ANA FEED'!L$2)</f>
        <v>0</v>
      </c>
      <c r="M3" s="28">
        <f>COUNTIFS('Data Dump'!$P:$P,'ANA FEED'!$A3,'Data Dump'!$S:$S,'ANA FEED'!M$2)</f>
        <v>0</v>
      </c>
      <c r="N3" s="29">
        <f>SUBTOTAL(9,K3:M3)</f>
        <v>0</v>
      </c>
      <c r="O3" s="28">
        <f>COUNTIFS('Data Dump'!$P:$P,'ANA FEED'!$A3,'Data Dump'!$S:$S,'ANA FEED'!O$2)</f>
        <v>0</v>
      </c>
      <c r="P3" s="28">
        <f>COUNTIFS('Data Dump'!$P:$P,'ANA FEED'!$A3,'Data Dump'!$S:$S,'ANA FEED'!P$2)</f>
        <v>0</v>
      </c>
      <c r="Q3" s="28">
        <f>COUNTIFS('Data Dump'!$P:$P,'ANA FEED'!$A3,'Data Dump'!$S:$S,'ANA FEED'!Q$2)</f>
        <v>0</v>
      </c>
      <c r="R3" s="29">
        <f>SUBTOTAL(9,O3:Q3)</f>
        <v>0</v>
      </c>
      <c r="S3" s="29">
        <f>SUBTOTAL(9,C3:R3)</f>
        <v>2</v>
      </c>
      <c r="T3" s="17">
        <f>COUNTIFS('Data Dump'!$P:$P,'ANA FEED'!$A3,'Data Dump'!$S:$S,'ANA FEED'!T$2)</f>
        <v>0</v>
      </c>
      <c r="U3" s="17">
        <f>COUNTIFS('Data Dump'!$P:$P,'ANA FEED'!$A3,'Data Dump'!$S:$S,'ANA FEED'!U$2)</f>
        <v>0</v>
      </c>
      <c r="V3" s="17">
        <f>COUNTIFS('Data Dump'!$P:$P,'ANA FEED'!$A3,'Data Dump'!$S:$S,'ANA FEED'!V$2)</f>
        <v>0</v>
      </c>
      <c r="W3" s="15">
        <f>SUBTOTAL(9,T3:V3)</f>
        <v>0</v>
      </c>
      <c r="X3" s="17">
        <f>COUNTIFS('Data Dump'!$P:$P,'ANA FEED'!$A3,'Data Dump'!$S:$S,'ANA FEED'!X$2)</f>
        <v>0</v>
      </c>
      <c r="Y3" s="17">
        <f>COUNTIFS('Data Dump'!$P:$P,'ANA FEED'!$A3,'Data Dump'!$S:$S,'ANA FEED'!Y$2)</f>
        <v>0</v>
      </c>
      <c r="Z3" s="17">
        <f>COUNTIFS('Data Dump'!$P:$P,'ANA FEED'!$A3,'Data Dump'!$S:$S,'ANA FEED'!Z$2)</f>
        <v>1</v>
      </c>
      <c r="AA3" s="15">
        <f>SUBTOTAL(9,X3:Z3)</f>
        <v>1</v>
      </c>
      <c r="AB3" s="17">
        <f>COUNTIFS('Data Dump'!$P:$P,'ANA FEED'!$A3,'Data Dump'!$S:$S,'ANA FEED'!AB$2)</f>
        <v>0</v>
      </c>
      <c r="AC3" s="17">
        <f>COUNTIFS('Data Dump'!$P:$P,'ANA FEED'!$A3,'Data Dump'!$S:$S,'ANA FEED'!AC$2)</f>
        <v>0</v>
      </c>
      <c r="AD3" s="17">
        <f>COUNTIFS('Data Dump'!$P:$P,'ANA FEED'!$A3,'Data Dump'!$S:$S,'ANA FEED'!AD$2)</f>
        <v>0</v>
      </c>
      <c r="AE3" s="15">
        <f>SUBTOTAL(9,AB3:AD3)</f>
        <v>0</v>
      </c>
      <c r="AF3" s="17">
        <f>COUNTIFS('Data Dump'!$P:$P,'ANA FEED'!$A3,'Data Dump'!$S:$S,'ANA FEED'!AF$2)</f>
        <v>0</v>
      </c>
      <c r="AG3" s="17">
        <f>COUNTIFS('Data Dump'!$P:$P,'ANA FEED'!$A3,'Data Dump'!$S:$S,'ANA FEED'!AG$2)</f>
        <v>0</v>
      </c>
      <c r="AH3" s="17">
        <f>COUNTIFS('Data Dump'!$P:$P,'ANA FEED'!$A3,'Data Dump'!$S:$S,'ANA FEED'!AH$2)</f>
        <v>0</v>
      </c>
      <c r="AI3" s="15">
        <f>SUBTOTAL(9,AF3:AH3)</f>
        <v>0</v>
      </c>
      <c r="AJ3" s="15">
        <f>SUBTOTAL(9,T3:AI3)</f>
        <v>1</v>
      </c>
    </row>
    <row r="4" spans="1:36" x14ac:dyDescent="0.25">
      <c r="A4" s="12" t="s">
        <v>11</v>
      </c>
      <c r="B4" s="13" t="s">
        <v>12</v>
      </c>
      <c r="C4" s="17">
        <f>COUNTIFS('Data Dump'!$P:$P,'ANA FEED'!$A4,'Data Dump'!$S:$S,'ANA FEED'!C$2)</f>
        <v>0</v>
      </c>
      <c r="D4" s="17">
        <f>COUNTIFS('Data Dump'!$P:$P,'ANA FEED'!$A4,'Data Dump'!$S:$S,'ANA FEED'!D$2)</f>
        <v>0</v>
      </c>
      <c r="E4" s="17">
        <f>COUNTIFS('Data Dump'!$P:$P,'ANA FEED'!$A4,'Data Dump'!$S:$S,'ANA FEED'!E$2)</f>
        <v>0</v>
      </c>
      <c r="F4" s="15">
        <f t="shared" ref="F4:F35" si="0">SUBTOTAL(9,C4:E4)</f>
        <v>0</v>
      </c>
      <c r="G4" s="17">
        <f>COUNTIFS('Data Dump'!$P:$P,'ANA FEED'!$A4,'Data Dump'!$S:$S,'ANA FEED'!G$2)</f>
        <v>0</v>
      </c>
      <c r="H4" s="17">
        <f>COUNTIFS('Data Dump'!$P:$P,'ANA FEED'!$A4,'Data Dump'!$S:$S,'ANA FEED'!H$2)</f>
        <v>0</v>
      </c>
      <c r="I4" s="17">
        <f>COUNTIFS('Data Dump'!$P:$P,'ANA FEED'!$A4,'Data Dump'!$S:$S,'ANA FEED'!I$2)</f>
        <v>0</v>
      </c>
      <c r="J4" s="15">
        <f t="shared" ref="J4:J35" si="1">SUBTOTAL(9,G4:I4)</f>
        <v>0</v>
      </c>
      <c r="K4" s="17">
        <f>COUNTIFS('Data Dump'!$P:$P,'ANA FEED'!$A4,'Data Dump'!$S:$S,'ANA FEED'!K$2)</f>
        <v>0</v>
      </c>
      <c r="L4" s="17">
        <f>COUNTIFS('Data Dump'!$P:$P,'ANA FEED'!$A4,'Data Dump'!$S:$S,'ANA FEED'!L$2)</f>
        <v>0</v>
      </c>
      <c r="M4" s="17">
        <f>COUNTIFS('Data Dump'!$P:$P,'ANA FEED'!$A4,'Data Dump'!$S:$S,'ANA FEED'!M$2)</f>
        <v>0</v>
      </c>
      <c r="N4" s="15">
        <f t="shared" ref="N4:N35" si="2">SUBTOTAL(9,K4:M4)</f>
        <v>0</v>
      </c>
      <c r="O4" s="17">
        <f>COUNTIFS('Data Dump'!$P:$P,'ANA FEED'!$A4,'Data Dump'!$S:$S,'ANA FEED'!O$2)</f>
        <v>0</v>
      </c>
      <c r="P4" s="17">
        <f>COUNTIFS('Data Dump'!$P:$P,'ANA FEED'!$A4,'Data Dump'!$S:$S,'ANA FEED'!P$2)</f>
        <v>0</v>
      </c>
      <c r="Q4" s="17">
        <f>COUNTIFS('Data Dump'!$P:$P,'ANA FEED'!$A4,'Data Dump'!$S:$S,'ANA FEED'!Q$2)</f>
        <v>0</v>
      </c>
      <c r="R4" s="15">
        <f t="shared" ref="R4:R35" si="3">SUBTOTAL(9,O4:Q4)</f>
        <v>0</v>
      </c>
      <c r="S4" s="15">
        <f t="shared" ref="S4:S35" si="4">SUBTOTAL(9,C4:R4)</f>
        <v>0</v>
      </c>
      <c r="T4" s="17">
        <f>COUNTIFS('Data Dump'!$P:$P,'ANA FEED'!$A4,'Data Dump'!$S:$S,'ANA FEED'!T$2)</f>
        <v>0</v>
      </c>
      <c r="U4" s="17">
        <f>COUNTIFS('Data Dump'!$P:$P,'ANA FEED'!$A4,'Data Dump'!$S:$S,'ANA FEED'!U$2)</f>
        <v>0</v>
      </c>
      <c r="V4" s="17">
        <f>COUNTIFS('Data Dump'!$P:$P,'ANA FEED'!$A4,'Data Dump'!$S:$S,'ANA FEED'!V$2)</f>
        <v>0</v>
      </c>
      <c r="W4" s="15">
        <f t="shared" ref="W4:W35" si="5">SUBTOTAL(9,T4:V4)</f>
        <v>0</v>
      </c>
      <c r="X4" s="17">
        <f>COUNTIFS('Data Dump'!$P:$P,'ANA FEED'!$A4,'Data Dump'!$S:$S,'ANA FEED'!X$2)</f>
        <v>0</v>
      </c>
      <c r="Y4" s="17">
        <f>COUNTIFS('Data Dump'!$P:$P,'ANA FEED'!$A4,'Data Dump'!$S:$S,'ANA FEED'!Y$2)</f>
        <v>0</v>
      </c>
      <c r="Z4" s="17">
        <f>COUNTIFS('Data Dump'!$P:$P,'ANA FEED'!$A4,'Data Dump'!$S:$S,'ANA FEED'!Z$2)</f>
        <v>0</v>
      </c>
      <c r="AA4" s="15">
        <f t="shared" ref="AA4:AA35" si="6">SUBTOTAL(9,X4:Z4)</f>
        <v>0</v>
      </c>
      <c r="AB4" s="17">
        <f>COUNTIFS('Data Dump'!$P:$P,'ANA FEED'!$A4,'Data Dump'!$S:$S,'ANA FEED'!AB$2)</f>
        <v>0</v>
      </c>
      <c r="AC4" s="17">
        <f>COUNTIFS('Data Dump'!$P:$P,'ANA FEED'!$A4,'Data Dump'!$S:$S,'ANA FEED'!AC$2)</f>
        <v>0</v>
      </c>
      <c r="AD4" s="17">
        <f>COUNTIFS('Data Dump'!$P:$P,'ANA FEED'!$A4,'Data Dump'!$S:$S,'ANA FEED'!AD$2)</f>
        <v>0</v>
      </c>
      <c r="AE4" s="15">
        <f t="shared" ref="AE4:AE35" si="7">SUBTOTAL(9,AB4:AD4)</f>
        <v>0</v>
      </c>
      <c r="AF4" s="17">
        <f>COUNTIFS('Data Dump'!$P:$P,'ANA FEED'!$A4,'Data Dump'!$S:$S,'ANA FEED'!AF$2)</f>
        <v>0</v>
      </c>
      <c r="AG4" s="17">
        <f>COUNTIFS('Data Dump'!$P:$P,'ANA FEED'!$A4,'Data Dump'!$S:$S,'ANA FEED'!AG$2)</f>
        <v>0</v>
      </c>
      <c r="AH4" s="17">
        <f>COUNTIFS('Data Dump'!$P:$P,'ANA FEED'!$A4,'Data Dump'!$S:$S,'ANA FEED'!AH$2)</f>
        <v>0</v>
      </c>
      <c r="AI4" s="15">
        <f t="shared" ref="AI4:AI35" si="8">SUBTOTAL(9,AF4:AH4)</f>
        <v>0</v>
      </c>
      <c r="AJ4" s="15">
        <f t="shared" ref="AJ4:AJ35" si="9">SUBTOTAL(9,T4:AI4)</f>
        <v>0</v>
      </c>
    </row>
    <row r="5" spans="1:36" x14ac:dyDescent="0.25">
      <c r="A5" s="12" t="s">
        <v>13</v>
      </c>
      <c r="B5" s="13" t="s">
        <v>14</v>
      </c>
      <c r="C5" s="17">
        <f>COUNTIFS('Data Dump'!$P:$P,'ANA FEED'!$A5,'Data Dump'!$S:$S,'ANA FEED'!C$2)</f>
        <v>0</v>
      </c>
      <c r="D5" s="17">
        <f>COUNTIFS('Data Dump'!$P:$P,'ANA FEED'!$A5,'Data Dump'!$S:$S,'ANA FEED'!D$2)</f>
        <v>0</v>
      </c>
      <c r="E5" s="17">
        <f>COUNTIFS('Data Dump'!$P:$P,'ANA FEED'!$A5,'Data Dump'!$S:$S,'ANA FEED'!E$2)</f>
        <v>0</v>
      </c>
      <c r="F5" s="15">
        <f t="shared" si="0"/>
        <v>0</v>
      </c>
      <c r="G5" s="17">
        <f>COUNTIFS('Data Dump'!$P:$P,'ANA FEED'!$A5,'Data Dump'!$S:$S,'ANA FEED'!G$2)</f>
        <v>0</v>
      </c>
      <c r="H5" s="17">
        <f>COUNTIFS('Data Dump'!$P:$P,'ANA FEED'!$A5,'Data Dump'!$S:$S,'ANA FEED'!H$2)</f>
        <v>0</v>
      </c>
      <c r="I5" s="17">
        <f>COUNTIFS('Data Dump'!$P:$P,'ANA FEED'!$A5,'Data Dump'!$S:$S,'ANA FEED'!I$2)</f>
        <v>0</v>
      </c>
      <c r="J5" s="15">
        <f t="shared" si="1"/>
        <v>0</v>
      </c>
      <c r="K5" s="17">
        <f>COUNTIFS('Data Dump'!$P:$P,'ANA FEED'!$A5,'Data Dump'!$S:$S,'ANA FEED'!K$2)</f>
        <v>0</v>
      </c>
      <c r="L5" s="17">
        <f>COUNTIFS('Data Dump'!$P:$P,'ANA FEED'!$A5,'Data Dump'!$S:$S,'ANA FEED'!L$2)</f>
        <v>0</v>
      </c>
      <c r="M5" s="17">
        <f>COUNTIFS('Data Dump'!$P:$P,'ANA FEED'!$A5,'Data Dump'!$S:$S,'ANA FEED'!M$2)</f>
        <v>0</v>
      </c>
      <c r="N5" s="15">
        <f t="shared" si="2"/>
        <v>0</v>
      </c>
      <c r="O5" s="17">
        <f>COUNTIFS('Data Dump'!$P:$P,'ANA FEED'!$A5,'Data Dump'!$S:$S,'ANA FEED'!O$2)</f>
        <v>0</v>
      </c>
      <c r="P5" s="17">
        <f>COUNTIFS('Data Dump'!$P:$P,'ANA FEED'!$A5,'Data Dump'!$S:$S,'ANA FEED'!P$2)</f>
        <v>0</v>
      </c>
      <c r="Q5" s="17">
        <f>COUNTIFS('Data Dump'!$P:$P,'ANA FEED'!$A5,'Data Dump'!$S:$S,'ANA FEED'!Q$2)</f>
        <v>0</v>
      </c>
      <c r="R5" s="15">
        <f t="shared" si="3"/>
        <v>0</v>
      </c>
      <c r="S5" s="15">
        <f t="shared" si="4"/>
        <v>0</v>
      </c>
      <c r="T5" s="17">
        <f>COUNTIFS('Data Dump'!$P:$P,'ANA FEED'!$A5,'Data Dump'!$S:$S,'ANA FEED'!T$2)</f>
        <v>0</v>
      </c>
      <c r="U5" s="17">
        <f>COUNTIFS('Data Dump'!$P:$P,'ANA FEED'!$A5,'Data Dump'!$S:$S,'ANA FEED'!U$2)</f>
        <v>0</v>
      </c>
      <c r="V5" s="17">
        <f>COUNTIFS('Data Dump'!$P:$P,'ANA FEED'!$A5,'Data Dump'!$S:$S,'ANA FEED'!V$2)</f>
        <v>0</v>
      </c>
      <c r="W5" s="15">
        <f t="shared" si="5"/>
        <v>0</v>
      </c>
      <c r="X5" s="17">
        <f>COUNTIFS('Data Dump'!$P:$P,'ANA FEED'!$A5,'Data Dump'!$S:$S,'ANA FEED'!X$2)</f>
        <v>0</v>
      </c>
      <c r="Y5" s="17">
        <f>COUNTIFS('Data Dump'!$P:$P,'ANA FEED'!$A5,'Data Dump'!$S:$S,'ANA FEED'!Y$2)</f>
        <v>0</v>
      </c>
      <c r="Z5" s="17">
        <f>COUNTIFS('Data Dump'!$P:$P,'ANA FEED'!$A5,'Data Dump'!$S:$S,'ANA FEED'!Z$2)</f>
        <v>0</v>
      </c>
      <c r="AA5" s="15">
        <f t="shared" si="6"/>
        <v>0</v>
      </c>
      <c r="AB5" s="17">
        <f>COUNTIFS('Data Dump'!$P:$P,'ANA FEED'!$A5,'Data Dump'!$S:$S,'ANA FEED'!AB$2)</f>
        <v>0</v>
      </c>
      <c r="AC5" s="17">
        <f>COUNTIFS('Data Dump'!$P:$P,'ANA FEED'!$A5,'Data Dump'!$S:$S,'ANA FEED'!AC$2)</f>
        <v>0</v>
      </c>
      <c r="AD5" s="17">
        <f>COUNTIFS('Data Dump'!$P:$P,'ANA FEED'!$A5,'Data Dump'!$S:$S,'ANA FEED'!AD$2)</f>
        <v>0</v>
      </c>
      <c r="AE5" s="15">
        <f t="shared" si="7"/>
        <v>0</v>
      </c>
      <c r="AF5" s="17">
        <f>COUNTIFS('Data Dump'!$P:$P,'ANA FEED'!$A5,'Data Dump'!$S:$S,'ANA FEED'!AF$2)</f>
        <v>1</v>
      </c>
      <c r="AG5" s="17">
        <f>COUNTIFS('Data Dump'!$P:$P,'ANA FEED'!$A5,'Data Dump'!$S:$S,'ANA FEED'!AG$2)</f>
        <v>1</v>
      </c>
      <c r="AH5" s="17">
        <f>COUNTIFS('Data Dump'!$P:$P,'ANA FEED'!$A5,'Data Dump'!$S:$S,'ANA FEED'!AH$2)</f>
        <v>0</v>
      </c>
      <c r="AI5" s="15">
        <f t="shared" si="8"/>
        <v>2</v>
      </c>
      <c r="AJ5" s="15">
        <f t="shared" si="9"/>
        <v>2</v>
      </c>
    </row>
    <row r="6" spans="1:36" x14ac:dyDescent="0.25">
      <c r="A6" s="12" t="s">
        <v>15</v>
      </c>
      <c r="B6" s="13" t="s">
        <v>16</v>
      </c>
      <c r="C6" s="17">
        <f>COUNTIFS('Data Dump'!$P:$P,'ANA FEED'!$A6,'Data Dump'!$S:$S,'ANA FEED'!C$2)</f>
        <v>0</v>
      </c>
      <c r="D6" s="17">
        <f>COUNTIFS('Data Dump'!$P:$P,'ANA FEED'!$A6,'Data Dump'!$S:$S,'ANA FEED'!D$2)</f>
        <v>0</v>
      </c>
      <c r="E6" s="17">
        <f>COUNTIFS('Data Dump'!$P:$P,'ANA FEED'!$A6,'Data Dump'!$S:$S,'ANA FEED'!E$2)</f>
        <v>0</v>
      </c>
      <c r="F6" s="15">
        <f t="shared" si="0"/>
        <v>0</v>
      </c>
      <c r="G6" s="17">
        <f>COUNTIFS('Data Dump'!$P:$P,'ANA FEED'!$A6,'Data Dump'!$S:$S,'ANA FEED'!G$2)</f>
        <v>0</v>
      </c>
      <c r="H6" s="17">
        <f>COUNTIFS('Data Dump'!$P:$P,'ANA FEED'!$A6,'Data Dump'!$S:$S,'ANA FEED'!H$2)</f>
        <v>0</v>
      </c>
      <c r="I6" s="17">
        <f>COUNTIFS('Data Dump'!$P:$P,'ANA FEED'!$A6,'Data Dump'!$S:$S,'ANA FEED'!I$2)</f>
        <v>4</v>
      </c>
      <c r="J6" s="15">
        <f t="shared" si="1"/>
        <v>4</v>
      </c>
      <c r="K6" s="17">
        <f>COUNTIFS('Data Dump'!$P:$P,'ANA FEED'!$A6,'Data Dump'!$S:$S,'ANA FEED'!K$2)</f>
        <v>0</v>
      </c>
      <c r="L6" s="17">
        <f>COUNTIFS('Data Dump'!$P:$P,'ANA FEED'!$A6,'Data Dump'!$S:$S,'ANA FEED'!L$2)</f>
        <v>0</v>
      </c>
      <c r="M6" s="17">
        <f>COUNTIFS('Data Dump'!$P:$P,'ANA FEED'!$A6,'Data Dump'!$S:$S,'ANA FEED'!M$2)</f>
        <v>1</v>
      </c>
      <c r="N6" s="15">
        <f t="shared" si="2"/>
        <v>1</v>
      </c>
      <c r="O6" s="17">
        <f>COUNTIFS('Data Dump'!$P:$P,'ANA FEED'!$A6,'Data Dump'!$S:$S,'ANA FEED'!O$2)</f>
        <v>0</v>
      </c>
      <c r="P6" s="17">
        <f>COUNTIFS('Data Dump'!$P:$P,'ANA FEED'!$A6,'Data Dump'!$S:$S,'ANA FEED'!P$2)</f>
        <v>0</v>
      </c>
      <c r="Q6" s="17">
        <f>COUNTIFS('Data Dump'!$P:$P,'ANA FEED'!$A6,'Data Dump'!$S:$S,'ANA FEED'!Q$2)</f>
        <v>0</v>
      </c>
      <c r="R6" s="15">
        <f t="shared" si="3"/>
        <v>0</v>
      </c>
      <c r="S6" s="15">
        <f t="shared" si="4"/>
        <v>5</v>
      </c>
      <c r="T6" s="17">
        <f>COUNTIFS('Data Dump'!$P:$P,'ANA FEED'!$A6,'Data Dump'!$S:$S,'ANA FEED'!T$2)</f>
        <v>1</v>
      </c>
      <c r="U6" s="17">
        <f>COUNTIFS('Data Dump'!$P:$P,'ANA FEED'!$A6,'Data Dump'!$S:$S,'ANA FEED'!U$2)</f>
        <v>0</v>
      </c>
      <c r="V6" s="17">
        <f>COUNTIFS('Data Dump'!$P:$P,'ANA FEED'!$A6,'Data Dump'!$S:$S,'ANA FEED'!V$2)</f>
        <v>0</v>
      </c>
      <c r="W6" s="15">
        <f t="shared" si="5"/>
        <v>1</v>
      </c>
      <c r="X6" s="17">
        <f>COUNTIFS('Data Dump'!$P:$P,'ANA FEED'!$A6,'Data Dump'!$S:$S,'ANA FEED'!X$2)</f>
        <v>0</v>
      </c>
      <c r="Y6" s="17">
        <f>COUNTIFS('Data Dump'!$P:$P,'ANA FEED'!$A6,'Data Dump'!$S:$S,'ANA FEED'!Y$2)</f>
        <v>2</v>
      </c>
      <c r="Z6" s="17">
        <f>COUNTIFS('Data Dump'!$P:$P,'ANA FEED'!$A6,'Data Dump'!$S:$S,'ANA FEED'!Z$2)</f>
        <v>1</v>
      </c>
      <c r="AA6" s="15">
        <f t="shared" si="6"/>
        <v>3</v>
      </c>
      <c r="AB6" s="17">
        <f>COUNTIFS('Data Dump'!$P:$P,'ANA FEED'!$A6,'Data Dump'!$S:$S,'ANA FEED'!AB$2)</f>
        <v>0</v>
      </c>
      <c r="AC6" s="17">
        <f>COUNTIFS('Data Dump'!$P:$P,'ANA FEED'!$A6,'Data Dump'!$S:$S,'ANA FEED'!AC$2)</f>
        <v>0</v>
      </c>
      <c r="AD6" s="17">
        <f>COUNTIFS('Data Dump'!$P:$P,'ANA FEED'!$A6,'Data Dump'!$S:$S,'ANA FEED'!AD$2)</f>
        <v>0</v>
      </c>
      <c r="AE6" s="15">
        <f t="shared" si="7"/>
        <v>0</v>
      </c>
      <c r="AF6" s="17">
        <f>COUNTIFS('Data Dump'!$P:$P,'ANA FEED'!$A6,'Data Dump'!$S:$S,'ANA FEED'!AF$2)</f>
        <v>0</v>
      </c>
      <c r="AG6" s="17">
        <f>COUNTIFS('Data Dump'!$P:$P,'ANA FEED'!$A6,'Data Dump'!$S:$S,'ANA FEED'!AG$2)</f>
        <v>1</v>
      </c>
      <c r="AH6" s="17">
        <f>COUNTIFS('Data Dump'!$P:$P,'ANA FEED'!$A6,'Data Dump'!$S:$S,'ANA FEED'!AH$2)</f>
        <v>0</v>
      </c>
      <c r="AI6" s="15">
        <f t="shared" si="8"/>
        <v>1</v>
      </c>
      <c r="AJ6" s="15">
        <f t="shared" si="9"/>
        <v>5</v>
      </c>
    </row>
    <row r="7" spans="1:36" x14ac:dyDescent="0.25">
      <c r="A7" s="12" t="s">
        <v>17</v>
      </c>
      <c r="B7" s="13" t="s">
        <v>18</v>
      </c>
      <c r="C7" s="17">
        <f>COUNTIFS('Data Dump'!$P:$P,'ANA FEED'!$A7,'Data Dump'!$S:$S,'ANA FEED'!C$2)</f>
        <v>0</v>
      </c>
      <c r="D7" s="17">
        <f>COUNTIFS('Data Dump'!$P:$P,'ANA FEED'!$A7,'Data Dump'!$S:$S,'ANA FEED'!D$2)</f>
        <v>0</v>
      </c>
      <c r="E7" s="17">
        <f>COUNTIFS('Data Dump'!$P:$P,'ANA FEED'!$A7,'Data Dump'!$S:$S,'ANA FEED'!E$2)</f>
        <v>0</v>
      </c>
      <c r="F7" s="15">
        <f t="shared" si="0"/>
        <v>0</v>
      </c>
      <c r="G7" s="17">
        <f>COUNTIFS('Data Dump'!$P:$P,'ANA FEED'!$A7,'Data Dump'!$S:$S,'ANA FEED'!G$2)</f>
        <v>0</v>
      </c>
      <c r="H7" s="17">
        <f>COUNTIFS('Data Dump'!$P:$P,'ANA FEED'!$A7,'Data Dump'!$S:$S,'ANA FEED'!H$2)</f>
        <v>0</v>
      </c>
      <c r="I7" s="17">
        <f>COUNTIFS('Data Dump'!$P:$P,'ANA FEED'!$A7,'Data Dump'!$S:$S,'ANA FEED'!I$2)</f>
        <v>0</v>
      </c>
      <c r="J7" s="15">
        <f t="shared" si="1"/>
        <v>0</v>
      </c>
      <c r="K7" s="17">
        <f>COUNTIFS('Data Dump'!$P:$P,'ANA FEED'!$A7,'Data Dump'!$S:$S,'ANA FEED'!K$2)</f>
        <v>0</v>
      </c>
      <c r="L7" s="17">
        <f>COUNTIFS('Data Dump'!$P:$P,'ANA FEED'!$A7,'Data Dump'!$S:$S,'ANA FEED'!L$2)</f>
        <v>0</v>
      </c>
      <c r="M7" s="17">
        <f>COUNTIFS('Data Dump'!$P:$P,'ANA FEED'!$A7,'Data Dump'!$S:$S,'ANA FEED'!M$2)</f>
        <v>0</v>
      </c>
      <c r="N7" s="15">
        <f t="shared" si="2"/>
        <v>0</v>
      </c>
      <c r="O7" s="17">
        <f>COUNTIFS('Data Dump'!$P:$P,'ANA FEED'!$A7,'Data Dump'!$S:$S,'ANA FEED'!O$2)</f>
        <v>0</v>
      </c>
      <c r="P7" s="17">
        <f>COUNTIFS('Data Dump'!$P:$P,'ANA FEED'!$A7,'Data Dump'!$S:$S,'ANA FEED'!P$2)</f>
        <v>0</v>
      </c>
      <c r="Q7" s="17">
        <f>COUNTIFS('Data Dump'!$P:$P,'ANA FEED'!$A7,'Data Dump'!$S:$S,'ANA FEED'!Q$2)</f>
        <v>0</v>
      </c>
      <c r="R7" s="15">
        <f t="shared" si="3"/>
        <v>0</v>
      </c>
      <c r="S7" s="15">
        <f t="shared" si="4"/>
        <v>0</v>
      </c>
      <c r="T7" s="17">
        <f>COUNTIFS('Data Dump'!$P:$P,'ANA FEED'!$A7,'Data Dump'!$S:$S,'ANA FEED'!T$2)</f>
        <v>0</v>
      </c>
      <c r="U7" s="17">
        <f>COUNTIFS('Data Dump'!$P:$P,'ANA FEED'!$A7,'Data Dump'!$S:$S,'ANA FEED'!U$2)</f>
        <v>0</v>
      </c>
      <c r="V7" s="17">
        <f>COUNTIFS('Data Dump'!$P:$P,'ANA FEED'!$A7,'Data Dump'!$S:$S,'ANA FEED'!V$2)</f>
        <v>0</v>
      </c>
      <c r="W7" s="15">
        <f t="shared" si="5"/>
        <v>0</v>
      </c>
      <c r="X7" s="17">
        <f>COUNTIFS('Data Dump'!$P:$P,'ANA FEED'!$A7,'Data Dump'!$S:$S,'ANA FEED'!X$2)</f>
        <v>0</v>
      </c>
      <c r="Y7" s="17">
        <f>COUNTIFS('Data Dump'!$P:$P,'ANA FEED'!$A7,'Data Dump'!$S:$S,'ANA FEED'!Y$2)</f>
        <v>0</v>
      </c>
      <c r="Z7" s="17">
        <f>COUNTIFS('Data Dump'!$P:$P,'ANA FEED'!$A7,'Data Dump'!$S:$S,'ANA FEED'!Z$2)</f>
        <v>1</v>
      </c>
      <c r="AA7" s="15">
        <f t="shared" si="6"/>
        <v>1</v>
      </c>
      <c r="AB7" s="17">
        <f>COUNTIFS('Data Dump'!$P:$P,'ANA FEED'!$A7,'Data Dump'!$S:$S,'ANA FEED'!AB$2)</f>
        <v>0</v>
      </c>
      <c r="AC7" s="17">
        <f>COUNTIFS('Data Dump'!$P:$P,'ANA FEED'!$A7,'Data Dump'!$S:$S,'ANA FEED'!AC$2)</f>
        <v>1</v>
      </c>
      <c r="AD7" s="17">
        <f>COUNTIFS('Data Dump'!$P:$P,'ANA FEED'!$A7,'Data Dump'!$S:$S,'ANA FEED'!AD$2)</f>
        <v>0</v>
      </c>
      <c r="AE7" s="15">
        <f t="shared" si="7"/>
        <v>1</v>
      </c>
      <c r="AF7" s="17">
        <f>COUNTIFS('Data Dump'!$P:$P,'ANA FEED'!$A7,'Data Dump'!$S:$S,'ANA FEED'!AF$2)</f>
        <v>0</v>
      </c>
      <c r="AG7" s="17">
        <f>COUNTIFS('Data Dump'!$P:$P,'ANA FEED'!$A7,'Data Dump'!$S:$S,'ANA FEED'!AG$2)</f>
        <v>0</v>
      </c>
      <c r="AH7" s="17">
        <f>COUNTIFS('Data Dump'!$P:$P,'ANA FEED'!$A7,'Data Dump'!$S:$S,'ANA FEED'!AH$2)</f>
        <v>0</v>
      </c>
      <c r="AI7" s="15">
        <f t="shared" si="8"/>
        <v>0</v>
      </c>
      <c r="AJ7" s="15">
        <f t="shared" si="9"/>
        <v>2</v>
      </c>
    </row>
    <row r="8" spans="1:36" x14ac:dyDescent="0.25">
      <c r="A8" s="12" t="s">
        <v>19</v>
      </c>
      <c r="B8" s="13" t="s">
        <v>20</v>
      </c>
      <c r="C8" s="17">
        <f>COUNTIFS('Data Dump'!$P:$P,'ANA FEED'!$A8,'Data Dump'!$S:$S,'ANA FEED'!C$2)</f>
        <v>0</v>
      </c>
      <c r="D8" s="17">
        <f>COUNTIFS('Data Dump'!$P:$P,'ANA FEED'!$A8,'Data Dump'!$S:$S,'ANA FEED'!D$2)</f>
        <v>0</v>
      </c>
      <c r="E8" s="17">
        <f>COUNTIFS('Data Dump'!$P:$P,'ANA FEED'!$A8,'Data Dump'!$S:$S,'ANA FEED'!E$2)</f>
        <v>0</v>
      </c>
      <c r="F8" s="15">
        <f t="shared" si="0"/>
        <v>0</v>
      </c>
      <c r="G8" s="17">
        <f>COUNTIFS('Data Dump'!$P:$P,'ANA FEED'!$A8,'Data Dump'!$S:$S,'ANA FEED'!G$2)</f>
        <v>1</v>
      </c>
      <c r="H8" s="17">
        <f>COUNTIFS('Data Dump'!$P:$P,'ANA FEED'!$A8,'Data Dump'!$S:$S,'ANA FEED'!H$2)</f>
        <v>1</v>
      </c>
      <c r="I8" s="17">
        <f>COUNTIFS('Data Dump'!$P:$P,'ANA FEED'!$A8,'Data Dump'!$S:$S,'ANA FEED'!I$2)</f>
        <v>0</v>
      </c>
      <c r="J8" s="15">
        <f t="shared" si="1"/>
        <v>2</v>
      </c>
      <c r="K8" s="17">
        <f>COUNTIFS('Data Dump'!$P:$P,'ANA FEED'!$A8,'Data Dump'!$S:$S,'ANA FEED'!K$2)</f>
        <v>0</v>
      </c>
      <c r="L8" s="17">
        <f>COUNTIFS('Data Dump'!$P:$P,'ANA FEED'!$A8,'Data Dump'!$S:$S,'ANA FEED'!L$2)</f>
        <v>0</v>
      </c>
      <c r="M8" s="17">
        <f>COUNTIFS('Data Dump'!$P:$P,'ANA FEED'!$A8,'Data Dump'!$S:$S,'ANA FEED'!M$2)</f>
        <v>0</v>
      </c>
      <c r="N8" s="15">
        <f t="shared" si="2"/>
        <v>0</v>
      </c>
      <c r="O8" s="17">
        <f>COUNTIFS('Data Dump'!$P:$P,'ANA FEED'!$A8,'Data Dump'!$S:$S,'ANA FEED'!O$2)</f>
        <v>0</v>
      </c>
      <c r="P8" s="17">
        <f>COUNTIFS('Data Dump'!$P:$P,'ANA FEED'!$A8,'Data Dump'!$S:$S,'ANA FEED'!P$2)</f>
        <v>0</v>
      </c>
      <c r="Q8" s="17">
        <f>COUNTIFS('Data Dump'!$P:$P,'ANA FEED'!$A8,'Data Dump'!$S:$S,'ANA FEED'!Q$2)</f>
        <v>0</v>
      </c>
      <c r="R8" s="15">
        <f t="shared" si="3"/>
        <v>0</v>
      </c>
      <c r="S8" s="15">
        <f t="shared" si="4"/>
        <v>2</v>
      </c>
      <c r="T8" s="17">
        <f>COUNTIFS('Data Dump'!$P:$P,'ANA FEED'!$A8,'Data Dump'!$S:$S,'ANA FEED'!T$2)</f>
        <v>0</v>
      </c>
      <c r="U8" s="17">
        <f>COUNTIFS('Data Dump'!$P:$P,'ANA FEED'!$A8,'Data Dump'!$S:$S,'ANA FEED'!U$2)</f>
        <v>0</v>
      </c>
      <c r="V8" s="17">
        <f>COUNTIFS('Data Dump'!$P:$P,'ANA FEED'!$A8,'Data Dump'!$S:$S,'ANA FEED'!V$2)</f>
        <v>0</v>
      </c>
      <c r="W8" s="15">
        <f t="shared" si="5"/>
        <v>0</v>
      </c>
      <c r="X8" s="17">
        <f>COUNTIFS('Data Dump'!$P:$P,'ANA FEED'!$A8,'Data Dump'!$S:$S,'ANA FEED'!X$2)</f>
        <v>0</v>
      </c>
      <c r="Y8" s="17">
        <f>COUNTIFS('Data Dump'!$P:$P,'ANA FEED'!$A8,'Data Dump'!$S:$S,'ANA FEED'!Y$2)</f>
        <v>1</v>
      </c>
      <c r="Z8" s="17">
        <f>COUNTIFS('Data Dump'!$P:$P,'ANA FEED'!$A8,'Data Dump'!$S:$S,'ANA FEED'!Z$2)</f>
        <v>0</v>
      </c>
      <c r="AA8" s="15">
        <f t="shared" si="6"/>
        <v>1</v>
      </c>
      <c r="AB8" s="17">
        <f>COUNTIFS('Data Dump'!$P:$P,'ANA FEED'!$A8,'Data Dump'!$S:$S,'ANA FEED'!AB$2)</f>
        <v>0</v>
      </c>
      <c r="AC8" s="17">
        <f>COUNTIFS('Data Dump'!$P:$P,'ANA FEED'!$A8,'Data Dump'!$S:$S,'ANA FEED'!AC$2)</f>
        <v>0</v>
      </c>
      <c r="AD8" s="17">
        <f>COUNTIFS('Data Dump'!$P:$P,'ANA FEED'!$A8,'Data Dump'!$S:$S,'ANA FEED'!AD$2)</f>
        <v>0</v>
      </c>
      <c r="AE8" s="15">
        <f t="shared" si="7"/>
        <v>0</v>
      </c>
      <c r="AF8" s="17">
        <f>COUNTIFS('Data Dump'!$P:$P,'ANA FEED'!$A8,'Data Dump'!$S:$S,'ANA FEED'!AF$2)</f>
        <v>0</v>
      </c>
      <c r="AG8" s="17">
        <f>COUNTIFS('Data Dump'!$P:$P,'ANA FEED'!$A8,'Data Dump'!$S:$S,'ANA FEED'!AG$2)</f>
        <v>1</v>
      </c>
      <c r="AH8" s="17">
        <f>COUNTIFS('Data Dump'!$P:$P,'ANA FEED'!$A8,'Data Dump'!$S:$S,'ANA FEED'!AH$2)</f>
        <v>1</v>
      </c>
      <c r="AI8" s="15">
        <f t="shared" si="8"/>
        <v>2</v>
      </c>
      <c r="AJ8" s="15">
        <f t="shared" si="9"/>
        <v>3</v>
      </c>
    </row>
    <row r="9" spans="1:36" x14ac:dyDescent="0.25">
      <c r="A9" s="12" t="s">
        <v>21</v>
      </c>
      <c r="B9" s="13" t="s">
        <v>22</v>
      </c>
      <c r="C9" s="17">
        <f>COUNTIFS('Data Dump'!$P:$P,'ANA FEED'!$A9,'Data Dump'!$S:$S,'ANA FEED'!C$2)</f>
        <v>0</v>
      </c>
      <c r="D9" s="17">
        <f>COUNTIFS('Data Dump'!$P:$P,'ANA FEED'!$A9,'Data Dump'!$S:$S,'ANA FEED'!D$2)</f>
        <v>0</v>
      </c>
      <c r="E9" s="17">
        <f>COUNTIFS('Data Dump'!$P:$P,'ANA FEED'!$A9,'Data Dump'!$S:$S,'ANA FEED'!E$2)</f>
        <v>0</v>
      </c>
      <c r="F9" s="15">
        <f t="shared" si="0"/>
        <v>0</v>
      </c>
      <c r="G9" s="17">
        <f>COUNTIFS('Data Dump'!$P:$P,'ANA FEED'!$A9,'Data Dump'!$S:$S,'ANA FEED'!G$2)</f>
        <v>0</v>
      </c>
      <c r="H9" s="17">
        <f>COUNTIFS('Data Dump'!$P:$P,'ANA FEED'!$A9,'Data Dump'!$S:$S,'ANA FEED'!H$2)</f>
        <v>0</v>
      </c>
      <c r="I9" s="17">
        <f>COUNTIFS('Data Dump'!$P:$P,'ANA FEED'!$A9,'Data Dump'!$S:$S,'ANA FEED'!I$2)</f>
        <v>0</v>
      </c>
      <c r="J9" s="15">
        <f t="shared" si="1"/>
        <v>0</v>
      </c>
      <c r="K9" s="17">
        <f>COUNTIFS('Data Dump'!$P:$P,'ANA FEED'!$A9,'Data Dump'!$S:$S,'ANA FEED'!K$2)</f>
        <v>0</v>
      </c>
      <c r="L9" s="17">
        <f>COUNTIFS('Data Dump'!$P:$P,'ANA FEED'!$A9,'Data Dump'!$S:$S,'ANA FEED'!L$2)</f>
        <v>0</v>
      </c>
      <c r="M9" s="17">
        <f>COUNTIFS('Data Dump'!$P:$P,'ANA FEED'!$A9,'Data Dump'!$S:$S,'ANA FEED'!M$2)</f>
        <v>0</v>
      </c>
      <c r="N9" s="15">
        <f t="shared" si="2"/>
        <v>0</v>
      </c>
      <c r="O9" s="17">
        <f>COUNTIFS('Data Dump'!$P:$P,'ANA FEED'!$A9,'Data Dump'!$S:$S,'ANA FEED'!O$2)</f>
        <v>0</v>
      </c>
      <c r="P9" s="17">
        <f>COUNTIFS('Data Dump'!$P:$P,'ANA FEED'!$A9,'Data Dump'!$S:$S,'ANA FEED'!P$2)</f>
        <v>0</v>
      </c>
      <c r="Q9" s="17">
        <f>COUNTIFS('Data Dump'!$P:$P,'ANA FEED'!$A9,'Data Dump'!$S:$S,'ANA FEED'!Q$2)</f>
        <v>0</v>
      </c>
      <c r="R9" s="15">
        <f t="shared" si="3"/>
        <v>0</v>
      </c>
      <c r="S9" s="15">
        <f t="shared" si="4"/>
        <v>0</v>
      </c>
      <c r="T9" s="17">
        <f>COUNTIFS('Data Dump'!$P:$P,'ANA FEED'!$A9,'Data Dump'!$S:$S,'ANA FEED'!T$2)</f>
        <v>0</v>
      </c>
      <c r="U9" s="17">
        <f>COUNTIFS('Data Dump'!$P:$P,'ANA FEED'!$A9,'Data Dump'!$S:$S,'ANA FEED'!U$2)</f>
        <v>0</v>
      </c>
      <c r="V9" s="17">
        <f>COUNTIFS('Data Dump'!$P:$P,'ANA FEED'!$A9,'Data Dump'!$S:$S,'ANA FEED'!V$2)</f>
        <v>0</v>
      </c>
      <c r="W9" s="15">
        <f t="shared" si="5"/>
        <v>0</v>
      </c>
      <c r="X9" s="17">
        <f>COUNTIFS('Data Dump'!$P:$P,'ANA FEED'!$A9,'Data Dump'!$S:$S,'ANA FEED'!X$2)</f>
        <v>0</v>
      </c>
      <c r="Y9" s="17">
        <f>COUNTIFS('Data Dump'!$P:$P,'ANA FEED'!$A9,'Data Dump'!$S:$S,'ANA FEED'!Y$2)</f>
        <v>0</v>
      </c>
      <c r="Z9" s="17">
        <f>COUNTIFS('Data Dump'!$P:$P,'ANA FEED'!$A9,'Data Dump'!$S:$S,'ANA FEED'!Z$2)</f>
        <v>0</v>
      </c>
      <c r="AA9" s="15">
        <f t="shared" si="6"/>
        <v>0</v>
      </c>
      <c r="AB9" s="17">
        <f>COUNTIFS('Data Dump'!$P:$P,'ANA FEED'!$A9,'Data Dump'!$S:$S,'ANA FEED'!AB$2)</f>
        <v>0</v>
      </c>
      <c r="AC9" s="17">
        <f>COUNTIFS('Data Dump'!$P:$P,'ANA FEED'!$A9,'Data Dump'!$S:$S,'ANA FEED'!AC$2)</f>
        <v>0</v>
      </c>
      <c r="AD9" s="17">
        <f>COUNTIFS('Data Dump'!$P:$P,'ANA FEED'!$A9,'Data Dump'!$S:$S,'ANA FEED'!AD$2)</f>
        <v>0</v>
      </c>
      <c r="AE9" s="15">
        <f t="shared" si="7"/>
        <v>0</v>
      </c>
      <c r="AF9" s="17">
        <f>COUNTIFS('Data Dump'!$P:$P,'ANA FEED'!$A9,'Data Dump'!$S:$S,'ANA FEED'!AF$2)</f>
        <v>0</v>
      </c>
      <c r="AG9" s="17">
        <f>COUNTIFS('Data Dump'!$P:$P,'ANA FEED'!$A9,'Data Dump'!$S:$S,'ANA FEED'!AG$2)</f>
        <v>0</v>
      </c>
      <c r="AH9" s="17">
        <f>COUNTIFS('Data Dump'!$P:$P,'ANA FEED'!$A9,'Data Dump'!$S:$S,'ANA FEED'!AH$2)</f>
        <v>0</v>
      </c>
      <c r="AI9" s="15">
        <f t="shared" si="8"/>
        <v>0</v>
      </c>
      <c r="AJ9" s="15">
        <f t="shared" si="9"/>
        <v>0</v>
      </c>
    </row>
    <row r="10" spans="1:36" x14ac:dyDescent="0.25">
      <c r="A10" s="12" t="s">
        <v>23</v>
      </c>
      <c r="B10" s="13" t="s">
        <v>24</v>
      </c>
      <c r="C10" s="17">
        <f>COUNTIFS('Data Dump'!$P:$P,'ANA FEED'!$A10,'Data Dump'!$S:$S,'ANA FEED'!C$2)</f>
        <v>0</v>
      </c>
      <c r="D10" s="17">
        <f>COUNTIFS('Data Dump'!$P:$P,'ANA FEED'!$A10,'Data Dump'!$S:$S,'ANA FEED'!D$2)</f>
        <v>0</v>
      </c>
      <c r="E10" s="17">
        <f>COUNTIFS('Data Dump'!$P:$P,'ANA FEED'!$A10,'Data Dump'!$S:$S,'ANA FEED'!E$2)</f>
        <v>0</v>
      </c>
      <c r="F10" s="15">
        <f t="shared" si="0"/>
        <v>0</v>
      </c>
      <c r="G10" s="17">
        <f>COUNTIFS('Data Dump'!$P:$P,'ANA FEED'!$A10,'Data Dump'!$S:$S,'ANA FEED'!G$2)</f>
        <v>0</v>
      </c>
      <c r="H10" s="17">
        <f>COUNTIFS('Data Dump'!$P:$P,'ANA FEED'!$A10,'Data Dump'!$S:$S,'ANA FEED'!H$2)</f>
        <v>0</v>
      </c>
      <c r="I10" s="17">
        <f>COUNTIFS('Data Dump'!$P:$P,'ANA FEED'!$A10,'Data Dump'!$S:$S,'ANA FEED'!I$2)</f>
        <v>0</v>
      </c>
      <c r="J10" s="15">
        <f t="shared" si="1"/>
        <v>0</v>
      </c>
      <c r="K10" s="17">
        <f>COUNTIFS('Data Dump'!$P:$P,'ANA FEED'!$A10,'Data Dump'!$S:$S,'ANA FEED'!K$2)</f>
        <v>0</v>
      </c>
      <c r="L10" s="17">
        <f>COUNTIFS('Data Dump'!$P:$P,'ANA FEED'!$A10,'Data Dump'!$S:$S,'ANA FEED'!L$2)</f>
        <v>0</v>
      </c>
      <c r="M10" s="17">
        <f>COUNTIFS('Data Dump'!$P:$P,'ANA FEED'!$A10,'Data Dump'!$S:$S,'ANA FEED'!M$2)</f>
        <v>0</v>
      </c>
      <c r="N10" s="15">
        <f t="shared" si="2"/>
        <v>0</v>
      </c>
      <c r="O10" s="17">
        <f>COUNTIFS('Data Dump'!$P:$P,'ANA FEED'!$A10,'Data Dump'!$S:$S,'ANA FEED'!O$2)</f>
        <v>0</v>
      </c>
      <c r="P10" s="17">
        <f>COUNTIFS('Data Dump'!$P:$P,'ANA FEED'!$A10,'Data Dump'!$S:$S,'ANA FEED'!P$2)</f>
        <v>0</v>
      </c>
      <c r="Q10" s="17">
        <f>COUNTIFS('Data Dump'!$P:$P,'ANA FEED'!$A10,'Data Dump'!$S:$S,'ANA FEED'!Q$2)</f>
        <v>0</v>
      </c>
      <c r="R10" s="15">
        <f t="shared" si="3"/>
        <v>0</v>
      </c>
      <c r="S10" s="15">
        <f t="shared" si="4"/>
        <v>0</v>
      </c>
      <c r="T10" s="17">
        <f>COUNTIFS('Data Dump'!$P:$P,'ANA FEED'!$A10,'Data Dump'!$S:$S,'ANA FEED'!T$2)</f>
        <v>0</v>
      </c>
      <c r="U10" s="17">
        <f>COUNTIFS('Data Dump'!$P:$P,'ANA FEED'!$A10,'Data Dump'!$S:$S,'ANA FEED'!U$2)</f>
        <v>0</v>
      </c>
      <c r="V10" s="17">
        <f>COUNTIFS('Data Dump'!$P:$P,'ANA FEED'!$A10,'Data Dump'!$S:$S,'ANA FEED'!V$2)</f>
        <v>0</v>
      </c>
      <c r="W10" s="15">
        <f t="shared" si="5"/>
        <v>0</v>
      </c>
      <c r="X10" s="17">
        <f>COUNTIFS('Data Dump'!$P:$P,'ANA FEED'!$A10,'Data Dump'!$S:$S,'ANA FEED'!X$2)</f>
        <v>0</v>
      </c>
      <c r="Y10" s="17">
        <f>COUNTIFS('Data Dump'!$P:$P,'ANA FEED'!$A10,'Data Dump'!$S:$S,'ANA FEED'!Y$2)</f>
        <v>0</v>
      </c>
      <c r="Z10" s="17">
        <f>COUNTIFS('Data Dump'!$P:$P,'ANA FEED'!$A10,'Data Dump'!$S:$S,'ANA FEED'!Z$2)</f>
        <v>0</v>
      </c>
      <c r="AA10" s="15">
        <f t="shared" si="6"/>
        <v>0</v>
      </c>
      <c r="AB10" s="17">
        <f>COUNTIFS('Data Dump'!$P:$P,'ANA FEED'!$A10,'Data Dump'!$S:$S,'ANA FEED'!AB$2)</f>
        <v>0</v>
      </c>
      <c r="AC10" s="17">
        <f>COUNTIFS('Data Dump'!$P:$P,'ANA FEED'!$A10,'Data Dump'!$S:$S,'ANA FEED'!AC$2)</f>
        <v>0</v>
      </c>
      <c r="AD10" s="17">
        <f>COUNTIFS('Data Dump'!$P:$P,'ANA FEED'!$A10,'Data Dump'!$S:$S,'ANA FEED'!AD$2)</f>
        <v>0</v>
      </c>
      <c r="AE10" s="15">
        <f t="shared" si="7"/>
        <v>0</v>
      </c>
      <c r="AF10" s="17">
        <f>COUNTIFS('Data Dump'!$P:$P,'ANA FEED'!$A10,'Data Dump'!$S:$S,'ANA FEED'!AF$2)</f>
        <v>0</v>
      </c>
      <c r="AG10" s="17">
        <f>COUNTIFS('Data Dump'!$P:$P,'ANA FEED'!$A10,'Data Dump'!$S:$S,'ANA FEED'!AG$2)</f>
        <v>0</v>
      </c>
      <c r="AH10" s="17">
        <f>COUNTIFS('Data Dump'!$P:$P,'ANA FEED'!$A10,'Data Dump'!$S:$S,'ANA FEED'!AH$2)</f>
        <v>0</v>
      </c>
      <c r="AI10" s="15">
        <f t="shared" si="8"/>
        <v>0</v>
      </c>
      <c r="AJ10" s="15">
        <f t="shared" si="9"/>
        <v>0</v>
      </c>
    </row>
    <row r="11" spans="1:36" x14ac:dyDescent="0.25">
      <c r="A11" s="12" t="s">
        <v>25</v>
      </c>
      <c r="B11" s="13" t="s">
        <v>26</v>
      </c>
      <c r="C11" s="17">
        <f>COUNTIFS('Data Dump'!$P:$P,'ANA FEED'!$A11,'Data Dump'!$S:$S,'ANA FEED'!C$2)</f>
        <v>0</v>
      </c>
      <c r="D11" s="17">
        <f>COUNTIFS('Data Dump'!$P:$P,'ANA FEED'!$A11,'Data Dump'!$S:$S,'ANA FEED'!D$2)</f>
        <v>0</v>
      </c>
      <c r="E11" s="17">
        <f>COUNTIFS('Data Dump'!$P:$P,'ANA FEED'!$A11,'Data Dump'!$S:$S,'ANA FEED'!E$2)</f>
        <v>0</v>
      </c>
      <c r="F11" s="15">
        <f t="shared" si="0"/>
        <v>0</v>
      </c>
      <c r="G11" s="17">
        <f>COUNTIFS('Data Dump'!$P:$P,'ANA FEED'!$A11,'Data Dump'!$S:$S,'ANA FEED'!G$2)</f>
        <v>0</v>
      </c>
      <c r="H11" s="17">
        <f>COUNTIFS('Data Dump'!$P:$P,'ANA FEED'!$A11,'Data Dump'!$S:$S,'ANA FEED'!H$2)</f>
        <v>0</v>
      </c>
      <c r="I11" s="17">
        <f>COUNTIFS('Data Dump'!$P:$P,'ANA FEED'!$A11,'Data Dump'!$S:$S,'ANA FEED'!I$2)</f>
        <v>0</v>
      </c>
      <c r="J11" s="15">
        <f t="shared" si="1"/>
        <v>0</v>
      </c>
      <c r="K11" s="17">
        <f>COUNTIFS('Data Dump'!$P:$P,'ANA FEED'!$A11,'Data Dump'!$S:$S,'ANA FEED'!K$2)</f>
        <v>0</v>
      </c>
      <c r="L11" s="17">
        <f>COUNTIFS('Data Dump'!$P:$P,'ANA FEED'!$A11,'Data Dump'!$S:$S,'ANA FEED'!L$2)</f>
        <v>0</v>
      </c>
      <c r="M11" s="17">
        <f>COUNTIFS('Data Dump'!$P:$P,'ANA FEED'!$A11,'Data Dump'!$S:$S,'ANA FEED'!M$2)</f>
        <v>0</v>
      </c>
      <c r="N11" s="15">
        <f t="shared" si="2"/>
        <v>0</v>
      </c>
      <c r="O11" s="17">
        <f>COUNTIFS('Data Dump'!$P:$P,'ANA FEED'!$A11,'Data Dump'!$S:$S,'ANA FEED'!O$2)</f>
        <v>0</v>
      </c>
      <c r="P11" s="17">
        <f>COUNTIFS('Data Dump'!$P:$P,'ANA FEED'!$A11,'Data Dump'!$S:$S,'ANA FEED'!P$2)</f>
        <v>0</v>
      </c>
      <c r="Q11" s="17">
        <f>COUNTIFS('Data Dump'!$P:$P,'ANA FEED'!$A11,'Data Dump'!$S:$S,'ANA FEED'!Q$2)</f>
        <v>0</v>
      </c>
      <c r="R11" s="15">
        <f t="shared" si="3"/>
        <v>0</v>
      </c>
      <c r="S11" s="15">
        <f t="shared" si="4"/>
        <v>0</v>
      </c>
      <c r="T11" s="17">
        <f>COUNTIFS('Data Dump'!$P:$P,'ANA FEED'!$A11,'Data Dump'!$S:$S,'ANA FEED'!T$2)</f>
        <v>0</v>
      </c>
      <c r="U11" s="17">
        <f>COUNTIFS('Data Dump'!$P:$P,'ANA FEED'!$A11,'Data Dump'!$S:$S,'ANA FEED'!U$2)</f>
        <v>0</v>
      </c>
      <c r="V11" s="17">
        <f>COUNTIFS('Data Dump'!$P:$P,'ANA FEED'!$A11,'Data Dump'!$S:$S,'ANA FEED'!V$2)</f>
        <v>0</v>
      </c>
      <c r="W11" s="15">
        <f t="shared" si="5"/>
        <v>0</v>
      </c>
      <c r="X11" s="17">
        <f>COUNTIFS('Data Dump'!$P:$P,'ANA FEED'!$A11,'Data Dump'!$S:$S,'ANA FEED'!X$2)</f>
        <v>0</v>
      </c>
      <c r="Y11" s="17">
        <f>COUNTIFS('Data Dump'!$P:$P,'ANA FEED'!$A11,'Data Dump'!$S:$S,'ANA FEED'!Y$2)</f>
        <v>0</v>
      </c>
      <c r="Z11" s="17">
        <f>COUNTIFS('Data Dump'!$P:$P,'ANA FEED'!$A11,'Data Dump'!$S:$S,'ANA FEED'!Z$2)</f>
        <v>0</v>
      </c>
      <c r="AA11" s="15">
        <f t="shared" si="6"/>
        <v>0</v>
      </c>
      <c r="AB11" s="17">
        <f>COUNTIFS('Data Dump'!$P:$P,'ANA FEED'!$A11,'Data Dump'!$S:$S,'ANA FEED'!AB$2)</f>
        <v>0</v>
      </c>
      <c r="AC11" s="17">
        <f>COUNTIFS('Data Dump'!$P:$P,'ANA FEED'!$A11,'Data Dump'!$S:$S,'ANA FEED'!AC$2)</f>
        <v>0</v>
      </c>
      <c r="AD11" s="17">
        <f>COUNTIFS('Data Dump'!$P:$P,'ANA FEED'!$A11,'Data Dump'!$S:$S,'ANA FEED'!AD$2)</f>
        <v>0</v>
      </c>
      <c r="AE11" s="15">
        <f t="shared" si="7"/>
        <v>0</v>
      </c>
      <c r="AF11" s="17">
        <f>COUNTIFS('Data Dump'!$P:$P,'ANA FEED'!$A11,'Data Dump'!$S:$S,'ANA FEED'!AF$2)</f>
        <v>0</v>
      </c>
      <c r="AG11" s="17">
        <f>COUNTIFS('Data Dump'!$P:$P,'ANA FEED'!$A11,'Data Dump'!$S:$S,'ANA FEED'!AG$2)</f>
        <v>0</v>
      </c>
      <c r="AH11" s="17">
        <f>COUNTIFS('Data Dump'!$P:$P,'ANA FEED'!$A11,'Data Dump'!$S:$S,'ANA FEED'!AH$2)</f>
        <v>0</v>
      </c>
      <c r="AI11" s="15">
        <f t="shared" si="8"/>
        <v>0</v>
      </c>
      <c r="AJ11" s="15">
        <f t="shared" si="9"/>
        <v>0</v>
      </c>
    </row>
    <row r="12" spans="1:36" x14ac:dyDescent="0.25">
      <c r="A12" s="12" t="s">
        <v>27</v>
      </c>
      <c r="B12" s="13" t="s">
        <v>28</v>
      </c>
      <c r="C12" s="17">
        <f>COUNTIFS('Data Dump'!$P:$P,'ANA FEED'!$A12,'Data Dump'!$S:$S,'ANA FEED'!C$2)</f>
        <v>0</v>
      </c>
      <c r="D12" s="17">
        <f>COUNTIFS('Data Dump'!$P:$P,'ANA FEED'!$A12,'Data Dump'!$S:$S,'ANA FEED'!D$2)</f>
        <v>0</v>
      </c>
      <c r="E12" s="17">
        <f>COUNTIFS('Data Dump'!$P:$P,'ANA FEED'!$A12,'Data Dump'!$S:$S,'ANA FEED'!E$2)</f>
        <v>0</v>
      </c>
      <c r="F12" s="15">
        <f t="shared" si="0"/>
        <v>0</v>
      </c>
      <c r="G12" s="17">
        <f>COUNTIFS('Data Dump'!$P:$P,'ANA FEED'!$A12,'Data Dump'!$S:$S,'ANA FEED'!G$2)</f>
        <v>0</v>
      </c>
      <c r="H12" s="17">
        <f>COUNTIFS('Data Dump'!$P:$P,'ANA FEED'!$A12,'Data Dump'!$S:$S,'ANA FEED'!H$2)</f>
        <v>0</v>
      </c>
      <c r="I12" s="17">
        <f>COUNTIFS('Data Dump'!$P:$P,'ANA FEED'!$A12,'Data Dump'!$S:$S,'ANA FEED'!I$2)</f>
        <v>0</v>
      </c>
      <c r="J12" s="15">
        <f t="shared" si="1"/>
        <v>0</v>
      </c>
      <c r="K12" s="17">
        <f>COUNTIFS('Data Dump'!$P:$P,'ANA FEED'!$A12,'Data Dump'!$S:$S,'ANA FEED'!K$2)</f>
        <v>0</v>
      </c>
      <c r="L12" s="17">
        <f>COUNTIFS('Data Dump'!$P:$P,'ANA FEED'!$A12,'Data Dump'!$S:$S,'ANA FEED'!L$2)</f>
        <v>0</v>
      </c>
      <c r="M12" s="17">
        <f>COUNTIFS('Data Dump'!$P:$P,'ANA FEED'!$A12,'Data Dump'!$S:$S,'ANA FEED'!M$2)</f>
        <v>0</v>
      </c>
      <c r="N12" s="15">
        <f t="shared" si="2"/>
        <v>0</v>
      </c>
      <c r="O12" s="17">
        <f>COUNTIFS('Data Dump'!$P:$P,'ANA FEED'!$A12,'Data Dump'!$S:$S,'ANA FEED'!O$2)</f>
        <v>0</v>
      </c>
      <c r="P12" s="17">
        <f>COUNTIFS('Data Dump'!$P:$P,'ANA FEED'!$A12,'Data Dump'!$S:$S,'ANA FEED'!P$2)</f>
        <v>0</v>
      </c>
      <c r="Q12" s="17">
        <f>COUNTIFS('Data Dump'!$P:$P,'ANA FEED'!$A12,'Data Dump'!$S:$S,'ANA FEED'!Q$2)</f>
        <v>0</v>
      </c>
      <c r="R12" s="15">
        <f t="shared" si="3"/>
        <v>0</v>
      </c>
      <c r="S12" s="15">
        <f t="shared" si="4"/>
        <v>0</v>
      </c>
      <c r="T12" s="17">
        <f>COUNTIFS('Data Dump'!$P:$P,'ANA FEED'!$A12,'Data Dump'!$S:$S,'ANA FEED'!T$2)</f>
        <v>0</v>
      </c>
      <c r="U12" s="17">
        <f>COUNTIFS('Data Dump'!$P:$P,'ANA FEED'!$A12,'Data Dump'!$S:$S,'ANA FEED'!U$2)</f>
        <v>0</v>
      </c>
      <c r="V12" s="17">
        <f>COUNTIFS('Data Dump'!$P:$P,'ANA FEED'!$A12,'Data Dump'!$S:$S,'ANA FEED'!V$2)</f>
        <v>0</v>
      </c>
      <c r="W12" s="15">
        <f t="shared" si="5"/>
        <v>0</v>
      </c>
      <c r="X12" s="17">
        <f>COUNTIFS('Data Dump'!$P:$P,'ANA FEED'!$A12,'Data Dump'!$S:$S,'ANA FEED'!X$2)</f>
        <v>0</v>
      </c>
      <c r="Y12" s="17">
        <f>COUNTIFS('Data Dump'!$P:$P,'ANA FEED'!$A12,'Data Dump'!$S:$S,'ANA FEED'!Y$2)</f>
        <v>0</v>
      </c>
      <c r="Z12" s="17">
        <f>COUNTIFS('Data Dump'!$P:$P,'ANA FEED'!$A12,'Data Dump'!$S:$S,'ANA FEED'!Z$2)</f>
        <v>0</v>
      </c>
      <c r="AA12" s="15">
        <f t="shared" si="6"/>
        <v>0</v>
      </c>
      <c r="AB12" s="17">
        <f>COUNTIFS('Data Dump'!$P:$P,'ANA FEED'!$A12,'Data Dump'!$S:$S,'ANA FEED'!AB$2)</f>
        <v>0</v>
      </c>
      <c r="AC12" s="17">
        <f>COUNTIFS('Data Dump'!$P:$P,'ANA FEED'!$A12,'Data Dump'!$S:$S,'ANA FEED'!AC$2)</f>
        <v>0</v>
      </c>
      <c r="AD12" s="17">
        <f>COUNTIFS('Data Dump'!$P:$P,'ANA FEED'!$A12,'Data Dump'!$S:$S,'ANA FEED'!AD$2)</f>
        <v>0</v>
      </c>
      <c r="AE12" s="15">
        <f t="shared" si="7"/>
        <v>0</v>
      </c>
      <c r="AF12" s="17">
        <f>COUNTIFS('Data Dump'!$P:$P,'ANA FEED'!$A12,'Data Dump'!$S:$S,'ANA FEED'!AF$2)</f>
        <v>0</v>
      </c>
      <c r="AG12" s="17">
        <f>COUNTIFS('Data Dump'!$P:$P,'ANA FEED'!$A12,'Data Dump'!$S:$S,'ANA FEED'!AG$2)</f>
        <v>0</v>
      </c>
      <c r="AH12" s="17">
        <f>COUNTIFS('Data Dump'!$P:$P,'ANA FEED'!$A12,'Data Dump'!$S:$S,'ANA FEED'!AH$2)</f>
        <v>0</v>
      </c>
      <c r="AI12" s="15">
        <f t="shared" si="8"/>
        <v>0</v>
      </c>
      <c r="AJ12" s="15">
        <f t="shared" si="9"/>
        <v>0</v>
      </c>
    </row>
    <row r="13" spans="1:36" x14ac:dyDescent="0.25">
      <c r="A13" s="12" t="s">
        <v>29</v>
      </c>
      <c r="B13" s="13" t="s">
        <v>30</v>
      </c>
      <c r="C13" s="17">
        <f>COUNTIFS('Data Dump'!$P:$P,'ANA FEED'!$A13,'Data Dump'!$S:$S,'ANA FEED'!C$2)</f>
        <v>0</v>
      </c>
      <c r="D13" s="17">
        <f>COUNTIFS('Data Dump'!$P:$P,'ANA FEED'!$A13,'Data Dump'!$S:$S,'ANA FEED'!D$2)</f>
        <v>0</v>
      </c>
      <c r="E13" s="17">
        <f>COUNTIFS('Data Dump'!$P:$P,'ANA FEED'!$A13,'Data Dump'!$S:$S,'ANA FEED'!E$2)</f>
        <v>0</v>
      </c>
      <c r="F13" s="15">
        <f t="shared" si="0"/>
        <v>0</v>
      </c>
      <c r="G13" s="17">
        <f>COUNTIFS('Data Dump'!$P:$P,'ANA FEED'!$A13,'Data Dump'!$S:$S,'ANA FEED'!G$2)</f>
        <v>2</v>
      </c>
      <c r="H13" s="17">
        <f>COUNTIFS('Data Dump'!$P:$P,'ANA FEED'!$A13,'Data Dump'!$S:$S,'ANA FEED'!H$2)</f>
        <v>0</v>
      </c>
      <c r="I13" s="17">
        <f>COUNTIFS('Data Dump'!$P:$P,'ANA FEED'!$A13,'Data Dump'!$S:$S,'ANA FEED'!I$2)</f>
        <v>2</v>
      </c>
      <c r="J13" s="15">
        <f t="shared" si="1"/>
        <v>4</v>
      </c>
      <c r="K13" s="17">
        <f>COUNTIFS('Data Dump'!$P:$P,'ANA FEED'!$A13,'Data Dump'!$S:$S,'ANA FEED'!K$2)</f>
        <v>0</v>
      </c>
      <c r="L13" s="17">
        <f>COUNTIFS('Data Dump'!$P:$P,'ANA FEED'!$A13,'Data Dump'!$S:$S,'ANA FEED'!L$2)</f>
        <v>0</v>
      </c>
      <c r="M13" s="17">
        <f>COUNTIFS('Data Dump'!$P:$P,'ANA FEED'!$A13,'Data Dump'!$S:$S,'ANA FEED'!M$2)</f>
        <v>0</v>
      </c>
      <c r="N13" s="15">
        <f t="shared" si="2"/>
        <v>0</v>
      </c>
      <c r="O13" s="17">
        <f>COUNTIFS('Data Dump'!$P:$P,'ANA FEED'!$A13,'Data Dump'!$S:$S,'ANA FEED'!O$2)</f>
        <v>1</v>
      </c>
      <c r="P13" s="17">
        <f>COUNTIFS('Data Dump'!$P:$P,'ANA FEED'!$A13,'Data Dump'!$S:$S,'ANA FEED'!P$2)</f>
        <v>0</v>
      </c>
      <c r="Q13" s="17">
        <f>COUNTIFS('Data Dump'!$P:$P,'ANA FEED'!$A13,'Data Dump'!$S:$S,'ANA FEED'!Q$2)</f>
        <v>0</v>
      </c>
      <c r="R13" s="15">
        <f t="shared" si="3"/>
        <v>1</v>
      </c>
      <c r="S13" s="15">
        <f t="shared" si="4"/>
        <v>5</v>
      </c>
      <c r="T13" s="17">
        <f>COUNTIFS('Data Dump'!$P:$P,'ANA FEED'!$A13,'Data Dump'!$S:$S,'ANA FEED'!T$2)</f>
        <v>0</v>
      </c>
      <c r="U13" s="17">
        <f>COUNTIFS('Data Dump'!$P:$P,'ANA FEED'!$A13,'Data Dump'!$S:$S,'ANA FEED'!U$2)</f>
        <v>0</v>
      </c>
      <c r="V13" s="17">
        <f>COUNTIFS('Data Dump'!$P:$P,'ANA FEED'!$A13,'Data Dump'!$S:$S,'ANA FEED'!V$2)</f>
        <v>0</v>
      </c>
      <c r="W13" s="15">
        <f t="shared" si="5"/>
        <v>0</v>
      </c>
      <c r="X13" s="17">
        <f>COUNTIFS('Data Dump'!$P:$P,'ANA FEED'!$A13,'Data Dump'!$S:$S,'ANA FEED'!X$2)</f>
        <v>0</v>
      </c>
      <c r="Y13" s="17">
        <f>COUNTIFS('Data Dump'!$P:$P,'ANA FEED'!$A13,'Data Dump'!$S:$S,'ANA FEED'!Y$2)</f>
        <v>0</v>
      </c>
      <c r="Z13" s="17">
        <f>COUNTIFS('Data Dump'!$P:$P,'ANA FEED'!$A13,'Data Dump'!$S:$S,'ANA FEED'!Z$2)</f>
        <v>1</v>
      </c>
      <c r="AA13" s="15">
        <f t="shared" si="6"/>
        <v>1</v>
      </c>
      <c r="AB13" s="17">
        <f>COUNTIFS('Data Dump'!$P:$P,'ANA FEED'!$A13,'Data Dump'!$S:$S,'ANA FEED'!AB$2)</f>
        <v>0</v>
      </c>
      <c r="AC13" s="17">
        <f>COUNTIFS('Data Dump'!$P:$P,'ANA FEED'!$A13,'Data Dump'!$S:$S,'ANA FEED'!AC$2)</f>
        <v>0</v>
      </c>
      <c r="AD13" s="17">
        <f>COUNTIFS('Data Dump'!$P:$P,'ANA FEED'!$A13,'Data Dump'!$S:$S,'ANA FEED'!AD$2)</f>
        <v>1</v>
      </c>
      <c r="AE13" s="15">
        <f t="shared" si="7"/>
        <v>1</v>
      </c>
      <c r="AF13" s="17">
        <f>COUNTIFS('Data Dump'!$P:$P,'ANA FEED'!$A13,'Data Dump'!$S:$S,'ANA FEED'!AF$2)</f>
        <v>0</v>
      </c>
      <c r="AG13" s="17">
        <f>COUNTIFS('Data Dump'!$P:$P,'ANA FEED'!$A13,'Data Dump'!$S:$S,'ANA FEED'!AG$2)</f>
        <v>0</v>
      </c>
      <c r="AH13" s="17">
        <f>COUNTIFS('Data Dump'!$P:$P,'ANA FEED'!$A13,'Data Dump'!$S:$S,'ANA FEED'!AH$2)</f>
        <v>0</v>
      </c>
      <c r="AI13" s="15">
        <f t="shared" si="8"/>
        <v>0</v>
      </c>
      <c r="AJ13" s="15">
        <f t="shared" si="9"/>
        <v>2</v>
      </c>
    </row>
    <row r="14" spans="1:36" x14ac:dyDescent="0.25">
      <c r="A14" s="12" t="s">
        <v>31</v>
      </c>
      <c r="B14" s="13" t="s">
        <v>32</v>
      </c>
      <c r="C14" s="17">
        <f>COUNTIFS('Data Dump'!$P:$P,'ANA FEED'!$A14,'Data Dump'!$S:$S,'ANA FEED'!C$2)</f>
        <v>0</v>
      </c>
      <c r="D14" s="17">
        <f>COUNTIFS('Data Dump'!$P:$P,'ANA FEED'!$A14,'Data Dump'!$S:$S,'ANA FEED'!D$2)</f>
        <v>0</v>
      </c>
      <c r="E14" s="17">
        <f>COUNTIFS('Data Dump'!$P:$P,'ANA FEED'!$A14,'Data Dump'!$S:$S,'ANA FEED'!E$2)</f>
        <v>0</v>
      </c>
      <c r="F14" s="15">
        <f t="shared" si="0"/>
        <v>0</v>
      </c>
      <c r="G14" s="17">
        <f>COUNTIFS('Data Dump'!$P:$P,'ANA FEED'!$A14,'Data Dump'!$S:$S,'ANA FEED'!G$2)</f>
        <v>0</v>
      </c>
      <c r="H14" s="17">
        <f>COUNTIFS('Data Dump'!$P:$P,'ANA FEED'!$A14,'Data Dump'!$S:$S,'ANA FEED'!H$2)</f>
        <v>0</v>
      </c>
      <c r="I14" s="17">
        <f>COUNTIFS('Data Dump'!$P:$P,'ANA FEED'!$A14,'Data Dump'!$S:$S,'ANA FEED'!I$2)</f>
        <v>0</v>
      </c>
      <c r="J14" s="15">
        <f t="shared" si="1"/>
        <v>0</v>
      </c>
      <c r="K14" s="17">
        <f>COUNTIFS('Data Dump'!$P:$P,'ANA FEED'!$A14,'Data Dump'!$S:$S,'ANA FEED'!K$2)</f>
        <v>0</v>
      </c>
      <c r="L14" s="17">
        <f>COUNTIFS('Data Dump'!$P:$P,'ANA FEED'!$A14,'Data Dump'!$S:$S,'ANA FEED'!L$2)</f>
        <v>0</v>
      </c>
      <c r="M14" s="17">
        <f>COUNTIFS('Data Dump'!$P:$P,'ANA FEED'!$A14,'Data Dump'!$S:$S,'ANA FEED'!M$2)</f>
        <v>0</v>
      </c>
      <c r="N14" s="15">
        <f t="shared" si="2"/>
        <v>0</v>
      </c>
      <c r="O14" s="17">
        <f>COUNTIFS('Data Dump'!$P:$P,'ANA FEED'!$A14,'Data Dump'!$S:$S,'ANA FEED'!O$2)</f>
        <v>0</v>
      </c>
      <c r="P14" s="17">
        <f>COUNTIFS('Data Dump'!$P:$P,'ANA FEED'!$A14,'Data Dump'!$S:$S,'ANA FEED'!P$2)</f>
        <v>0</v>
      </c>
      <c r="Q14" s="17">
        <f>COUNTIFS('Data Dump'!$P:$P,'ANA FEED'!$A14,'Data Dump'!$S:$S,'ANA FEED'!Q$2)</f>
        <v>0</v>
      </c>
      <c r="R14" s="15">
        <f t="shared" si="3"/>
        <v>0</v>
      </c>
      <c r="S14" s="15">
        <f t="shared" si="4"/>
        <v>0</v>
      </c>
      <c r="T14" s="17">
        <f>COUNTIFS('Data Dump'!$P:$P,'ANA FEED'!$A14,'Data Dump'!$S:$S,'ANA FEED'!T$2)</f>
        <v>0</v>
      </c>
      <c r="U14" s="17">
        <f>COUNTIFS('Data Dump'!$P:$P,'ANA FEED'!$A14,'Data Dump'!$S:$S,'ANA FEED'!U$2)</f>
        <v>0</v>
      </c>
      <c r="V14" s="17">
        <f>COUNTIFS('Data Dump'!$P:$P,'ANA FEED'!$A14,'Data Dump'!$S:$S,'ANA FEED'!V$2)</f>
        <v>0</v>
      </c>
      <c r="W14" s="15">
        <f t="shared" si="5"/>
        <v>0</v>
      </c>
      <c r="X14" s="17">
        <f>COUNTIFS('Data Dump'!$P:$P,'ANA FEED'!$A14,'Data Dump'!$S:$S,'ANA FEED'!X$2)</f>
        <v>0</v>
      </c>
      <c r="Y14" s="17">
        <f>COUNTIFS('Data Dump'!$P:$P,'ANA FEED'!$A14,'Data Dump'!$S:$S,'ANA FEED'!Y$2)</f>
        <v>0</v>
      </c>
      <c r="Z14" s="17">
        <f>COUNTIFS('Data Dump'!$P:$P,'ANA FEED'!$A14,'Data Dump'!$S:$S,'ANA FEED'!Z$2)</f>
        <v>1</v>
      </c>
      <c r="AA14" s="15">
        <f t="shared" si="6"/>
        <v>1</v>
      </c>
      <c r="AB14" s="17">
        <f>COUNTIFS('Data Dump'!$P:$P,'ANA FEED'!$A14,'Data Dump'!$S:$S,'ANA FEED'!AB$2)</f>
        <v>0</v>
      </c>
      <c r="AC14" s="17">
        <f>COUNTIFS('Data Dump'!$P:$P,'ANA FEED'!$A14,'Data Dump'!$S:$S,'ANA FEED'!AC$2)</f>
        <v>0</v>
      </c>
      <c r="AD14" s="17">
        <f>COUNTIFS('Data Dump'!$P:$P,'ANA FEED'!$A14,'Data Dump'!$S:$S,'ANA FEED'!AD$2)</f>
        <v>0</v>
      </c>
      <c r="AE14" s="15">
        <f t="shared" si="7"/>
        <v>0</v>
      </c>
      <c r="AF14" s="17">
        <f>COUNTIFS('Data Dump'!$P:$P,'ANA FEED'!$A14,'Data Dump'!$S:$S,'ANA FEED'!AF$2)</f>
        <v>0</v>
      </c>
      <c r="AG14" s="17">
        <f>COUNTIFS('Data Dump'!$P:$P,'ANA FEED'!$A14,'Data Dump'!$S:$S,'ANA FEED'!AG$2)</f>
        <v>0</v>
      </c>
      <c r="AH14" s="17">
        <f>COUNTIFS('Data Dump'!$P:$P,'ANA FEED'!$A14,'Data Dump'!$S:$S,'ANA FEED'!AH$2)</f>
        <v>0</v>
      </c>
      <c r="AI14" s="15">
        <f t="shared" si="8"/>
        <v>0</v>
      </c>
      <c r="AJ14" s="15">
        <f t="shared" si="9"/>
        <v>1</v>
      </c>
    </row>
    <row r="15" spans="1:36" x14ac:dyDescent="0.25">
      <c r="A15" s="12" t="s">
        <v>33</v>
      </c>
      <c r="B15" s="13" t="s">
        <v>34</v>
      </c>
      <c r="C15" s="17">
        <f>COUNTIFS('Data Dump'!$P:$P,'ANA FEED'!$A15,'Data Dump'!$S:$S,'ANA FEED'!C$2)</f>
        <v>0</v>
      </c>
      <c r="D15" s="17">
        <f>COUNTIFS('Data Dump'!$P:$P,'ANA FEED'!$A15,'Data Dump'!$S:$S,'ANA FEED'!D$2)</f>
        <v>0</v>
      </c>
      <c r="E15" s="17">
        <f>COUNTIFS('Data Dump'!$P:$P,'ANA FEED'!$A15,'Data Dump'!$S:$S,'ANA FEED'!E$2)</f>
        <v>0</v>
      </c>
      <c r="F15" s="15">
        <f t="shared" si="0"/>
        <v>0</v>
      </c>
      <c r="G15" s="17">
        <f>COUNTIFS('Data Dump'!$P:$P,'ANA FEED'!$A15,'Data Dump'!$S:$S,'ANA FEED'!G$2)</f>
        <v>0</v>
      </c>
      <c r="H15" s="17">
        <f>COUNTIFS('Data Dump'!$P:$P,'ANA FEED'!$A15,'Data Dump'!$S:$S,'ANA FEED'!H$2)</f>
        <v>0</v>
      </c>
      <c r="I15" s="17">
        <f>COUNTIFS('Data Dump'!$P:$P,'ANA FEED'!$A15,'Data Dump'!$S:$S,'ANA FEED'!I$2)</f>
        <v>0</v>
      </c>
      <c r="J15" s="15">
        <f t="shared" si="1"/>
        <v>0</v>
      </c>
      <c r="K15" s="17">
        <f>COUNTIFS('Data Dump'!$P:$P,'ANA FEED'!$A15,'Data Dump'!$S:$S,'ANA FEED'!K$2)</f>
        <v>0</v>
      </c>
      <c r="L15" s="17">
        <f>COUNTIFS('Data Dump'!$P:$P,'ANA FEED'!$A15,'Data Dump'!$S:$S,'ANA FEED'!L$2)</f>
        <v>0</v>
      </c>
      <c r="M15" s="17">
        <f>COUNTIFS('Data Dump'!$P:$P,'ANA FEED'!$A15,'Data Dump'!$S:$S,'ANA FEED'!M$2)</f>
        <v>0</v>
      </c>
      <c r="N15" s="15">
        <f t="shared" si="2"/>
        <v>0</v>
      </c>
      <c r="O15" s="17">
        <f>COUNTIFS('Data Dump'!$P:$P,'ANA FEED'!$A15,'Data Dump'!$S:$S,'ANA FEED'!O$2)</f>
        <v>0</v>
      </c>
      <c r="P15" s="17">
        <f>COUNTIFS('Data Dump'!$P:$P,'ANA FEED'!$A15,'Data Dump'!$S:$S,'ANA FEED'!P$2)</f>
        <v>0</v>
      </c>
      <c r="Q15" s="17">
        <f>COUNTIFS('Data Dump'!$P:$P,'ANA FEED'!$A15,'Data Dump'!$S:$S,'ANA FEED'!Q$2)</f>
        <v>0</v>
      </c>
      <c r="R15" s="15">
        <f t="shared" si="3"/>
        <v>0</v>
      </c>
      <c r="S15" s="15">
        <f t="shared" si="4"/>
        <v>0</v>
      </c>
      <c r="T15" s="17">
        <f>COUNTIFS('Data Dump'!$P:$P,'ANA FEED'!$A15,'Data Dump'!$S:$S,'ANA FEED'!T$2)</f>
        <v>0</v>
      </c>
      <c r="U15" s="17">
        <f>COUNTIFS('Data Dump'!$P:$P,'ANA FEED'!$A15,'Data Dump'!$S:$S,'ANA FEED'!U$2)</f>
        <v>0</v>
      </c>
      <c r="V15" s="17">
        <f>COUNTIFS('Data Dump'!$P:$P,'ANA FEED'!$A15,'Data Dump'!$S:$S,'ANA FEED'!V$2)</f>
        <v>0</v>
      </c>
      <c r="W15" s="15">
        <f t="shared" si="5"/>
        <v>0</v>
      </c>
      <c r="X15" s="17">
        <f>COUNTIFS('Data Dump'!$P:$P,'ANA FEED'!$A15,'Data Dump'!$S:$S,'ANA FEED'!X$2)</f>
        <v>0</v>
      </c>
      <c r="Y15" s="17">
        <f>COUNTIFS('Data Dump'!$P:$P,'ANA FEED'!$A15,'Data Dump'!$S:$S,'ANA FEED'!Y$2)</f>
        <v>0</v>
      </c>
      <c r="Z15" s="17">
        <f>COUNTIFS('Data Dump'!$P:$P,'ANA FEED'!$A15,'Data Dump'!$S:$S,'ANA FEED'!Z$2)</f>
        <v>0</v>
      </c>
      <c r="AA15" s="15">
        <f t="shared" si="6"/>
        <v>0</v>
      </c>
      <c r="AB15" s="17">
        <f>COUNTIFS('Data Dump'!$P:$P,'ANA FEED'!$A15,'Data Dump'!$S:$S,'ANA FEED'!AB$2)</f>
        <v>0</v>
      </c>
      <c r="AC15" s="17">
        <f>COUNTIFS('Data Dump'!$P:$P,'ANA FEED'!$A15,'Data Dump'!$S:$S,'ANA FEED'!AC$2)</f>
        <v>0</v>
      </c>
      <c r="AD15" s="17">
        <f>COUNTIFS('Data Dump'!$P:$P,'ANA FEED'!$A15,'Data Dump'!$S:$S,'ANA FEED'!AD$2)</f>
        <v>0</v>
      </c>
      <c r="AE15" s="15">
        <f t="shared" si="7"/>
        <v>0</v>
      </c>
      <c r="AF15" s="17">
        <f>COUNTIFS('Data Dump'!$P:$P,'ANA FEED'!$A15,'Data Dump'!$S:$S,'ANA FEED'!AF$2)</f>
        <v>0</v>
      </c>
      <c r="AG15" s="17">
        <f>COUNTIFS('Data Dump'!$P:$P,'ANA FEED'!$A15,'Data Dump'!$S:$S,'ANA FEED'!AG$2)</f>
        <v>0</v>
      </c>
      <c r="AH15" s="17">
        <f>COUNTIFS('Data Dump'!$P:$P,'ANA FEED'!$A15,'Data Dump'!$S:$S,'ANA FEED'!AH$2)</f>
        <v>0</v>
      </c>
      <c r="AI15" s="15">
        <f t="shared" si="8"/>
        <v>0</v>
      </c>
      <c r="AJ15" s="15">
        <f t="shared" si="9"/>
        <v>0</v>
      </c>
    </row>
    <row r="16" spans="1:36" x14ac:dyDescent="0.25">
      <c r="A16" s="12" t="s">
        <v>35</v>
      </c>
      <c r="B16" s="13" t="s">
        <v>36</v>
      </c>
      <c r="C16" s="17">
        <f>COUNTIFS('Data Dump'!$P:$P,'ANA FEED'!$A16,'Data Dump'!$S:$S,'ANA FEED'!C$2)</f>
        <v>0</v>
      </c>
      <c r="D16" s="17">
        <f>COUNTIFS('Data Dump'!$P:$P,'ANA FEED'!$A16,'Data Dump'!$S:$S,'ANA FEED'!D$2)</f>
        <v>0</v>
      </c>
      <c r="E16" s="17">
        <f>COUNTIFS('Data Dump'!$P:$P,'ANA FEED'!$A16,'Data Dump'!$S:$S,'ANA FEED'!E$2)</f>
        <v>0</v>
      </c>
      <c r="F16" s="15">
        <f t="shared" si="0"/>
        <v>0</v>
      </c>
      <c r="G16" s="17">
        <f>COUNTIFS('Data Dump'!$P:$P,'ANA FEED'!$A16,'Data Dump'!$S:$S,'ANA FEED'!G$2)</f>
        <v>0</v>
      </c>
      <c r="H16" s="17">
        <f>COUNTIFS('Data Dump'!$P:$P,'ANA FEED'!$A16,'Data Dump'!$S:$S,'ANA FEED'!H$2)</f>
        <v>0</v>
      </c>
      <c r="I16" s="17">
        <f>COUNTIFS('Data Dump'!$P:$P,'ANA FEED'!$A16,'Data Dump'!$S:$S,'ANA FEED'!I$2)</f>
        <v>2</v>
      </c>
      <c r="J16" s="15">
        <f t="shared" si="1"/>
        <v>2</v>
      </c>
      <c r="K16" s="17">
        <f>COUNTIFS('Data Dump'!$P:$P,'ANA FEED'!$A16,'Data Dump'!$S:$S,'ANA FEED'!K$2)</f>
        <v>0</v>
      </c>
      <c r="L16" s="17">
        <f>COUNTIFS('Data Dump'!$P:$P,'ANA FEED'!$A16,'Data Dump'!$S:$S,'ANA FEED'!L$2)</f>
        <v>0</v>
      </c>
      <c r="M16" s="17">
        <f>COUNTIFS('Data Dump'!$P:$P,'ANA FEED'!$A16,'Data Dump'!$S:$S,'ANA FEED'!M$2)</f>
        <v>0</v>
      </c>
      <c r="N16" s="15">
        <f t="shared" si="2"/>
        <v>0</v>
      </c>
      <c r="O16" s="17">
        <f>COUNTIFS('Data Dump'!$P:$P,'ANA FEED'!$A16,'Data Dump'!$S:$S,'ANA FEED'!O$2)</f>
        <v>1</v>
      </c>
      <c r="P16" s="17">
        <f>COUNTIFS('Data Dump'!$P:$P,'ANA FEED'!$A16,'Data Dump'!$S:$S,'ANA FEED'!P$2)</f>
        <v>0</v>
      </c>
      <c r="Q16" s="17">
        <f>COUNTIFS('Data Dump'!$P:$P,'ANA FEED'!$A16,'Data Dump'!$S:$S,'ANA FEED'!Q$2)</f>
        <v>0</v>
      </c>
      <c r="R16" s="15">
        <f t="shared" si="3"/>
        <v>1</v>
      </c>
      <c r="S16" s="15">
        <f t="shared" si="4"/>
        <v>3</v>
      </c>
      <c r="T16" s="17">
        <f>COUNTIFS('Data Dump'!$P:$P,'ANA FEED'!$A16,'Data Dump'!$S:$S,'ANA FEED'!T$2)</f>
        <v>0</v>
      </c>
      <c r="U16" s="17">
        <f>COUNTIFS('Data Dump'!$P:$P,'ANA FEED'!$A16,'Data Dump'!$S:$S,'ANA FEED'!U$2)</f>
        <v>0</v>
      </c>
      <c r="V16" s="17">
        <f>COUNTIFS('Data Dump'!$P:$P,'ANA FEED'!$A16,'Data Dump'!$S:$S,'ANA FEED'!V$2)</f>
        <v>0</v>
      </c>
      <c r="W16" s="15">
        <f t="shared" si="5"/>
        <v>0</v>
      </c>
      <c r="X16" s="17">
        <f>COUNTIFS('Data Dump'!$P:$P,'ANA FEED'!$A16,'Data Dump'!$S:$S,'ANA FEED'!X$2)</f>
        <v>0</v>
      </c>
      <c r="Y16" s="17">
        <f>COUNTIFS('Data Dump'!$P:$P,'ANA FEED'!$A16,'Data Dump'!$S:$S,'ANA FEED'!Y$2)</f>
        <v>0</v>
      </c>
      <c r="Z16" s="17">
        <f>COUNTIFS('Data Dump'!$P:$P,'ANA FEED'!$A16,'Data Dump'!$S:$S,'ANA FEED'!Z$2)</f>
        <v>5</v>
      </c>
      <c r="AA16" s="15">
        <f t="shared" si="6"/>
        <v>5</v>
      </c>
      <c r="AB16" s="17">
        <f>COUNTIFS('Data Dump'!$P:$P,'ANA FEED'!$A16,'Data Dump'!$S:$S,'ANA FEED'!AB$2)</f>
        <v>0</v>
      </c>
      <c r="AC16" s="17">
        <f>COUNTIFS('Data Dump'!$P:$P,'ANA FEED'!$A16,'Data Dump'!$S:$S,'ANA FEED'!AC$2)</f>
        <v>0</v>
      </c>
      <c r="AD16" s="17">
        <f>COUNTIFS('Data Dump'!$P:$P,'ANA FEED'!$A16,'Data Dump'!$S:$S,'ANA FEED'!AD$2)</f>
        <v>0</v>
      </c>
      <c r="AE16" s="15">
        <f t="shared" si="7"/>
        <v>0</v>
      </c>
      <c r="AF16" s="17">
        <f>COUNTIFS('Data Dump'!$P:$P,'ANA FEED'!$A16,'Data Dump'!$S:$S,'ANA FEED'!AF$2)</f>
        <v>0</v>
      </c>
      <c r="AG16" s="17">
        <f>COUNTIFS('Data Dump'!$P:$P,'ANA FEED'!$A16,'Data Dump'!$S:$S,'ANA FEED'!AG$2)</f>
        <v>0</v>
      </c>
      <c r="AH16" s="17">
        <f>COUNTIFS('Data Dump'!$P:$P,'ANA FEED'!$A16,'Data Dump'!$S:$S,'ANA FEED'!AH$2)</f>
        <v>0</v>
      </c>
      <c r="AI16" s="15">
        <f t="shared" si="8"/>
        <v>0</v>
      </c>
      <c r="AJ16" s="15">
        <f t="shared" si="9"/>
        <v>5</v>
      </c>
    </row>
    <row r="17" spans="1:36" x14ac:dyDescent="0.25">
      <c r="A17" s="12" t="s">
        <v>37</v>
      </c>
      <c r="B17" s="13" t="s">
        <v>38</v>
      </c>
      <c r="C17" s="17">
        <f>COUNTIFS('Data Dump'!$P:$P,'ANA FEED'!$A17,'Data Dump'!$S:$S,'ANA FEED'!C$2)</f>
        <v>0</v>
      </c>
      <c r="D17" s="17">
        <f>COUNTIFS('Data Dump'!$P:$P,'ANA FEED'!$A17,'Data Dump'!$S:$S,'ANA FEED'!D$2)</f>
        <v>0</v>
      </c>
      <c r="E17" s="17">
        <f>COUNTIFS('Data Dump'!$P:$P,'ANA FEED'!$A17,'Data Dump'!$S:$S,'ANA FEED'!E$2)</f>
        <v>0</v>
      </c>
      <c r="F17" s="15">
        <f t="shared" si="0"/>
        <v>0</v>
      </c>
      <c r="G17" s="17">
        <f>COUNTIFS('Data Dump'!$P:$P,'ANA FEED'!$A17,'Data Dump'!$S:$S,'ANA FEED'!G$2)</f>
        <v>0</v>
      </c>
      <c r="H17" s="17">
        <f>COUNTIFS('Data Dump'!$P:$P,'ANA FEED'!$A17,'Data Dump'!$S:$S,'ANA FEED'!H$2)</f>
        <v>0</v>
      </c>
      <c r="I17" s="17">
        <f>COUNTIFS('Data Dump'!$P:$P,'ANA FEED'!$A17,'Data Dump'!$S:$S,'ANA FEED'!I$2)</f>
        <v>0</v>
      </c>
      <c r="J17" s="15">
        <f t="shared" si="1"/>
        <v>0</v>
      </c>
      <c r="K17" s="17">
        <f>COUNTIFS('Data Dump'!$P:$P,'ANA FEED'!$A17,'Data Dump'!$S:$S,'ANA FEED'!K$2)</f>
        <v>0</v>
      </c>
      <c r="L17" s="17">
        <f>COUNTIFS('Data Dump'!$P:$P,'ANA FEED'!$A17,'Data Dump'!$S:$S,'ANA FEED'!L$2)</f>
        <v>1</v>
      </c>
      <c r="M17" s="17">
        <f>COUNTIFS('Data Dump'!$P:$P,'ANA FEED'!$A17,'Data Dump'!$S:$S,'ANA FEED'!M$2)</f>
        <v>0</v>
      </c>
      <c r="N17" s="15">
        <f t="shared" si="2"/>
        <v>1</v>
      </c>
      <c r="O17" s="17">
        <f>COUNTIFS('Data Dump'!$P:$P,'ANA FEED'!$A17,'Data Dump'!$S:$S,'ANA FEED'!O$2)</f>
        <v>0</v>
      </c>
      <c r="P17" s="17">
        <f>COUNTIFS('Data Dump'!$P:$P,'ANA FEED'!$A17,'Data Dump'!$S:$S,'ANA FEED'!P$2)</f>
        <v>0</v>
      </c>
      <c r="Q17" s="17">
        <f>COUNTIFS('Data Dump'!$P:$P,'ANA FEED'!$A17,'Data Dump'!$S:$S,'ANA FEED'!Q$2)</f>
        <v>0</v>
      </c>
      <c r="R17" s="15">
        <f t="shared" si="3"/>
        <v>0</v>
      </c>
      <c r="S17" s="15">
        <f t="shared" si="4"/>
        <v>1</v>
      </c>
      <c r="T17" s="17">
        <f>COUNTIFS('Data Dump'!$P:$P,'ANA FEED'!$A17,'Data Dump'!$S:$S,'ANA FEED'!T$2)</f>
        <v>0</v>
      </c>
      <c r="U17" s="17">
        <f>COUNTIFS('Data Dump'!$P:$P,'ANA FEED'!$A17,'Data Dump'!$S:$S,'ANA FEED'!U$2)</f>
        <v>0</v>
      </c>
      <c r="V17" s="17">
        <f>COUNTIFS('Data Dump'!$P:$P,'ANA FEED'!$A17,'Data Dump'!$S:$S,'ANA FEED'!V$2)</f>
        <v>0</v>
      </c>
      <c r="W17" s="15">
        <f t="shared" si="5"/>
        <v>0</v>
      </c>
      <c r="X17" s="17">
        <f>COUNTIFS('Data Dump'!$P:$P,'ANA FEED'!$A17,'Data Dump'!$S:$S,'ANA FEED'!X$2)</f>
        <v>0</v>
      </c>
      <c r="Y17" s="17">
        <f>COUNTIFS('Data Dump'!$P:$P,'ANA FEED'!$A17,'Data Dump'!$S:$S,'ANA FEED'!Y$2)</f>
        <v>1</v>
      </c>
      <c r="Z17" s="17">
        <f>COUNTIFS('Data Dump'!$P:$P,'ANA FEED'!$A17,'Data Dump'!$S:$S,'ANA FEED'!Z$2)</f>
        <v>1</v>
      </c>
      <c r="AA17" s="15">
        <f t="shared" si="6"/>
        <v>2</v>
      </c>
      <c r="AB17" s="17">
        <f>COUNTIFS('Data Dump'!$P:$P,'ANA FEED'!$A17,'Data Dump'!$S:$S,'ANA FEED'!AB$2)</f>
        <v>0</v>
      </c>
      <c r="AC17" s="17">
        <f>COUNTIFS('Data Dump'!$P:$P,'ANA FEED'!$A17,'Data Dump'!$S:$S,'ANA FEED'!AC$2)</f>
        <v>0</v>
      </c>
      <c r="AD17" s="17">
        <f>COUNTIFS('Data Dump'!$P:$P,'ANA FEED'!$A17,'Data Dump'!$S:$S,'ANA FEED'!AD$2)</f>
        <v>0</v>
      </c>
      <c r="AE17" s="15">
        <f t="shared" si="7"/>
        <v>0</v>
      </c>
      <c r="AF17" s="17">
        <f>COUNTIFS('Data Dump'!$P:$P,'ANA FEED'!$A17,'Data Dump'!$S:$S,'ANA FEED'!AF$2)</f>
        <v>0</v>
      </c>
      <c r="AG17" s="17">
        <f>COUNTIFS('Data Dump'!$P:$P,'ANA FEED'!$A17,'Data Dump'!$S:$S,'ANA FEED'!AG$2)</f>
        <v>0</v>
      </c>
      <c r="AH17" s="17">
        <f>COUNTIFS('Data Dump'!$P:$P,'ANA FEED'!$A17,'Data Dump'!$S:$S,'ANA FEED'!AH$2)</f>
        <v>0</v>
      </c>
      <c r="AI17" s="15">
        <f t="shared" si="8"/>
        <v>0</v>
      </c>
      <c r="AJ17" s="15">
        <f t="shared" si="9"/>
        <v>2</v>
      </c>
    </row>
    <row r="18" spans="1:36" x14ac:dyDescent="0.25">
      <c r="A18" s="12" t="s">
        <v>39</v>
      </c>
      <c r="B18" s="13" t="s">
        <v>40</v>
      </c>
      <c r="C18" s="17">
        <f>COUNTIFS('Data Dump'!$P:$P,'ANA FEED'!$A18,'Data Dump'!$S:$S,'ANA FEED'!C$2)</f>
        <v>2</v>
      </c>
      <c r="D18" s="17">
        <f>COUNTIFS('Data Dump'!$P:$P,'ANA FEED'!$A18,'Data Dump'!$S:$S,'ANA FEED'!D$2)</f>
        <v>2</v>
      </c>
      <c r="E18" s="17">
        <f>COUNTIFS('Data Dump'!$P:$P,'ANA FEED'!$A18,'Data Dump'!$S:$S,'ANA FEED'!E$2)</f>
        <v>0</v>
      </c>
      <c r="F18" s="15">
        <f t="shared" si="0"/>
        <v>4</v>
      </c>
      <c r="G18" s="17">
        <f>COUNTIFS('Data Dump'!$P:$P,'ANA FEED'!$A18,'Data Dump'!$S:$S,'ANA FEED'!G$2)</f>
        <v>0</v>
      </c>
      <c r="H18" s="17">
        <f>COUNTIFS('Data Dump'!$P:$P,'ANA FEED'!$A18,'Data Dump'!$S:$S,'ANA FEED'!H$2)</f>
        <v>3</v>
      </c>
      <c r="I18" s="17">
        <f>COUNTIFS('Data Dump'!$P:$P,'ANA FEED'!$A18,'Data Dump'!$S:$S,'ANA FEED'!I$2)</f>
        <v>2</v>
      </c>
      <c r="J18" s="15">
        <f t="shared" si="1"/>
        <v>5</v>
      </c>
      <c r="K18" s="17">
        <f>COUNTIFS('Data Dump'!$P:$P,'ANA FEED'!$A18,'Data Dump'!$S:$S,'ANA FEED'!K$2)</f>
        <v>0</v>
      </c>
      <c r="L18" s="17">
        <f>COUNTIFS('Data Dump'!$P:$P,'ANA FEED'!$A18,'Data Dump'!$S:$S,'ANA FEED'!L$2)</f>
        <v>1</v>
      </c>
      <c r="M18" s="17">
        <f>COUNTIFS('Data Dump'!$P:$P,'ANA FEED'!$A18,'Data Dump'!$S:$S,'ANA FEED'!M$2)</f>
        <v>1</v>
      </c>
      <c r="N18" s="15">
        <f t="shared" si="2"/>
        <v>2</v>
      </c>
      <c r="O18" s="17">
        <f>COUNTIFS('Data Dump'!$P:$P,'ANA FEED'!$A18,'Data Dump'!$S:$S,'ANA FEED'!O$2)</f>
        <v>0</v>
      </c>
      <c r="P18" s="17">
        <f>COUNTIFS('Data Dump'!$P:$P,'ANA FEED'!$A18,'Data Dump'!$S:$S,'ANA FEED'!P$2)</f>
        <v>0</v>
      </c>
      <c r="Q18" s="17">
        <f>COUNTIFS('Data Dump'!$P:$P,'ANA FEED'!$A18,'Data Dump'!$S:$S,'ANA FEED'!Q$2)</f>
        <v>0</v>
      </c>
      <c r="R18" s="15">
        <f t="shared" si="3"/>
        <v>0</v>
      </c>
      <c r="S18" s="15">
        <f t="shared" si="4"/>
        <v>11</v>
      </c>
      <c r="T18" s="17">
        <f>COUNTIFS('Data Dump'!$P:$P,'ANA FEED'!$A18,'Data Dump'!$S:$S,'ANA FEED'!T$2)</f>
        <v>0</v>
      </c>
      <c r="U18" s="17">
        <f>COUNTIFS('Data Dump'!$P:$P,'ANA FEED'!$A18,'Data Dump'!$S:$S,'ANA FEED'!U$2)</f>
        <v>1</v>
      </c>
      <c r="V18" s="17">
        <f>COUNTIFS('Data Dump'!$P:$P,'ANA FEED'!$A18,'Data Dump'!$S:$S,'ANA FEED'!V$2)</f>
        <v>0</v>
      </c>
      <c r="W18" s="15">
        <f t="shared" si="5"/>
        <v>1</v>
      </c>
      <c r="X18" s="17">
        <f>COUNTIFS('Data Dump'!$P:$P,'ANA FEED'!$A18,'Data Dump'!$S:$S,'ANA FEED'!X$2)</f>
        <v>1</v>
      </c>
      <c r="Y18" s="17">
        <f>COUNTIFS('Data Dump'!$P:$P,'ANA FEED'!$A18,'Data Dump'!$S:$S,'ANA FEED'!Y$2)</f>
        <v>2</v>
      </c>
      <c r="Z18" s="17">
        <f>COUNTIFS('Data Dump'!$P:$P,'ANA FEED'!$A18,'Data Dump'!$S:$S,'ANA FEED'!Z$2)</f>
        <v>5</v>
      </c>
      <c r="AA18" s="15">
        <f t="shared" si="6"/>
        <v>8</v>
      </c>
      <c r="AB18" s="17">
        <f>COUNTIFS('Data Dump'!$P:$P,'ANA FEED'!$A18,'Data Dump'!$S:$S,'ANA FEED'!AB$2)</f>
        <v>0</v>
      </c>
      <c r="AC18" s="17">
        <f>COUNTIFS('Data Dump'!$P:$P,'ANA FEED'!$A18,'Data Dump'!$S:$S,'ANA FEED'!AC$2)</f>
        <v>0</v>
      </c>
      <c r="AD18" s="17">
        <f>COUNTIFS('Data Dump'!$P:$P,'ANA FEED'!$A18,'Data Dump'!$S:$S,'ANA FEED'!AD$2)</f>
        <v>0</v>
      </c>
      <c r="AE18" s="15">
        <f t="shared" si="7"/>
        <v>0</v>
      </c>
      <c r="AF18" s="17">
        <f>COUNTIFS('Data Dump'!$P:$P,'ANA FEED'!$A18,'Data Dump'!$S:$S,'ANA FEED'!AF$2)</f>
        <v>0</v>
      </c>
      <c r="AG18" s="17">
        <f>COUNTIFS('Data Dump'!$P:$P,'ANA FEED'!$A18,'Data Dump'!$S:$S,'ANA FEED'!AG$2)</f>
        <v>1</v>
      </c>
      <c r="AH18" s="17">
        <f>COUNTIFS('Data Dump'!$P:$P,'ANA FEED'!$A18,'Data Dump'!$S:$S,'ANA FEED'!AH$2)</f>
        <v>0</v>
      </c>
      <c r="AI18" s="15">
        <f t="shared" si="8"/>
        <v>1</v>
      </c>
      <c r="AJ18" s="15">
        <f t="shared" si="9"/>
        <v>10</v>
      </c>
    </row>
    <row r="19" spans="1:36" x14ac:dyDescent="0.25">
      <c r="A19" s="12" t="s">
        <v>41</v>
      </c>
      <c r="B19" s="13" t="s">
        <v>42</v>
      </c>
      <c r="C19" s="17">
        <f>COUNTIFS('Data Dump'!$P:$P,'ANA FEED'!$A19,'Data Dump'!$S:$S,'ANA FEED'!C$2)</f>
        <v>1</v>
      </c>
      <c r="D19" s="17">
        <f>COUNTIFS('Data Dump'!$P:$P,'ANA FEED'!$A19,'Data Dump'!$S:$S,'ANA FEED'!D$2)</f>
        <v>0</v>
      </c>
      <c r="E19" s="17">
        <f>COUNTIFS('Data Dump'!$P:$P,'ANA FEED'!$A19,'Data Dump'!$S:$S,'ANA FEED'!E$2)</f>
        <v>0</v>
      </c>
      <c r="F19" s="15">
        <f t="shared" si="0"/>
        <v>1</v>
      </c>
      <c r="G19" s="17">
        <f>COUNTIFS('Data Dump'!$P:$P,'ANA FEED'!$A19,'Data Dump'!$S:$S,'ANA FEED'!G$2)</f>
        <v>2</v>
      </c>
      <c r="H19" s="17">
        <f>COUNTIFS('Data Dump'!$P:$P,'ANA FEED'!$A19,'Data Dump'!$S:$S,'ANA FEED'!H$2)</f>
        <v>2</v>
      </c>
      <c r="I19" s="17">
        <f>COUNTIFS('Data Dump'!$P:$P,'ANA FEED'!$A19,'Data Dump'!$S:$S,'ANA FEED'!I$2)</f>
        <v>0</v>
      </c>
      <c r="J19" s="15">
        <f t="shared" si="1"/>
        <v>4</v>
      </c>
      <c r="K19" s="17">
        <f>COUNTIFS('Data Dump'!$P:$P,'ANA FEED'!$A19,'Data Dump'!$S:$S,'ANA FEED'!K$2)</f>
        <v>0</v>
      </c>
      <c r="L19" s="17">
        <f>COUNTIFS('Data Dump'!$P:$P,'ANA FEED'!$A19,'Data Dump'!$S:$S,'ANA FEED'!L$2)</f>
        <v>0</v>
      </c>
      <c r="M19" s="17">
        <f>COUNTIFS('Data Dump'!$P:$P,'ANA FEED'!$A19,'Data Dump'!$S:$S,'ANA FEED'!M$2)</f>
        <v>0</v>
      </c>
      <c r="N19" s="15">
        <f t="shared" si="2"/>
        <v>0</v>
      </c>
      <c r="O19" s="17">
        <f>COUNTIFS('Data Dump'!$P:$P,'ANA FEED'!$A19,'Data Dump'!$S:$S,'ANA FEED'!O$2)</f>
        <v>0</v>
      </c>
      <c r="P19" s="17">
        <f>COUNTIFS('Data Dump'!$P:$P,'ANA FEED'!$A19,'Data Dump'!$S:$S,'ANA FEED'!P$2)</f>
        <v>0</v>
      </c>
      <c r="Q19" s="17">
        <f>COUNTIFS('Data Dump'!$P:$P,'ANA FEED'!$A19,'Data Dump'!$S:$S,'ANA FEED'!Q$2)</f>
        <v>0</v>
      </c>
      <c r="R19" s="15">
        <f t="shared" si="3"/>
        <v>0</v>
      </c>
      <c r="S19" s="15">
        <f t="shared" si="4"/>
        <v>5</v>
      </c>
      <c r="T19" s="17">
        <f>COUNTIFS('Data Dump'!$P:$P,'ANA FEED'!$A19,'Data Dump'!$S:$S,'ANA FEED'!T$2)</f>
        <v>0</v>
      </c>
      <c r="U19" s="17">
        <f>COUNTIFS('Data Dump'!$P:$P,'ANA FEED'!$A19,'Data Dump'!$S:$S,'ANA FEED'!U$2)</f>
        <v>0</v>
      </c>
      <c r="V19" s="17">
        <f>COUNTIFS('Data Dump'!$P:$P,'ANA FEED'!$A19,'Data Dump'!$S:$S,'ANA FEED'!V$2)</f>
        <v>2</v>
      </c>
      <c r="W19" s="15">
        <f t="shared" si="5"/>
        <v>2</v>
      </c>
      <c r="X19" s="17">
        <f>COUNTIFS('Data Dump'!$P:$P,'ANA FEED'!$A19,'Data Dump'!$S:$S,'ANA FEED'!X$2)</f>
        <v>0</v>
      </c>
      <c r="Y19" s="17">
        <f>COUNTIFS('Data Dump'!$P:$P,'ANA FEED'!$A19,'Data Dump'!$S:$S,'ANA FEED'!Y$2)</f>
        <v>0</v>
      </c>
      <c r="Z19" s="17">
        <f>COUNTIFS('Data Dump'!$P:$P,'ANA FEED'!$A19,'Data Dump'!$S:$S,'ANA FEED'!Z$2)</f>
        <v>1</v>
      </c>
      <c r="AA19" s="15">
        <f t="shared" si="6"/>
        <v>1</v>
      </c>
      <c r="AB19" s="17">
        <f>COUNTIFS('Data Dump'!$P:$P,'ANA FEED'!$A19,'Data Dump'!$S:$S,'ANA FEED'!AB$2)</f>
        <v>0</v>
      </c>
      <c r="AC19" s="17">
        <f>COUNTIFS('Data Dump'!$P:$P,'ANA FEED'!$A19,'Data Dump'!$S:$S,'ANA FEED'!AC$2)</f>
        <v>0</v>
      </c>
      <c r="AD19" s="17">
        <f>COUNTIFS('Data Dump'!$P:$P,'ANA FEED'!$A19,'Data Dump'!$S:$S,'ANA FEED'!AD$2)</f>
        <v>0</v>
      </c>
      <c r="AE19" s="15">
        <f t="shared" si="7"/>
        <v>0</v>
      </c>
      <c r="AF19" s="17">
        <f>COUNTIFS('Data Dump'!$P:$P,'ANA FEED'!$A19,'Data Dump'!$S:$S,'ANA FEED'!AF$2)</f>
        <v>0</v>
      </c>
      <c r="AG19" s="17">
        <f>COUNTIFS('Data Dump'!$P:$P,'ANA FEED'!$A19,'Data Dump'!$S:$S,'ANA FEED'!AG$2)</f>
        <v>2</v>
      </c>
      <c r="AH19" s="17">
        <f>COUNTIFS('Data Dump'!$P:$P,'ANA FEED'!$A19,'Data Dump'!$S:$S,'ANA FEED'!AH$2)</f>
        <v>0</v>
      </c>
      <c r="AI19" s="15">
        <f t="shared" si="8"/>
        <v>2</v>
      </c>
      <c r="AJ19" s="15">
        <f t="shared" si="9"/>
        <v>5</v>
      </c>
    </row>
    <row r="20" spans="1:36" x14ac:dyDescent="0.25">
      <c r="A20" s="12" t="s">
        <v>43</v>
      </c>
      <c r="B20" s="13" t="s">
        <v>44</v>
      </c>
      <c r="C20" s="17">
        <f>COUNTIFS('Data Dump'!$P:$P,'ANA FEED'!$A20,'Data Dump'!$S:$S,'ANA FEED'!C$2)</f>
        <v>0</v>
      </c>
      <c r="D20" s="17">
        <f>COUNTIFS('Data Dump'!$P:$P,'ANA FEED'!$A20,'Data Dump'!$S:$S,'ANA FEED'!D$2)</f>
        <v>2</v>
      </c>
      <c r="E20" s="17">
        <f>COUNTIFS('Data Dump'!$P:$P,'ANA FEED'!$A20,'Data Dump'!$S:$S,'ANA FEED'!E$2)</f>
        <v>0</v>
      </c>
      <c r="F20" s="15">
        <f t="shared" si="0"/>
        <v>2</v>
      </c>
      <c r="G20" s="17">
        <f>COUNTIFS('Data Dump'!$P:$P,'ANA FEED'!$A20,'Data Dump'!$S:$S,'ANA FEED'!G$2)</f>
        <v>2</v>
      </c>
      <c r="H20" s="17">
        <f>COUNTIFS('Data Dump'!$P:$P,'ANA FEED'!$A20,'Data Dump'!$S:$S,'ANA FEED'!H$2)</f>
        <v>3</v>
      </c>
      <c r="I20" s="17">
        <f>COUNTIFS('Data Dump'!$P:$P,'ANA FEED'!$A20,'Data Dump'!$S:$S,'ANA FEED'!I$2)</f>
        <v>2</v>
      </c>
      <c r="J20" s="15">
        <f t="shared" si="1"/>
        <v>7</v>
      </c>
      <c r="K20" s="17">
        <f>COUNTIFS('Data Dump'!$P:$P,'ANA FEED'!$A20,'Data Dump'!$S:$S,'ANA FEED'!K$2)</f>
        <v>0</v>
      </c>
      <c r="L20" s="17">
        <f>COUNTIFS('Data Dump'!$P:$P,'ANA FEED'!$A20,'Data Dump'!$S:$S,'ANA FEED'!L$2)</f>
        <v>0</v>
      </c>
      <c r="M20" s="17">
        <f>COUNTIFS('Data Dump'!$P:$P,'ANA FEED'!$A20,'Data Dump'!$S:$S,'ANA FEED'!M$2)</f>
        <v>0</v>
      </c>
      <c r="N20" s="15">
        <f t="shared" si="2"/>
        <v>0</v>
      </c>
      <c r="O20" s="17">
        <f>COUNTIFS('Data Dump'!$P:$P,'ANA FEED'!$A20,'Data Dump'!$S:$S,'ANA FEED'!O$2)</f>
        <v>0</v>
      </c>
      <c r="P20" s="17">
        <f>COUNTIFS('Data Dump'!$P:$P,'ANA FEED'!$A20,'Data Dump'!$S:$S,'ANA FEED'!P$2)</f>
        <v>0</v>
      </c>
      <c r="Q20" s="17">
        <f>COUNTIFS('Data Dump'!$P:$P,'ANA FEED'!$A20,'Data Dump'!$S:$S,'ANA FEED'!Q$2)</f>
        <v>1</v>
      </c>
      <c r="R20" s="15">
        <f t="shared" si="3"/>
        <v>1</v>
      </c>
      <c r="S20" s="15">
        <f t="shared" si="4"/>
        <v>10</v>
      </c>
      <c r="T20" s="17">
        <f>COUNTIFS('Data Dump'!$P:$P,'ANA FEED'!$A20,'Data Dump'!$S:$S,'ANA FEED'!T$2)</f>
        <v>1</v>
      </c>
      <c r="U20" s="17">
        <f>COUNTIFS('Data Dump'!$P:$P,'ANA FEED'!$A20,'Data Dump'!$S:$S,'ANA FEED'!U$2)</f>
        <v>2</v>
      </c>
      <c r="V20" s="17">
        <f>COUNTIFS('Data Dump'!$P:$P,'ANA FEED'!$A20,'Data Dump'!$S:$S,'ANA FEED'!V$2)</f>
        <v>0</v>
      </c>
      <c r="W20" s="15">
        <f t="shared" si="5"/>
        <v>3</v>
      </c>
      <c r="X20" s="17">
        <f>COUNTIFS('Data Dump'!$P:$P,'ANA FEED'!$A20,'Data Dump'!$S:$S,'ANA FEED'!X$2)</f>
        <v>0</v>
      </c>
      <c r="Y20" s="17">
        <f>COUNTIFS('Data Dump'!$P:$P,'ANA FEED'!$A20,'Data Dump'!$S:$S,'ANA FEED'!Y$2)</f>
        <v>1</v>
      </c>
      <c r="Z20" s="17">
        <f>COUNTIFS('Data Dump'!$P:$P,'ANA FEED'!$A20,'Data Dump'!$S:$S,'ANA FEED'!Z$2)</f>
        <v>4</v>
      </c>
      <c r="AA20" s="15">
        <f t="shared" si="6"/>
        <v>5</v>
      </c>
      <c r="AB20" s="17">
        <f>COUNTIFS('Data Dump'!$P:$P,'ANA FEED'!$A20,'Data Dump'!$S:$S,'ANA FEED'!AB$2)</f>
        <v>0</v>
      </c>
      <c r="AC20" s="17">
        <f>COUNTIFS('Data Dump'!$P:$P,'ANA FEED'!$A20,'Data Dump'!$S:$S,'ANA FEED'!AC$2)</f>
        <v>0</v>
      </c>
      <c r="AD20" s="17">
        <f>COUNTIFS('Data Dump'!$P:$P,'ANA FEED'!$A20,'Data Dump'!$S:$S,'ANA FEED'!AD$2)</f>
        <v>0</v>
      </c>
      <c r="AE20" s="15">
        <f t="shared" si="7"/>
        <v>0</v>
      </c>
      <c r="AF20" s="17">
        <f>COUNTIFS('Data Dump'!$P:$P,'ANA FEED'!$A20,'Data Dump'!$S:$S,'ANA FEED'!AF$2)</f>
        <v>0</v>
      </c>
      <c r="AG20" s="17">
        <f>COUNTIFS('Data Dump'!$P:$P,'ANA FEED'!$A20,'Data Dump'!$S:$S,'ANA FEED'!AG$2)</f>
        <v>0</v>
      </c>
      <c r="AH20" s="17">
        <f>COUNTIFS('Data Dump'!$P:$P,'ANA FEED'!$A20,'Data Dump'!$S:$S,'ANA FEED'!AH$2)</f>
        <v>0</v>
      </c>
      <c r="AI20" s="15">
        <f t="shared" si="8"/>
        <v>0</v>
      </c>
      <c r="AJ20" s="15">
        <f t="shared" si="9"/>
        <v>8</v>
      </c>
    </row>
    <row r="21" spans="1:36" x14ac:dyDescent="0.25">
      <c r="A21" s="12" t="s">
        <v>45</v>
      </c>
      <c r="B21" s="13" t="s">
        <v>46</v>
      </c>
      <c r="C21" s="17">
        <f>COUNTIFS('Data Dump'!$P:$P,'ANA FEED'!$A21,'Data Dump'!$S:$S,'ANA FEED'!C$2)</f>
        <v>0</v>
      </c>
      <c r="D21" s="17">
        <f>COUNTIFS('Data Dump'!$P:$P,'ANA FEED'!$A21,'Data Dump'!$S:$S,'ANA FEED'!D$2)</f>
        <v>0</v>
      </c>
      <c r="E21" s="17">
        <f>COUNTIFS('Data Dump'!$P:$P,'ANA FEED'!$A21,'Data Dump'!$S:$S,'ANA FEED'!E$2)</f>
        <v>0</v>
      </c>
      <c r="F21" s="15">
        <f t="shared" si="0"/>
        <v>0</v>
      </c>
      <c r="G21" s="17">
        <f>COUNTIFS('Data Dump'!$P:$P,'ANA FEED'!$A21,'Data Dump'!$S:$S,'ANA FEED'!G$2)</f>
        <v>0</v>
      </c>
      <c r="H21" s="17">
        <f>COUNTIFS('Data Dump'!$P:$P,'ANA FEED'!$A21,'Data Dump'!$S:$S,'ANA FEED'!H$2)</f>
        <v>0</v>
      </c>
      <c r="I21" s="17">
        <f>COUNTIFS('Data Dump'!$P:$P,'ANA FEED'!$A21,'Data Dump'!$S:$S,'ANA FEED'!I$2)</f>
        <v>0</v>
      </c>
      <c r="J21" s="15">
        <f t="shared" si="1"/>
        <v>0</v>
      </c>
      <c r="K21" s="17">
        <f>COUNTIFS('Data Dump'!$P:$P,'ANA FEED'!$A21,'Data Dump'!$S:$S,'ANA FEED'!K$2)</f>
        <v>0</v>
      </c>
      <c r="L21" s="17">
        <f>COUNTIFS('Data Dump'!$P:$P,'ANA FEED'!$A21,'Data Dump'!$S:$S,'ANA FEED'!L$2)</f>
        <v>0</v>
      </c>
      <c r="M21" s="17">
        <f>COUNTIFS('Data Dump'!$P:$P,'ANA FEED'!$A21,'Data Dump'!$S:$S,'ANA FEED'!M$2)</f>
        <v>0</v>
      </c>
      <c r="N21" s="15">
        <f t="shared" si="2"/>
        <v>0</v>
      </c>
      <c r="O21" s="17">
        <f>COUNTIFS('Data Dump'!$P:$P,'ANA FEED'!$A21,'Data Dump'!$S:$S,'ANA FEED'!O$2)</f>
        <v>0</v>
      </c>
      <c r="P21" s="17">
        <f>COUNTIFS('Data Dump'!$P:$P,'ANA FEED'!$A21,'Data Dump'!$S:$S,'ANA FEED'!P$2)</f>
        <v>0</v>
      </c>
      <c r="Q21" s="17">
        <f>COUNTIFS('Data Dump'!$P:$P,'ANA FEED'!$A21,'Data Dump'!$S:$S,'ANA FEED'!Q$2)</f>
        <v>0</v>
      </c>
      <c r="R21" s="15">
        <f t="shared" si="3"/>
        <v>0</v>
      </c>
      <c r="S21" s="15">
        <f t="shared" si="4"/>
        <v>0</v>
      </c>
      <c r="T21" s="17">
        <f>COUNTIFS('Data Dump'!$P:$P,'ANA FEED'!$A21,'Data Dump'!$S:$S,'ANA FEED'!T$2)</f>
        <v>0</v>
      </c>
      <c r="U21" s="17">
        <f>COUNTIFS('Data Dump'!$P:$P,'ANA FEED'!$A21,'Data Dump'!$S:$S,'ANA FEED'!U$2)</f>
        <v>0</v>
      </c>
      <c r="V21" s="17">
        <f>COUNTIFS('Data Dump'!$P:$P,'ANA FEED'!$A21,'Data Dump'!$S:$S,'ANA FEED'!V$2)</f>
        <v>0</v>
      </c>
      <c r="W21" s="15">
        <f t="shared" si="5"/>
        <v>0</v>
      </c>
      <c r="X21" s="17">
        <f>COUNTIFS('Data Dump'!$P:$P,'ANA FEED'!$A21,'Data Dump'!$S:$S,'ANA FEED'!X$2)</f>
        <v>0</v>
      </c>
      <c r="Y21" s="17">
        <f>COUNTIFS('Data Dump'!$P:$P,'ANA FEED'!$A21,'Data Dump'!$S:$S,'ANA FEED'!Y$2)</f>
        <v>0</v>
      </c>
      <c r="Z21" s="17">
        <f>COUNTIFS('Data Dump'!$P:$P,'ANA FEED'!$A21,'Data Dump'!$S:$S,'ANA FEED'!Z$2)</f>
        <v>0</v>
      </c>
      <c r="AA21" s="15">
        <f t="shared" si="6"/>
        <v>0</v>
      </c>
      <c r="AB21" s="17">
        <f>COUNTIFS('Data Dump'!$P:$P,'ANA FEED'!$A21,'Data Dump'!$S:$S,'ANA FEED'!AB$2)</f>
        <v>0</v>
      </c>
      <c r="AC21" s="17">
        <f>COUNTIFS('Data Dump'!$P:$P,'ANA FEED'!$A21,'Data Dump'!$S:$S,'ANA FEED'!AC$2)</f>
        <v>0</v>
      </c>
      <c r="AD21" s="17">
        <f>COUNTIFS('Data Dump'!$P:$P,'ANA FEED'!$A21,'Data Dump'!$S:$S,'ANA FEED'!AD$2)</f>
        <v>0</v>
      </c>
      <c r="AE21" s="15">
        <f t="shared" si="7"/>
        <v>0</v>
      </c>
      <c r="AF21" s="17">
        <f>COUNTIFS('Data Dump'!$P:$P,'ANA FEED'!$A21,'Data Dump'!$S:$S,'ANA FEED'!AF$2)</f>
        <v>0</v>
      </c>
      <c r="AG21" s="17">
        <f>COUNTIFS('Data Dump'!$P:$P,'ANA FEED'!$A21,'Data Dump'!$S:$S,'ANA FEED'!AG$2)</f>
        <v>0</v>
      </c>
      <c r="AH21" s="17">
        <f>COUNTIFS('Data Dump'!$P:$P,'ANA FEED'!$A21,'Data Dump'!$S:$S,'ANA FEED'!AH$2)</f>
        <v>0</v>
      </c>
      <c r="AI21" s="15">
        <f t="shared" si="8"/>
        <v>0</v>
      </c>
      <c r="AJ21" s="15">
        <f t="shared" si="9"/>
        <v>0</v>
      </c>
    </row>
    <row r="22" spans="1:36" x14ac:dyDescent="0.25">
      <c r="A22" s="12" t="s">
        <v>47</v>
      </c>
      <c r="B22" s="13" t="s">
        <v>48</v>
      </c>
      <c r="C22" s="17">
        <f>COUNTIFS('Data Dump'!$P:$P,'ANA FEED'!$A22,'Data Dump'!$S:$S,'ANA FEED'!C$2)</f>
        <v>0</v>
      </c>
      <c r="D22" s="17">
        <f>COUNTIFS('Data Dump'!$P:$P,'ANA FEED'!$A22,'Data Dump'!$S:$S,'ANA FEED'!D$2)</f>
        <v>0</v>
      </c>
      <c r="E22" s="17">
        <f>COUNTIFS('Data Dump'!$P:$P,'ANA FEED'!$A22,'Data Dump'!$S:$S,'ANA FEED'!E$2)</f>
        <v>0</v>
      </c>
      <c r="F22" s="15">
        <f t="shared" si="0"/>
        <v>0</v>
      </c>
      <c r="G22" s="17">
        <f>COUNTIFS('Data Dump'!$P:$P,'ANA FEED'!$A22,'Data Dump'!$S:$S,'ANA FEED'!G$2)</f>
        <v>1</v>
      </c>
      <c r="H22" s="17">
        <f>COUNTIFS('Data Dump'!$P:$P,'ANA FEED'!$A22,'Data Dump'!$S:$S,'ANA FEED'!H$2)</f>
        <v>0</v>
      </c>
      <c r="I22" s="17">
        <f>COUNTIFS('Data Dump'!$P:$P,'ANA FEED'!$A22,'Data Dump'!$S:$S,'ANA FEED'!I$2)</f>
        <v>0</v>
      </c>
      <c r="J22" s="15">
        <f t="shared" si="1"/>
        <v>1</v>
      </c>
      <c r="K22" s="17">
        <f>COUNTIFS('Data Dump'!$P:$P,'ANA FEED'!$A22,'Data Dump'!$S:$S,'ANA FEED'!K$2)</f>
        <v>0</v>
      </c>
      <c r="L22" s="17">
        <f>COUNTIFS('Data Dump'!$P:$P,'ANA FEED'!$A22,'Data Dump'!$S:$S,'ANA FEED'!L$2)</f>
        <v>0</v>
      </c>
      <c r="M22" s="17">
        <f>COUNTIFS('Data Dump'!$P:$P,'ANA FEED'!$A22,'Data Dump'!$S:$S,'ANA FEED'!M$2)</f>
        <v>0</v>
      </c>
      <c r="N22" s="15">
        <f t="shared" si="2"/>
        <v>0</v>
      </c>
      <c r="O22" s="17">
        <f>COUNTIFS('Data Dump'!$P:$P,'ANA FEED'!$A22,'Data Dump'!$S:$S,'ANA FEED'!O$2)</f>
        <v>0</v>
      </c>
      <c r="P22" s="17">
        <f>COUNTIFS('Data Dump'!$P:$P,'ANA FEED'!$A22,'Data Dump'!$S:$S,'ANA FEED'!P$2)</f>
        <v>1</v>
      </c>
      <c r="Q22" s="17">
        <f>COUNTIFS('Data Dump'!$P:$P,'ANA FEED'!$A22,'Data Dump'!$S:$S,'ANA FEED'!Q$2)</f>
        <v>0</v>
      </c>
      <c r="R22" s="15">
        <f t="shared" si="3"/>
        <v>1</v>
      </c>
      <c r="S22" s="15">
        <f t="shared" si="4"/>
        <v>2</v>
      </c>
      <c r="T22" s="17">
        <f>COUNTIFS('Data Dump'!$P:$P,'ANA FEED'!$A22,'Data Dump'!$S:$S,'ANA FEED'!T$2)</f>
        <v>0</v>
      </c>
      <c r="U22" s="17">
        <f>COUNTIFS('Data Dump'!$P:$P,'ANA FEED'!$A22,'Data Dump'!$S:$S,'ANA FEED'!U$2)</f>
        <v>0</v>
      </c>
      <c r="V22" s="17">
        <f>COUNTIFS('Data Dump'!$P:$P,'ANA FEED'!$A22,'Data Dump'!$S:$S,'ANA FEED'!V$2)</f>
        <v>1</v>
      </c>
      <c r="W22" s="15">
        <f t="shared" si="5"/>
        <v>1</v>
      </c>
      <c r="X22" s="17">
        <f>COUNTIFS('Data Dump'!$P:$P,'ANA FEED'!$A22,'Data Dump'!$S:$S,'ANA FEED'!X$2)</f>
        <v>0</v>
      </c>
      <c r="Y22" s="17">
        <f>COUNTIFS('Data Dump'!$P:$P,'ANA FEED'!$A22,'Data Dump'!$S:$S,'ANA FEED'!Y$2)</f>
        <v>0</v>
      </c>
      <c r="Z22" s="17">
        <f>COUNTIFS('Data Dump'!$P:$P,'ANA FEED'!$A22,'Data Dump'!$S:$S,'ANA FEED'!Z$2)</f>
        <v>0</v>
      </c>
      <c r="AA22" s="15">
        <f t="shared" si="6"/>
        <v>0</v>
      </c>
      <c r="AB22" s="17">
        <f>COUNTIFS('Data Dump'!$P:$P,'ANA FEED'!$A22,'Data Dump'!$S:$S,'ANA FEED'!AB$2)</f>
        <v>0</v>
      </c>
      <c r="AC22" s="17">
        <f>COUNTIFS('Data Dump'!$P:$P,'ANA FEED'!$A22,'Data Dump'!$S:$S,'ANA FEED'!AC$2)</f>
        <v>0</v>
      </c>
      <c r="AD22" s="17">
        <f>COUNTIFS('Data Dump'!$P:$P,'ANA FEED'!$A22,'Data Dump'!$S:$S,'ANA FEED'!AD$2)</f>
        <v>0</v>
      </c>
      <c r="AE22" s="15">
        <f t="shared" si="7"/>
        <v>0</v>
      </c>
      <c r="AF22" s="17">
        <f>COUNTIFS('Data Dump'!$P:$P,'ANA FEED'!$A22,'Data Dump'!$S:$S,'ANA FEED'!AF$2)</f>
        <v>0</v>
      </c>
      <c r="AG22" s="17">
        <f>COUNTIFS('Data Dump'!$P:$P,'ANA FEED'!$A22,'Data Dump'!$S:$S,'ANA FEED'!AG$2)</f>
        <v>0</v>
      </c>
      <c r="AH22" s="17">
        <f>COUNTIFS('Data Dump'!$P:$P,'ANA FEED'!$A22,'Data Dump'!$S:$S,'ANA FEED'!AH$2)</f>
        <v>0</v>
      </c>
      <c r="AI22" s="15">
        <f t="shared" si="8"/>
        <v>0</v>
      </c>
      <c r="AJ22" s="15">
        <f t="shared" si="9"/>
        <v>1</v>
      </c>
    </row>
    <row r="23" spans="1:36" x14ac:dyDescent="0.25">
      <c r="A23" s="12" t="s">
        <v>49</v>
      </c>
      <c r="B23" s="12" t="s">
        <v>50</v>
      </c>
      <c r="C23" s="17">
        <f>COUNTIFS('Data Dump'!$P:$P,'ANA FEED'!$A23,'Data Dump'!$S:$S,'ANA FEED'!C$2)</f>
        <v>0</v>
      </c>
      <c r="D23" s="17">
        <f>COUNTIFS('Data Dump'!$P:$P,'ANA FEED'!$A23,'Data Dump'!$S:$S,'ANA FEED'!D$2)</f>
        <v>0</v>
      </c>
      <c r="E23" s="17">
        <f>COUNTIFS('Data Dump'!$P:$P,'ANA FEED'!$A23,'Data Dump'!$S:$S,'ANA FEED'!E$2)</f>
        <v>2</v>
      </c>
      <c r="F23" s="15">
        <f t="shared" si="0"/>
        <v>2</v>
      </c>
      <c r="G23" s="17">
        <f>COUNTIFS('Data Dump'!$P:$P,'ANA FEED'!$A23,'Data Dump'!$S:$S,'ANA FEED'!G$2)</f>
        <v>3</v>
      </c>
      <c r="H23" s="17">
        <f>COUNTIFS('Data Dump'!$P:$P,'ANA FEED'!$A23,'Data Dump'!$S:$S,'ANA FEED'!H$2)</f>
        <v>1</v>
      </c>
      <c r="I23" s="17">
        <f>COUNTIFS('Data Dump'!$P:$P,'ANA FEED'!$A23,'Data Dump'!$S:$S,'ANA FEED'!I$2)</f>
        <v>1</v>
      </c>
      <c r="J23" s="15">
        <f t="shared" si="1"/>
        <v>5</v>
      </c>
      <c r="K23" s="17">
        <f>COUNTIFS('Data Dump'!$P:$P,'ANA FEED'!$A23,'Data Dump'!$S:$S,'ANA FEED'!K$2)</f>
        <v>0</v>
      </c>
      <c r="L23" s="17">
        <f>COUNTIFS('Data Dump'!$P:$P,'ANA FEED'!$A23,'Data Dump'!$S:$S,'ANA FEED'!L$2)</f>
        <v>0</v>
      </c>
      <c r="M23" s="17">
        <f>COUNTIFS('Data Dump'!$P:$P,'ANA FEED'!$A23,'Data Dump'!$S:$S,'ANA FEED'!M$2)</f>
        <v>0</v>
      </c>
      <c r="N23" s="15">
        <f t="shared" si="2"/>
        <v>0</v>
      </c>
      <c r="O23" s="17">
        <f>COUNTIFS('Data Dump'!$P:$P,'ANA FEED'!$A23,'Data Dump'!$S:$S,'ANA FEED'!O$2)</f>
        <v>0</v>
      </c>
      <c r="P23" s="17">
        <f>COUNTIFS('Data Dump'!$P:$P,'ANA FEED'!$A23,'Data Dump'!$S:$S,'ANA FEED'!P$2)</f>
        <v>0</v>
      </c>
      <c r="Q23" s="17">
        <f>COUNTIFS('Data Dump'!$P:$P,'ANA FEED'!$A23,'Data Dump'!$S:$S,'ANA FEED'!Q$2)</f>
        <v>0</v>
      </c>
      <c r="R23" s="15">
        <f t="shared" si="3"/>
        <v>0</v>
      </c>
      <c r="S23" s="15">
        <f t="shared" si="4"/>
        <v>7</v>
      </c>
      <c r="T23" s="17">
        <f>COUNTIFS('Data Dump'!$P:$P,'ANA FEED'!$A23,'Data Dump'!$S:$S,'ANA FEED'!T$2)</f>
        <v>0</v>
      </c>
      <c r="U23" s="17">
        <f>COUNTIFS('Data Dump'!$P:$P,'ANA FEED'!$A23,'Data Dump'!$S:$S,'ANA FEED'!U$2)</f>
        <v>0</v>
      </c>
      <c r="V23" s="17">
        <f>COUNTIFS('Data Dump'!$P:$P,'ANA FEED'!$A23,'Data Dump'!$S:$S,'ANA FEED'!V$2)</f>
        <v>3</v>
      </c>
      <c r="W23" s="15">
        <f t="shared" si="5"/>
        <v>3</v>
      </c>
      <c r="X23" s="17">
        <f>COUNTIFS('Data Dump'!$P:$P,'ANA FEED'!$A23,'Data Dump'!$S:$S,'ANA FEED'!X$2)</f>
        <v>0</v>
      </c>
      <c r="Y23" s="17">
        <f>COUNTIFS('Data Dump'!$P:$P,'ANA FEED'!$A23,'Data Dump'!$S:$S,'ANA FEED'!Y$2)</f>
        <v>1</v>
      </c>
      <c r="Z23" s="17">
        <f>COUNTIFS('Data Dump'!$P:$P,'ANA FEED'!$A23,'Data Dump'!$S:$S,'ANA FEED'!Z$2)</f>
        <v>0</v>
      </c>
      <c r="AA23" s="15">
        <f t="shared" si="6"/>
        <v>1</v>
      </c>
      <c r="AB23" s="17">
        <f>COUNTIFS('Data Dump'!$P:$P,'ANA FEED'!$A23,'Data Dump'!$S:$S,'ANA FEED'!AB$2)</f>
        <v>0</v>
      </c>
      <c r="AC23" s="17">
        <f>COUNTIFS('Data Dump'!$P:$P,'ANA FEED'!$A23,'Data Dump'!$S:$S,'ANA FEED'!AC$2)</f>
        <v>0</v>
      </c>
      <c r="AD23" s="17">
        <f>COUNTIFS('Data Dump'!$P:$P,'ANA FEED'!$A23,'Data Dump'!$S:$S,'ANA FEED'!AD$2)</f>
        <v>0</v>
      </c>
      <c r="AE23" s="15">
        <f t="shared" si="7"/>
        <v>0</v>
      </c>
      <c r="AF23" s="17">
        <f>COUNTIFS('Data Dump'!$P:$P,'ANA FEED'!$A23,'Data Dump'!$S:$S,'ANA FEED'!AF$2)</f>
        <v>0</v>
      </c>
      <c r="AG23" s="17">
        <f>COUNTIFS('Data Dump'!$P:$P,'ANA FEED'!$A23,'Data Dump'!$S:$S,'ANA FEED'!AG$2)</f>
        <v>0</v>
      </c>
      <c r="AH23" s="17">
        <f>COUNTIFS('Data Dump'!$P:$P,'ANA FEED'!$A23,'Data Dump'!$S:$S,'ANA FEED'!AH$2)</f>
        <v>1</v>
      </c>
      <c r="AI23" s="15">
        <f t="shared" si="8"/>
        <v>1</v>
      </c>
      <c r="AJ23" s="15">
        <f t="shared" si="9"/>
        <v>5</v>
      </c>
    </row>
    <row r="24" spans="1:36" x14ac:dyDescent="0.25">
      <c r="A24" s="12" t="s">
        <v>51</v>
      </c>
      <c r="B24" s="12" t="s">
        <v>52</v>
      </c>
      <c r="C24" s="17">
        <f>COUNTIFS('Data Dump'!$P:$P,'ANA FEED'!$A24,'Data Dump'!$S:$S,'ANA FEED'!C$2)</f>
        <v>0</v>
      </c>
      <c r="D24" s="17">
        <f>COUNTIFS('Data Dump'!$P:$P,'ANA FEED'!$A24,'Data Dump'!$S:$S,'ANA FEED'!D$2)</f>
        <v>0</v>
      </c>
      <c r="E24" s="17">
        <f>COUNTIFS('Data Dump'!$P:$P,'ANA FEED'!$A24,'Data Dump'!$S:$S,'ANA FEED'!E$2)</f>
        <v>0</v>
      </c>
      <c r="F24" s="15">
        <f t="shared" si="0"/>
        <v>0</v>
      </c>
      <c r="G24" s="17">
        <f>COUNTIFS('Data Dump'!$P:$P,'ANA FEED'!$A24,'Data Dump'!$S:$S,'ANA FEED'!G$2)</f>
        <v>0</v>
      </c>
      <c r="H24" s="17">
        <f>COUNTIFS('Data Dump'!$P:$P,'ANA FEED'!$A24,'Data Dump'!$S:$S,'ANA FEED'!H$2)</f>
        <v>0</v>
      </c>
      <c r="I24" s="17">
        <f>COUNTIFS('Data Dump'!$P:$P,'ANA FEED'!$A24,'Data Dump'!$S:$S,'ANA FEED'!I$2)</f>
        <v>0</v>
      </c>
      <c r="J24" s="15">
        <f t="shared" si="1"/>
        <v>0</v>
      </c>
      <c r="K24" s="17">
        <f>COUNTIFS('Data Dump'!$P:$P,'ANA FEED'!$A24,'Data Dump'!$S:$S,'ANA FEED'!K$2)</f>
        <v>0</v>
      </c>
      <c r="L24" s="17">
        <f>COUNTIFS('Data Dump'!$P:$P,'ANA FEED'!$A24,'Data Dump'!$S:$S,'ANA FEED'!L$2)</f>
        <v>0</v>
      </c>
      <c r="M24" s="17">
        <f>COUNTIFS('Data Dump'!$P:$P,'ANA FEED'!$A24,'Data Dump'!$S:$S,'ANA FEED'!M$2)</f>
        <v>0</v>
      </c>
      <c r="N24" s="15">
        <f t="shared" si="2"/>
        <v>0</v>
      </c>
      <c r="O24" s="17">
        <f>COUNTIFS('Data Dump'!$P:$P,'ANA FEED'!$A24,'Data Dump'!$S:$S,'ANA FEED'!O$2)</f>
        <v>0</v>
      </c>
      <c r="P24" s="17">
        <f>COUNTIFS('Data Dump'!$P:$P,'ANA FEED'!$A24,'Data Dump'!$S:$S,'ANA FEED'!P$2)</f>
        <v>0</v>
      </c>
      <c r="Q24" s="17">
        <f>COUNTIFS('Data Dump'!$P:$P,'ANA FEED'!$A24,'Data Dump'!$S:$S,'ANA FEED'!Q$2)</f>
        <v>0</v>
      </c>
      <c r="R24" s="15">
        <f t="shared" si="3"/>
        <v>0</v>
      </c>
      <c r="S24" s="15">
        <f t="shared" si="4"/>
        <v>0</v>
      </c>
      <c r="T24" s="17">
        <f>COUNTIFS('Data Dump'!$P:$P,'ANA FEED'!$A24,'Data Dump'!$S:$S,'ANA FEED'!T$2)</f>
        <v>0</v>
      </c>
      <c r="U24" s="17">
        <f>COUNTIFS('Data Dump'!$P:$P,'ANA FEED'!$A24,'Data Dump'!$S:$S,'ANA FEED'!U$2)</f>
        <v>0</v>
      </c>
      <c r="V24" s="17">
        <f>COUNTIFS('Data Dump'!$P:$P,'ANA FEED'!$A24,'Data Dump'!$S:$S,'ANA FEED'!V$2)</f>
        <v>0</v>
      </c>
      <c r="W24" s="15">
        <f t="shared" si="5"/>
        <v>0</v>
      </c>
      <c r="X24" s="17">
        <f>COUNTIFS('Data Dump'!$P:$P,'ANA FEED'!$A24,'Data Dump'!$S:$S,'ANA FEED'!X$2)</f>
        <v>0</v>
      </c>
      <c r="Y24" s="17">
        <f>COUNTIFS('Data Dump'!$P:$P,'ANA FEED'!$A24,'Data Dump'!$S:$S,'ANA FEED'!Y$2)</f>
        <v>0</v>
      </c>
      <c r="Z24" s="17">
        <f>COUNTIFS('Data Dump'!$P:$P,'ANA FEED'!$A24,'Data Dump'!$S:$S,'ANA FEED'!Z$2)</f>
        <v>0</v>
      </c>
      <c r="AA24" s="15">
        <f t="shared" si="6"/>
        <v>0</v>
      </c>
      <c r="AB24" s="17">
        <f>COUNTIFS('Data Dump'!$P:$P,'ANA FEED'!$A24,'Data Dump'!$S:$S,'ANA FEED'!AB$2)</f>
        <v>0</v>
      </c>
      <c r="AC24" s="17">
        <f>COUNTIFS('Data Dump'!$P:$P,'ANA FEED'!$A24,'Data Dump'!$S:$S,'ANA FEED'!AC$2)</f>
        <v>0</v>
      </c>
      <c r="AD24" s="17">
        <f>COUNTIFS('Data Dump'!$P:$P,'ANA FEED'!$A24,'Data Dump'!$S:$S,'ANA FEED'!AD$2)</f>
        <v>0</v>
      </c>
      <c r="AE24" s="15">
        <f t="shared" si="7"/>
        <v>0</v>
      </c>
      <c r="AF24" s="17">
        <f>COUNTIFS('Data Dump'!$P:$P,'ANA FEED'!$A24,'Data Dump'!$S:$S,'ANA FEED'!AF$2)</f>
        <v>0</v>
      </c>
      <c r="AG24" s="17">
        <f>COUNTIFS('Data Dump'!$P:$P,'ANA FEED'!$A24,'Data Dump'!$S:$S,'ANA FEED'!AG$2)</f>
        <v>0</v>
      </c>
      <c r="AH24" s="17">
        <f>COUNTIFS('Data Dump'!$P:$P,'ANA FEED'!$A24,'Data Dump'!$S:$S,'ANA FEED'!AH$2)</f>
        <v>0</v>
      </c>
      <c r="AI24" s="15">
        <f t="shared" si="8"/>
        <v>0</v>
      </c>
      <c r="AJ24" s="15">
        <f t="shared" si="9"/>
        <v>0</v>
      </c>
    </row>
    <row r="25" spans="1:36" x14ac:dyDescent="0.25">
      <c r="A25" s="12" t="s">
        <v>53</v>
      </c>
      <c r="B25" s="12" t="s">
        <v>54</v>
      </c>
      <c r="C25" s="17">
        <f>COUNTIFS('Data Dump'!$P:$P,'ANA FEED'!$A25,'Data Dump'!$S:$S,'ANA FEED'!C$2)</f>
        <v>0</v>
      </c>
      <c r="D25" s="17">
        <f>COUNTIFS('Data Dump'!$P:$P,'ANA FEED'!$A25,'Data Dump'!$S:$S,'ANA FEED'!D$2)</f>
        <v>0</v>
      </c>
      <c r="E25" s="17">
        <f>COUNTIFS('Data Dump'!$P:$P,'ANA FEED'!$A25,'Data Dump'!$S:$S,'ANA FEED'!E$2)</f>
        <v>0</v>
      </c>
      <c r="F25" s="15">
        <f t="shared" si="0"/>
        <v>0</v>
      </c>
      <c r="G25" s="17">
        <f>COUNTIFS('Data Dump'!$P:$P,'ANA FEED'!$A25,'Data Dump'!$S:$S,'ANA FEED'!G$2)</f>
        <v>0</v>
      </c>
      <c r="H25" s="17">
        <f>COUNTIFS('Data Dump'!$P:$P,'ANA FEED'!$A25,'Data Dump'!$S:$S,'ANA FEED'!H$2)</f>
        <v>0</v>
      </c>
      <c r="I25" s="17">
        <f>COUNTIFS('Data Dump'!$P:$P,'ANA FEED'!$A25,'Data Dump'!$S:$S,'ANA FEED'!I$2)</f>
        <v>0</v>
      </c>
      <c r="J25" s="15">
        <f t="shared" si="1"/>
        <v>0</v>
      </c>
      <c r="K25" s="17">
        <f>COUNTIFS('Data Dump'!$P:$P,'ANA FEED'!$A25,'Data Dump'!$S:$S,'ANA FEED'!K$2)</f>
        <v>0</v>
      </c>
      <c r="L25" s="17">
        <f>COUNTIFS('Data Dump'!$P:$P,'ANA FEED'!$A25,'Data Dump'!$S:$S,'ANA FEED'!L$2)</f>
        <v>0</v>
      </c>
      <c r="M25" s="17">
        <f>COUNTIFS('Data Dump'!$P:$P,'ANA FEED'!$A25,'Data Dump'!$S:$S,'ANA FEED'!M$2)</f>
        <v>0</v>
      </c>
      <c r="N25" s="15">
        <f t="shared" si="2"/>
        <v>0</v>
      </c>
      <c r="O25" s="17">
        <f>COUNTIFS('Data Dump'!$P:$P,'ANA FEED'!$A25,'Data Dump'!$S:$S,'ANA FEED'!O$2)</f>
        <v>0</v>
      </c>
      <c r="P25" s="17">
        <f>COUNTIFS('Data Dump'!$P:$P,'ANA FEED'!$A25,'Data Dump'!$S:$S,'ANA FEED'!P$2)</f>
        <v>0</v>
      </c>
      <c r="Q25" s="17">
        <f>COUNTIFS('Data Dump'!$P:$P,'ANA FEED'!$A25,'Data Dump'!$S:$S,'ANA FEED'!Q$2)</f>
        <v>0</v>
      </c>
      <c r="R25" s="15">
        <f t="shared" si="3"/>
        <v>0</v>
      </c>
      <c r="S25" s="15">
        <f t="shared" si="4"/>
        <v>0</v>
      </c>
      <c r="T25" s="17">
        <f>COUNTIFS('Data Dump'!$P:$P,'ANA FEED'!$A25,'Data Dump'!$S:$S,'ANA FEED'!T$2)</f>
        <v>0</v>
      </c>
      <c r="U25" s="17">
        <f>COUNTIFS('Data Dump'!$P:$P,'ANA FEED'!$A25,'Data Dump'!$S:$S,'ANA FEED'!U$2)</f>
        <v>0</v>
      </c>
      <c r="V25" s="17">
        <f>COUNTIFS('Data Dump'!$P:$P,'ANA FEED'!$A25,'Data Dump'!$S:$S,'ANA FEED'!V$2)</f>
        <v>0</v>
      </c>
      <c r="W25" s="15">
        <f t="shared" si="5"/>
        <v>0</v>
      </c>
      <c r="X25" s="17">
        <f>COUNTIFS('Data Dump'!$P:$P,'ANA FEED'!$A25,'Data Dump'!$S:$S,'ANA FEED'!X$2)</f>
        <v>0</v>
      </c>
      <c r="Y25" s="17">
        <f>COUNTIFS('Data Dump'!$P:$P,'ANA FEED'!$A25,'Data Dump'!$S:$S,'ANA FEED'!Y$2)</f>
        <v>0</v>
      </c>
      <c r="Z25" s="17">
        <f>COUNTIFS('Data Dump'!$P:$P,'ANA FEED'!$A25,'Data Dump'!$S:$S,'ANA FEED'!Z$2)</f>
        <v>0</v>
      </c>
      <c r="AA25" s="15">
        <f t="shared" si="6"/>
        <v>0</v>
      </c>
      <c r="AB25" s="17">
        <f>COUNTIFS('Data Dump'!$P:$P,'ANA FEED'!$A25,'Data Dump'!$S:$S,'ANA FEED'!AB$2)</f>
        <v>0</v>
      </c>
      <c r="AC25" s="17">
        <f>COUNTIFS('Data Dump'!$P:$P,'ANA FEED'!$A25,'Data Dump'!$S:$S,'ANA FEED'!AC$2)</f>
        <v>0</v>
      </c>
      <c r="AD25" s="17">
        <f>COUNTIFS('Data Dump'!$P:$P,'ANA FEED'!$A25,'Data Dump'!$S:$S,'ANA FEED'!AD$2)</f>
        <v>0</v>
      </c>
      <c r="AE25" s="15">
        <f t="shared" si="7"/>
        <v>0</v>
      </c>
      <c r="AF25" s="17">
        <f>COUNTIFS('Data Dump'!$P:$P,'ANA FEED'!$A25,'Data Dump'!$S:$S,'ANA FEED'!AF$2)</f>
        <v>0</v>
      </c>
      <c r="AG25" s="17">
        <f>COUNTIFS('Data Dump'!$P:$P,'ANA FEED'!$A25,'Data Dump'!$S:$S,'ANA FEED'!AG$2)</f>
        <v>0</v>
      </c>
      <c r="AH25" s="17">
        <f>COUNTIFS('Data Dump'!$P:$P,'ANA FEED'!$A25,'Data Dump'!$S:$S,'ANA FEED'!AH$2)</f>
        <v>0</v>
      </c>
      <c r="AI25" s="15">
        <f t="shared" si="8"/>
        <v>0</v>
      </c>
      <c r="AJ25" s="15">
        <f t="shared" si="9"/>
        <v>0</v>
      </c>
    </row>
    <row r="26" spans="1:36" x14ac:dyDescent="0.25">
      <c r="A26" s="12" t="s">
        <v>55</v>
      </c>
      <c r="B26" s="12" t="s">
        <v>56</v>
      </c>
      <c r="C26" s="17">
        <f>COUNTIFS('Data Dump'!$P:$P,'ANA FEED'!$A26,'Data Dump'!$S:$S,'ANA FEED'!C$2)</f>
        <v>1</v>
      </c>
      <c r="D26" s="17">
        <f>COUNTIFS('Data Dump'!$P:$P,'ANA FEED'!$A26,'Data Dump'!$S:$S,'ANA FEED'!D$2)</f>
        <v>0</v>
      </c>
      <c r="E26" s="17">
        <f>COUNTIFS('Data Dump'!$P:$P,'ANA FEED'!$A26,'Data Dump'!$S:$S,'ANA FEED'!E$2)</f>
        <v>0</v>
      </c>
      <c r="F26" s="15">
        <f t="shared" si="0"/>
        <v>1</v>
      </c>
      <c r="G26" s="17">
        <f>COUNTIFS('Data Dump'!$P:$P,'ANA FEED'!$A26,'Data Dump'!$S:$S,'ANA FEED'!G$2)</f>
        <v>0</v>
      </c>
      <c r="H26" s="17">
        <f>COUNTIFS('Data Dump'!$P:$P,'ANA FEED'!$A26,'Data Dump'!$S:$S,'ANA FEED'!H$2)</f>
        <v>0</v>
      </c>
      <c r="I26" s="17">
        <f>COUNTIFS('Data Dump'!$P:$P,'ANA FEED'!$A26,'Data Dump'!$S:$S,'ANA FEED'!I$2)</f>
        <v>0</v>
      </c>
      <c r="J26" s="15">
        <f t="shared" si="1"/>
        <v>0</v>
      </c>
      <c r="K26" s="17">
        <f>COUNTIFS('Data Dump'!$P:$P,'ANA FEED'!$A26,'Data Dump'!$S:$S,'ANA FEED'!K$2)</f>
        <v>0</v>
      </c>
      <c r="L26" s="17">
        <f>COUNTIFS('Data Dump'!$P:$P,'ANA FEED'!$A26,'Data Dump'!$S:$S,'ANA FEED'!L$2)</f>
        <v>0</v>
      </c>
      <c r="M26" s="17">
        <f>COUNTIFS('Data Dump'!$P:$P,'ANA FEED'!$A26,'Data Dump'!$S:$S,'ANA FEED'!M$2)</f>
        <v>0</v>
      </c>
      <c r="N26" s="15">
        <f t="shared" si="2"/>
        <v>0</v>
      </c>
      <c r="O26" s="17">
        <f>COUNTIFS('Data Dump'!$P:$P,'ANA FEED'!$A26,'Data Dump'!$S:$S,'ANA FEED'!O$2)</f>
        <v>0</v>
      </c>
      <c r="P26" s="17">
        <f>COUNTIFS('Data Dump'!$P:$P,'ANA FEED'!$A26,'Data Dump'!$S:$S,'ANA FEED'!P$2)</f>
        <v>0</v>
      </c>
      <c r="Q26" s="17">
        <f>COUNTIFS('Data Dump'!$P:$P,'ANA FEED'!$A26,'Data Dump'!$S:$S,'ANA FEED'!Q$2)</f>
        <v>0</v>
      </c>
      <c r="R26" s="15">
        <f t="shared" si="3"/>
        <v>0</v>
      </c>
      <c r="S26" s="15">
        <f t="shared" si="4"/>
        <v>1</v>
      </c>
      <c r="T26" s="17">
        <f>COUNTIFS('Data Dump'!$P:$P,'ANA FEED'!$A26,'Data Dump'!$S:$S,'ANA FEED'!T$2)</f>
        <v>0</v>
      </c>
      <c r="U26" s="17">
        <f>COUNTIFS('Data Dump'!$P:$P,'ANA FEED'!$A26,'Data Dump'!$S:$S,'ANA FEED'!U$2)</f>
        <v>0</v>
      </c>
      <c r="V26" s="17">
        <f>COUNTIFS('Data Dump'!$P:$P,'ANA FEED'!$A26,'Data Dump'!$S:$S,'ANA FEED'!V$2)</f>
        <v>0</v>
      </c>
      <c r="W26" s="15">
        <f t="shared" si="5"/>
        <v>0</v>
      </c>
      <c r="X26" s="17">
        <f>COUNTIFS('Data Dump'!$P:$P,'ANA FEED'!$A26,'Data Dump'!$S:$S,'ANA FEED'!X$2)</f>
        <v>0</v>
      </c>
      <c r="Y26" s="17">
        <f>COUNTIFS('Data Dump'!$P:$P,'ANA FEED'!$A26,'Data Dump'!$S:$S,'ANA FEED'!Y$2)</f>
        <v>0</v>
      </c>
      <c r="Z26" s="17">
        <f>COUNTIFS('Data Dump'!$P:$P,'ANA FEED'!$A26,'Data Dump'!$S:$S,'ANA FEED'!Z$2)</f>
        <v>1</v>
      </c>
      <c r="AA26" s="15">
        <f t="shared" si="6"/>
        <v>1</v>
      </c>
      <c r="AB26" s="17">
        <f>COUNTIFS('Data Dump'!$P:$P,'ANA FEED'!$A26,'Data Dump'!$S:$S,'ANA FEED'!AB$2)</f>
        <v>0</v>
      </c>
      <c r="AC26" s="17">
        <f>COUNTIFS('Data Dump'!$P:$P,'ANA FEED'!$A26,'Data Dump'!$S:$S,'ANA FEED'!AC$2)</f>
        <v>0</v>
      </c>
      <c r="AD26" s="17">
        <f>COUNTIFS('Data Dump'!$P:$P,'ANA FEED'!$A26,'Data Dump'!$S:$S,'ANA FEED'!AD$2)</f>
        <v>0</v>
      </c>
      <c r="AE26" s="15">
        <f t="shared" si="7"/>
        <v>0</v>
      </c>
      <c r="AF26" s="17">
        <f>COUNTIFS('Data Dump'!$P:$P,'ANA FEED'!$A26,'Data Dump'!$S:$S,'ANA FEED'!AF$2)</f>
        <v>0</v>
      </c>
      <c r="AG26" s="17">
        <f>COUNTIFS('Data Dump'!$P:$P,'ANA FEED'!$A26,'Data Dump'!$S:$S,'ANA FEED'!AG$2)</f>
        <v>0</v>
      </c>
      <c r="AH26" s="17">
        <f>COUNTIFS('Data Dump'!$P:$P,'ANA FEED'!$A26,'Data Dump'!$S:$S,'ANA FEED'!AH$2)</f>
        <v>0</v>
      </c>
      <c r="AI26" s="15">
        <f t="shared" si="8"/>
        <v>0</v>
      </c>
      <c r="AJ26" s="15">
        <f t="shared" si="9"/>
        <v>1</v>
      </c>
    </row>
    <row r="27" spans="1:36" x14ac:dyDescent="0.25">
      <c r="A27" s="12" t="s">
        <v>57</v>
      </c>
      <c r="B27" s="12" t="s">
        <v>58</v>
      </c>
      <c r="C27" s="17">
        <f>COUNTIFS('Data Dump'!$P:$P,'ANA FEED'!$A27,'Data Dump'!$S:$S,'ANA FEED'!C$2)</f>
        <v>0</v>
      </c>
      <c r="D27" s="17">
        <f>COUNTIFS('Data Dump'!$P:$P,'ANA FEED'!$A27,'Data Dump'!$S:$S,'ANA FEED'!D$2)</f>
        <v>1</v>
      </c>
      <c r="E27" s="17">
        <f>COUNTIFS('Data Dump'!$P:$P,'ANA FEED'!$A27,'Data Dump'!$S:$S,'ANA FEED'!E$2)</f>
        <v>2</v>
      </c>
      <c r="F27" s="15">
        <f t="shared" si="0"/>
        <v>3</v>
      </c>
      <c r="G27" s="17">
        <f>COUNTIFS('Data Dump'!$P:$P,'ANA FEED'!$A27,'Data Dump'!$S:$S,'ANA FEED'!G$2)</f>
        <v>0</v>
      </c>
      <c r="H27" s="17">
        <f>COUNTIFS('Data Dump'!$P:$P,'ANA FEED'!$A27,'Data Dump'!$S:$S,'ANA FEED'!H$2)</f>
        <v>1</v>
      </c>
      <c r="I27" s="17">
        <f>COUNTIFS('Data Dump'!$P:$P,'ANA FEED'!$A27,'Data Dump'!$S:$S,'ANA FEED'!I$2)</f>
        <v>0</v>
      </c>
      <c r="J27" s="15">
        <f t="shared" si="1"/>
        <v>1</v>
      </c>
      <c r="K27" s="17">
        <f>COUNTIFS('Data Dump'!$P:$P,'ANA FEED'!$A27,'Data Dump'!$S:$S,'ANA FEED'!K$2)</f>
        <v>0</v>
      </c>
      <c r="L27" s="17">
        <f>COUNTIFS('Data Dump'!$P:$P,'ANA FEED'!$A27,'Data Dump'!$S:$S,'ANA FEED'!L$2)</f>
        <v>0</v>
      </c>
      <c r="M27" s="17">
        <f>COUNTIFS('Data Dump'!$P:$P,'ANA FEED'!$A27,'Data Dump'!$S:$S,'ANA FEED'!M$2)</f>
        <v>0</v>
      </c>
      <c r="N27" s="15">
        <f t="shared" si="2"/>
        <v>0</v>
      </c>
      <c r="O27" s="17">
        <f>COUNTIFS('Data Dump'!$P:$P,'ANA FEED'!$A27,'Data Dump'!$S:$S,'ANA FEED'!O$2)</f>
        <v>1</v>
      </c>
      <c r="P27" s="17">
        <f>COUNTIFS('Data Dump'!$P:$P,'ANA FEED'!$A27,'Data Dump'!$S:$S,'ANA FEED'!P$2)</f>
        <v>0</v>
      </c>
      <c r="Q27" s="17">
        <f>COUNTIFS('Data Dump'!$P:$P,'ANA FEED'!$A27,'Data Dump'!$S:$S,'ANA FEED'!Q$2)</f>
        <v>0</v>
      </c>
      <c r="R27" s="15">
        <f t="shared" si="3"/>
        <v>1</v>
      </c>
      <c r="S27" s="15">
        <f t="shared" si="4"/>
        <v>5</v>
      </c>
      <c r="T27" s="17">
        <f>COUNTIFS('Data Dump'!$P:$P,'ANA FEED'!$A27,'Data Dump'!$S:$S,'ANA FEED'!T$2)</f>
        <v>0</v>
      </c>
      <c r="U27" s="17">
        <f>COUNTIFS('Data Dump'!$P:$P,'ANA FEED'!$A27,'Data Dump'!$S:$S,'ANA FEED'!U$2)</f>
        <v>0</v>
      </c>
      <c r="V27" s="17">
        <f>COUNTIFS('Data Dump'!$P:$P,'ANA FEED'!$A27,'Data Dump'!$S:$S,'ANA FEED'!V$2)</f>
        <v>0</v>
      </c>
      <c r="W27" s="15">
        <f t="shared" si="5"/>
        <v>0</v>
      </c>
      <c r="X27" s="17">
        <f>COUNTIFS('Data Dump'!$P:$P,'ANA FEED'!$A27,'Data Dump'!$S:$S,'ANA FEED'!X$2)</f>
        <v>0</v>
      </c>
      <c r="Y27" s="17">
        <f>COUNTIFS('Data Dump'!$P:$P,'ANA FEED'!$A27,'Data Dump'!$S:$S,'ANA FEED'!Y$2)</f>
        <v>1</v>
      </c>
      <c r="Z27" s="17">
        <f>COUNTIFS('Data Dump'!$P:$P,'ANA FEED'!$A27,'Data Dump'!$S:$S,'ANA FEED'!Z$2)</f>
        <v>1</v>
      </c>
      <c r="AA27" s="15">
        <f t="shared" si="6"/>
        <v>2</v>
      </c>
      <c r="AB27" s="17">
        <f>COUNTIFS('Data Dump'!$P:$P,'ANA FEED'!$A27,'Data Dump'!$S:$S,'ANA FEED'!AB$2)</f>
        <v>0</v>
      </c>
      <c r="AC27" s="17">
        <f>COUNTIFS('Data Dump'!$P:$P,'ANA FEED'!$A27,'Data Dump'!$S:$S,'ANA FEED'!AC$2)</f>
        <v>0</v>
      </c>
      <c r="AD27" s="17">
        <f>COUNTIFS('Data Dump'!$P:$P,'ANA FEED'!$A27,'Data Dump'!$S:$S,'ANA FEED'!AD$2)</f>
        <v>0</v>
      </c>
      <c r="AE27" s="15">
        <f t="shared" si="7"/>
        <v>0</v>
      </c>
      <c r="AF27" s="17">
        <f>COUNTIFS('Data Dump'!$P:$P,'ANA FEED'!$A27,'Data Dump'!$S:$S,'ANA FEED'!AF$2)</f>
        <v>0</v>
      </c>
      <c r="AG27" s="17">
        <f>COUNTIFS('Data Dump'!$P:$P,'ANA FEED'!$A27,'Data Dump'!$S:$S,'ANA FEED'!AG$2)</f>
        <v>0</v>
      </c>
      <c r="AH27" s="17">
        <f>COUNTIFS('Data Dump'!$P:$P,'ANA FEED'!$A27,'Data Dump'!$S:$S,'ANA FEED'!AH$2)</f>
        <v>0</v>
      </c>
      <c r="AI27" s="15">
        <f t="shared" si="8"/>
        <v>0</v>
      </c>
      <c r="AJ27" s="15">
        <f t="shared" si="9"/>
        <v>2</v>
      </c>
    </row>
    <row r="28" spans="1:36" x14ac:dyDescent="0.25">
      <c r="A28" s="12" t="s">
        <v>59</v>
      </c>
      <c r="B28" s="12" t="s">
        <v>60</v>
      </c>
      <c r="C28" s="17">
        <f>COUNTIFS('Data Dump'!$P:$P,'ANA FEED'!$A28,'Data Dump'!$S:$S,'ANA FEED'!C$2)</f>
        <v>0</v>
      </c>
      <c r="D28" s="17">
        <f>COUNTIFS('Data Dump'!$P:$P,'ANA FEED'!$A28,'Data Dump'!$S:$S,'ANA FEED'!D$2)</f>
        <v>0</v>
      </c>
      <c r="E28" s="17">
        <f>COUNTIFS('Data Dump'!$P:$P,'ANA FEED'!$A28,'Data Dump'!$S:$S,'ANA FEED'!E$2)</f>
        <v>0</v>
      </c>
      <c r="F28" s="15">
        <f t="shared" si="0"/>
        <v>0</v>
      </c>
      <c r="G28" s="17">
        <f>COUNTIFS('Data Dump'!$P:$P,'ANA FEED'!$A28,'Data Dump'!$S:$S,'ANA FEED'!G$2)</f>
        <v>0</v>
      </c>
      <c r="H28" s="17">
        <f>COUNTIFS('Data Dump'!$P:$P,'ANA FEED'!$A28,'Data Dump'!$S:$S,'ANA FEED'!H$2)</f>
        <v>0</v>
      </c>
      <c r="I28" s="17">
        <f>COUNTIFS('Data Dump'!$P:$P,'ANA FEED'!$A28,'Data Dump'!$S:$S,'ANA FEED'!I$2)</f>
        <v>0</v>
      </c>
      <c r="J28" s="15">
        <f t="shared" si="1"/>
        <v>0</v>
      </c>
      <c r="K28" s="17">
        <f>COUNTIFS('Data Dump'!$P:$P,'ANA FEED'!$A28,'Data Dump'!$S:$S,'ANA FEED'!K$2)</f>
        <v>0</v>
      </c>
      <c r="L28" s="17">
        <f>COUNTIFS('Data Dump'!$P:$P,'ANA FEED'!$A28,'Data Dump'!$S:$S,'ANA FEED'!L$2)</f>
        <v>0</v>
      </c>
      <c r="M28" s="17">
        <f>COUNTIFS('Data Dump'!$P:$P,'ANA FEED'!$A28,'Data Dump'!$S:$S,'ANA FEED'!M$2)</f>
        <v>0</v>
      </c>
      <c r="N28" s="15">
        <f t="shared" si="2"/>
        <v>0</v>
      </c>
      <c r="O28" s="17">
        <f>COUNTIFS('Data Dump'!$P:$P,'ANA FEED'!$A28,'Data Dump'!$S:$S,'ANA FEED'!O$2)</f>
        <v>0</v>
      </c>
      <c r="P28" s="17">
        <f>COUNTIFS('Data Dump'!$P:$P,'ANA FEED'!$A28,'Data Dump'!$S:$S,'ANA FEED'!P$2)</f>
        <v>0</v>
      </c>
      <c r="Q28" s="17">
        <f>COUNTIFS('Data Dump'!$P:$P,'ANA FEED'!$A28,'Data Dump'!$S:$S,'ANA FEED'!Q$2)</f>
        <v>0</v>
      </c>
      <c r="R28" s="15">
        <f t="shared" si="3"/>
        <v>0</v>
      </c>
      <c r="S28" s="15">
        <f t="shared" si="4"/>
        <v>0</v>
      </c>
      <c r="T28" s="17">
        <f>COUNTIFS('Data Dump'!$P:$P,'ANA FEED'!$A28,'Data Dump'!$S:$S,'ANA FEED'!T$2)</f>
        <v>0</v>
      </c>
      <c r="U28" s="17">
        <f>COUNTIFS('Data Dump'!$P:$P,'ANA FEED'!$A28,'Data Dump'!$S:$S,'ANA FEED'!U$2)</f>
        <v>0</v>
      </c>
      <c r="V28" s="17">
        <f>COUNTIFS('Data Dump'!$P:$P,'ANA FEED'!$A28,'Data Dump'!$S:$S,'ANA FEED'!V$2)</f>
        <v>0</v>
      </c>
      <c r="W28" s="15">
        <f t="shared" si="5"/>
        <v>0</v>
      </c>
      <c r="X28" s="17">
        <f>COUNTIFS('Data Dump'!$P:$P,'ANA FEED'!$A28,'Data Dump'!$S:$S,'ANA FEED'!X$2)</f>
        <v>0</v>
      </c>
      <c r="Y28" s="17">
        <f>COUNTIFS('Data Dump'!$P:$P,'ANA FEED'!$A28,'Data Dump'!$S:$S,'ANA FEED'!Y$2)</f>
        <v>0</v>
      </c>
      <c r="Z28" s="17">
        <f>COUNTIFS('Data Dump'!$P:$P,'ANA FEED'!$A28,'Data Dump'!$S:$S,'ANA FEED'!Z$2)</f>
        <v>2</v>
      </c>
      <c r="AA28" s="15">
        <f t="shared" si="6"/>
        <v>2</v>
      </c>
      <c r="AB28" s="17">
        <f>COUNTIFS('Data Dump'!$P:$P,'ANA FEED'!$A28,'Data Dump'!$S:$S,'ANA FEED'!AB$2)</f>
        <v>0</v>
      </c>
      <c r="AC28" s="17">
        <f>COUNTIFS('Data Dump'!$P:$P,'ANA FEED'!$A28,'Data Dump'!$S:$S,'ANA FEED'!AC$2)</f>
        <v>0</v>
      </c>
      <c r="AD28" s="17">
        <f>COUNTIFS('Data Dump'!$P:$P,'ANA FEED'!$A28,'Data Dump'!$S:$S,'ANA FEED'!AD$2)</f>
        <v>0</v>
      </c>
      <c r="AE28" s="15">
        <f t="shared" si="7"/>
        <v>0</v>
      </c>
      <c r="AF28" s="17">
        <f>COUNTIFS('Data Dump'!$P:$P,'ANA FEED'!$A28,'Data Dump'!$S:$S,'ANA FEED'!AF$2)</f>
        <v>0</v>
      </c>
      <c r="AG28" s="17">
        <f>COUNTIFS('Data Dump'!$P:$P,'ANA FEED'!$A28,'Data Dump'!$S:$S,'ANA FEED'!AG$2)</f>
        <v>0</v>
      </c>
      <c r="AH28" s="17">
        <f>COUNTIFS('Data Dump'!$P:$P,'ANA FEED'!$A28,'Data Dump'!$S:$S,'ANA FEED'!AH$2)</f>
        <v>0</v>
      </c>
      <c r="AI28" s="15">
        <f t="shared" si="8"/>
        <v>0</v>
      </c>
      <c r="AJ28" s="15">
        <f t="shared" si="9"/>
        <v>2</v>
      </c>
    </row>
    <row r="29" spans="1:36" x14ac:dyDescent="0.25">
      <c r="A29" s="12" t="s">
        <v>61</v>
      </c>
      <c r="B29" s="12" t="s">
        <v>62</v>
      </c>
      <c r="C29" s="17">
        <f>COUNTIFS('Data Dump'!$P:$P,'ANA FEED'!$A29,'Data Dump'!$S:$S,'ANA FEED'!C$2)</f>
        <v>0</v>
      </c>
      <c r="D29" s="17">
        <f>COUNTIFS('Data Dump'!$P:$P,'ANA FEED'!$A29,'Data Dump'!$S:$S,'ANA FEED'!D$2)</f>
        <v>0</v>
      </c>
      <c r="E29" s="17">
        <f>COUNTIFS('Data Dump'!$P:$P,'ANA FEED'!$A29,'Data Dump'!$S:$S,'ANA FEED'!E$2)</f>
        <v>0</v>
      </c>
      <c r="F29" s="15">
        <f t="shared" si="0"/>
        <v>0</v>
      </c>
      <c r="G29" s="17">
        <f>COUNTIFS('Data Dump'!$P:$P,'ANA FEED'!$A29,'Data Dump'!$S:$S,'ANA FEED'!G$2)</f>
        <v>0</v>
      </c>
      <c r="H29" s="17">
        <f>COUNTIFS('Data Dump'!$P:$P,'ANA FEED'!$A29,'Data Dump'!$S:$S,'ANA FEED'!H$2)</f>
        <v>0</v>
      </c>
      <c r="I29" s="17">
        <f>COUNTIFS('Data Dump'!$P:$P,'ANA FEED'!$A29,'Data Dump'!$S:$S,'ANA FEED'!I$2)</f>
        <v>0</v>
      </c>
      <c r="J29" s="15">
        <f t="shared" si="1"/>
        <v>0</v>
      </c>
      <c r="K29" s="17">
        <f>COUNTIFS('Data Dump'!$P:$P,'ANA FEED'!$A29,'Data Dump'!$S:$S,'ANA FEED'!K$2)</f>
        <v>0</v>
      </c>
      <c r="L29" s="17">
        <f>COUNTIFS('Data Dump'!$P:$P,'ANA FEED'!$A29,'Data Dump'!$S:$S,'ANA FEED'!L$2)</f>
        <v>0</v>
      </c>
      <c r="M29" s="17">
        <f>COUNTIFS('Data Dump'!$P:$P,'ANA FEED'!$A29,'Data Dump'!$S:$S,'ANA FEED'!M$2)</f>
        <v>0</v>
      </c>
      <c r="N29" s="15">
        <f t="shared" si="2"/>
        <v>0</v>
      </c>
      <c r="O29" s="17">
        <f>COUNTIFS('Data Dump'!$P:$P,'ANA FEED'!$A29,'Data Dump'!$S:$S,'ANA FEED'!O$2)</f>
        <v>0</v>
      </c>
      <c r="P29" s="17">
        <f>COUNTIFS('Data Dump'!$P:$P,'ANA FEED'!$A29,'Data Dump'!$S:$S,'ANA FEED'!P$2)</f>
        <v>0</v>
      </c>
      <c r="Q29" s="17">
        <f>COUNTIFS('Data Dump'!$P:$P,'ANA FEED'!$A29,'Data Dump'!$S:$S,'ANA FEED'!Q$2)</f>
        <v>0</v>
      </c>
      <c r="R29" s="15">
        <f t="shared" si="3"/>
        <v>0</v>
      </c>
      <c r="S29" s="15">
        <f t="shared" si="4"/>
        <v>0</v>
      </c>
      <c r="T29" s="17">
        <f>COUNTIFS('Data Dump'!$P:$P,'ANA FEED'!$A29,'Data Dump'!$S:$S,'ANA FEED'!T$2)</f>
        <v>0</v>
      </c>
      <c r="U29" s="17">
        <f>COUNTIFS('Data Dump'!$P:$P,'ANA FEED'!$A29,'Data Dump'!$S:$S,'ANA FEED'!U$2)</f>
        <v>0</v>
      </c>
      <c r="V29" s="17">
        <f>COUNTIFS('Data Dump'!$P:$P,'ANA FEED'!$A29,'Data Dump'!$S:$S,'ANA FEED'!V$2)</f>
        <v>0</v>
      </c>
      <c r="W29" s="15">
        <f t="shared" si="5"/>
        <v>0</v>
      </c>
      <c r="X29" s="17">
        <f>COUNTIFS('Data Dump'!$P:$P,'ANA FEED'!$A29,'Data Dump'!$S:$S,'ANA FEED'!X$2)</f>
        <v>0</v>
      </c>
      <c r="Y29" s="17">
        <f>COUNTIFS('Data Dump'!$P:$P,'ANA FEED'!$A29,'Data Dump'!$S:$S,'ANA FEED'!Y$2)</f>
        <v>0</v>
      </c>
      <c r="Z29" s="17">
        <f>COUNTIFS('Data Dump'!$P:$P,'ANA FEED'!$A29,'Data Dump'!$S:$S,'ANA FEED'!Z$2)</f>
        <v>0</v>
      </c>
      <c r="AA29" s="15">
        <f t="shared" si="6"/>
        <v>0</v>
      </c>
      <c r="AB29" s="17">
        <f>COUNTIFS('Data Dump'!$P:$P,'ANA FEED'!$A29,'Data Dump'!$S:$S,'ANA FEED'!AB$2)</f>
        <v>0</v>
      </c>
      <c r="AC29" s="17">
        <f>COUNTIFS('Data Dump'!$P:$P,'ANA FEED'!$A29,'Data Dump'!$S:$S,'ANA FEED'!AC$2)</f>
        <v>0</v>
      </c>
      <c r="AD29" s="17">
        <f>COUNTIFS('Data Dump'!$P:$P,'ANA FEED'!$A29,'Data Dump'!$S:$S,'ANA FEED'!AD$2)</f>
        <v>0</v>
      </c>
      <c r="AE29" s="15">
        <f t="shared" si="7"/>
        <v>0</v>
      </c>
      <c r="AF29" s="17">
        <f>COUNTIFS('Data Dump'!$P:$P,'ANA FEED'!$A29,'Data Dump'!$S:$S,'ANA FEED'!AF$2)</f>
        <v>0</v>
      </c>
      <c r="AG29" s="17">
        <f>COUNTIFS('Data Dump'!$P:$P,'ANA FEED'!$A29,'Data Dump'!$S:$S,'ANA FEED'!AG$2)</f>
        <v>0</v>
      </c>
      <c r="AH29" s="17">
        <f>COUNTIFS('Data Dump'!$P:$P,'ANA FEED'!$A29,'Data Dump'!$S:$S,'ANA FEED'!AH$2)</f>
        <v>0</v>
      </c>
      <c r="AI29" s="15">
        <f t="shared" si="8"/>
        <v>0</v>
      </c>
      <c r="AJ29" s="15">
        <f t="shared" si="9"/>
        <v>0</v>
      </c>
    </row>
    <row r="30" spans="1:36" x14ac:dyDescent="0.25">
      <c r="A30" s="12" t="s">
        <v>63</v>
      </c>
      <c r="B30" s="12" t="s">
        <v>64</v>
      </c>
      <c r="C30" s="17">
        <f>COUNTIFS('Data Dump'!$P:$P,'ANA FEED'!$A30,'Data Dump'!$S:$S,'ANA FEED'!C$2)</f>
        <v>0</v>
      </c>
      <c r="D30" s="17">
        <f>COUNTIFS('Data Dump'!$P:$P,'ANA FEED'!$A30,'Data Dump'!$S:$S,'ANA FEED'!D$2)</f>
        <v>0</v>
      </c>
      <c r="E30" s="17">
        <f>COUNTIFS('Data Dump'!$P:$P,'ANA FEED'!$A30,'Data Dump'!$S:$S,'ANA FEED'!E$2)</f>
        <v>1</v>
      </c>
      <c r="F30" s="15">
        <f t="shared" si="0"/>
        <v>1</v>
      </c>
      <c r="G30" s="17">
        <f>COUNTIFS('Data Dump'!$P:$P,'ANA FEED'!$A30,'Data Dump'!$S:$S,'ANA FEED'!G$2)</f>
        <v>0</v>
      </c>
      <c r="H30" s="17">
        <f>COUNTIFS('Data Dump'!$P:$P,'ANA FEED'!$A30,'Data Dump'!$S:$S,'ANA FEED'!H$2)</f>
        <v>1</v>
      </c>
      <c r="I30" s="17">
        <f>COUNTIFS('Data Dump'!$P:$P,'ANA FEED'!$A30,'Data Dump'!$S:$S,'ANA FEED'!I$2)</f>
        <v>0</v>
      </c>
      <c r="J30" s="15">
        <f t="shared" si="1"/>
        <v>1</v>
      </c>
      <c r="K30" s="17">
        <f>COUNTIFS('Data Dump'!$P:$P,'ANA FEED'!$A30,'Data Dump'!$S:$S,'ANA FEED'!K$2)</f>
        <v>0</v>
      </c>
      <c r="L30" s="17">
        <f>COUNTIFS('Data Dump'!$P:$P,'ANA FEED'!$A30,'Data Dump'!$S:$S,'ANA FEED'!L$2)</f>
        <v>0</v>
      </c>
      <c r="M30" s="17">
        <f>COUNTIFS('Data Dump'!$P:$P,'ANA FEED'!$A30,'Data Dump'!$S:$S,'ANA FEED'!M$2)</f>
        <v>0</v>
      </c>
      <c r="N30" s="15">
        <f t="shared" si="2"/>
        <v>0</v>
      </c>
      <c r="O30" s="17">
        <f>COUNTIFS('Data Dump'!$P:$P,'ANA FEED'!$A30,'Data Dump'!$S:$S,'ANA FEED'!O$2)</f>
        <v>0</v>
      </c>
      <c r="P30" s="17">
        <f>COUNTIFS('Data Dump'!$P:$P,'ANA FEED'!$A30,'Data Dump'!$S:$S,'ANA FEED'!P$2)</f>
        <v>0</v>
      </c>
      <c r="Q30" s="17">
        <f>COUNTIFS('Data Dump'!$P:$P,'ANA FEED'!$A30,'Data Dump'!$S:$S,'ANA FEED'!Q$2)</f>
        <v>0</v>
      </c>
      <c r="R30" s="15">
        <f t="shared" si="3"/>
        <v>0</v>
      </c>
      <c r="S30" s="15">
        <f t="shared" si="4"/>
        <v>2</v>
      </c>
      <c r="T30" s="17">
        <f>COUNTIFS('Data Dump'!$P:$P,'ANA FEED'!$A30,'Data Dump'!$S:$S,'ANA FEED'!T$2)</f>
        <v>0</v>
      </c>
      <c r="U30" s="17">
        <f>COUNTIFS('Data Dump'!$P:$P,'ANA FEED'!$A30,'Data Dump'!$S:$S,'ANA FEED'!U$2)</f>
        <v>2</v>
      </c>
      <c r="V30" s="17">
        <f>COUNTIFS('Data Dump'!$P:$P,'ANA FEED'!$A30,'Data Dump'!$S:$S,'ANA FEED'!V$2)</f>
        <v>0</v>
      </c>
      <c r="W30" s="15">
        <f t="shared" si="5"/>
        <v>2</v>
      </c>
      <c r="X30" s="17">
        <f>COUNTIFS('Data Dump'!$P:$P,'ANA FEED'!$A30,'Data Dump'!$S:$S,'ANA FEED'!X$2)</f>
        <v>0</v>
      </c>
      <c r="Y30" s="17">
        <f>COUNTIFS('Data Dump'!$P:$P,'ANA FEED'!$A30,'Data Dump'!$S:$S,'ANA FEED'!Y$2)</f>
        <v>4</v>
      </c>
      <c r="Z30" s="17">
        <f>COUNTIFS('Data Dump'!$P:$P,'ANA FEED'!$A30,'Data Dump'!$S:$S,'ANA FEED'!Z$2)</f>
        <v>9</v>
      </c>
      <c r="AA30" s="15">
        <f t="shared" si="6"/>
        <v>13</v>
      </c>
      <c r="AB30" s="17">
        <f>COUNTIFS('Data Dump'!$P:$P,'ANA FEED'!$A30,'Data Dump'!$S:$S,'ANA FEED'!AB$2)</f>
        <v>0</v>
      </c>
      <c r="AC30" s="17">
        <f>COUNTIFS('Data Dump'!$P:$P,'ANA FEED'!$A30,'Data Dump'!$S:$S,'ANA FEED'!AC$2)</f>
        <v>0</v>
      </c>
      <c r="AD30" s="17">
        <f>COUNTIFS('Data Dump'!$P:$P,'ANA FEED'!$A30,'Data Dump'!$S:$S,'ANA FEED'!AD$2)</f>
        <v>0</v>
      </c>
      <c r="AE30" s="15">
        <f t="shared" si="7"/>
        <v>0</v>
      </c>
      <c r="AF30" s="17">
        <f>COUNTIFS('Data Dump'!$P:$P,'ANA FEED'!$A30,'Data Dump'!$S:$S,'ANA FEED'!AF$2)</f>
        <v>0</v>
      </c>
      <c r="AG30" s="17">
        <f>COUNTIFS('Data Dump'!$P:$P,'ANA FEED'!$A30,'Data Dump'!$S:$S,'ANA FEED'!AG$2)</f>
        <v>1</v>
      </c>
      <c r="AH30" s="17">
        <f>COUNTIFS('Data Dump'!$P:$P,'ANA FEED'!$A30,'Data Dump'!$S:$S,'ANA FEED'!AH$2)</f>
        <v>0</v>
      </c>
      <c r="AI30" s="15">
        <f t="shared" si="8"/>
        <v>1</v>
      </c>
      <c r="AJ30" s="15">
        <f t="shared" si="9"/>
        <v>16</v>
      </c>
    </row>
    <row r="31" spans="1:36" x14ac:dyDescent="0.25">
      <c r="A31" s="12" t="s">
        <v>65</v>
      </c>
      <c r="B31" s="12" t="s">
        <v>66</v>
      </c>
      <c r="C31" s="17">
        <f>COUNTIFS('Data Dump'!$P:$P,'ANA FEED'!$A31,'Data Dump'!$S:$S,'ANA FEED'!C$2)</f>
        <v>0</v>
      </c>
      <c r="D31" s="17">
        <f>COUNTIFS('Data Dump'!$P:$P,'ANA FEED'!$A31,'Data Dump'!$S:$S,'ANA FEED'!D$2)</f>
        <v>0</v>
      </c>
      <c r="E31" s="17">
        <f>COUNTIFS('Data Dump'!$P:$P,'ANA FEED'!$A31,'Data Dump'!$S:$S,'ANA FEED'!E$2)</f>
        <v>0</v>
      </c>
      <c r="F31" s="15">
        <f t="shared" si="0"/>
        <v>0</v>
      </c>
      <c r="G31" s="17">
        <f>COUNTIFS('Data Dump'!$P:$P,'ANA FEED'!$A31,'Data Dump'!$S:$S,'ANA FEED'!G$2)</f>
        <v>0</v>
      </c>
      <c r="H31" s="17">
        <f>COUNTIFS('Data Dump'!$P:$P,'ANA FEED'!$A31,'Data Dump'!$S:$S,'ANA FEED'!H$2)</f>
        <v>0</v>
      </c>
      <c r="I31" s="17">
        <f>COUNTIFS('Data Dump'!$P:$P,'ANA FEED'!$A31,'Data Dump'!$S:$S,'ANA FEED'!I$2)</f>
        <v>0</v>
      </c>
      <c r="J31" s="15">
        <f t="shared" si="1"/>
        <v>0</v>
      </c>
      <c r="K31" s="17">
        <f>COUNTIFS('Data Dump'!$P:$P,'ANA FEED'!$A31,'Data Dump'!$S:$S,'ANA FEED'!K$2)</f>
        <v>0</v>
      </c>
      <c r="L31" s="17">
        <f>COUNTIFS('Data Dump'!$P:$P,'ANA FEED'!$A31,'Data Dump'!$S:$S,'ANA FEED'!L$2)</f>
        <v>0</v>
      </c>
      <c r="M31" s="17">
        <f>COUNTIFS('Data Dump'!$P:$P,'ANA FEED'!$A31,'Data Dump'!$S:$S,'ANA FEED'!M$2)</f>
        <v>0</v>
      </c>
      <c r="N31" s="15">
        <f t="shared" si="2"/>
        <v>0</v>
      </c>
      <c r="O31" s="17">
        <f>COUNTIFS('Data Dump'!$P:$P,'ANA FEED'!$A31,'Data Dump'!$S:$S,'ANA FEED'!O$2)</f>
        <v>0</v>
      </c>
      <c r="P31" s="17">
        <f>COUNTIFS('Data Dump'!$P:$P,'ANA FEED'!$A31,'Data Dump'!$S:$S,'ANA FEED'!P$2)</f>
        <v>0</v>
      </c>
      <c r="Q31" s="17">
        <f>COUNTIFS('Data Dump'!$P:$P,'ANA FEED'!$A31,'Data Dump'!$S:$S,'ANA FEED'!Q$2)</f>
        <v>0</v>
      </c>
      <c r="R31" s="15">
        <f t="shared" si="3"/>
        <v>0</v>
      </c>
      <c r="S31" s="15">
        <f t="shared" si="4"/>
        <v>0</v>
      </c>
      <c r="T31" s="17">
        <f>COUNTIFS('Data Dump'!$P:$P,'ANA FEED'!$A31,'Data Dump'!$S:$S,'ANA FEED'!T$2)</f>
        <v>0</v>
      </c>
      <c r="U31" s="17">
        <f>COUNTIFS('Data Dump'!$P:$P,'ANA FEED'!$A31,'Data Dump'!$S:$S,'ANA FEED'!U$2)</f>
        <v>0</v>
      </c>
      <c r="V31" s="17">
        <f>COUNTIFS('Data Dump'!$P:$P,'ANA FEED'!$A31,'Data Dump'!$S:$S,'ANA FEED'!V$2)</f>
        <v>0</v>
      </c>
      <c r="W31" s="15">
        <f t="shared" si="5"/>
        <v>0</v>
      </c>
      <c r="X31" s="17">
        <f>COUNTIFS('Data Dump'!$P:$P,'ANA FEED'!$A31,'Data Dump'!$S:$S,'ANA FEED'!X$2)</f>
        <v>0</v>
      </c>
      <c r="Y31" s="17">
        <f>COUNTIFS('Data Dump'!$P:$P,'ANA FEED'!$A31,'Data Dump'!$S:$S,'ANA FEED'!Y$2)</f>
        <v>0</v>
      </c>
      <c r="Z31" s="17">
        <f>COUNTIFS('Data Dump'!$P:$P,'ANA FEED'!$A31,'Data Dump'!$S:$S,'ANA FEED'!Z$2)</f>
        <v>0</v>
      </c>
      <c r="AA31" s="15">
        <f t="shared" si="6"/>
        <v>0</v>
      </c>
      <c r="AB31" s="17">
        <f>COUNTIFS('Data Dump'!$P:$P,'ANA FEED'!$A31,'Data Dump'!$S:$S,'ANA FEED'!AB$2)</f>
        <v>0</v>
      </c>
      <c r="AC31" s="17">
        <f>COUNTIFS('Data Dump'!$P:$P,'ANA FEED'!$A31,'Data Dump'!$S:$S,'ANA FEED'!AC$2)</f>
        <v>0</v>
      </c>
      <c r="AD31" s="17">
        <f>COUNTIFS('Data Dump'!$P:$P,'ANA FEED'!$A31,'Data Dump'!$S:$S,'ANA FEED'!AD$2)</f>
        <v>0</v>
      </c>
      <c r="AE31" s="15">
        <f t="shared" si="7"/>
        <v>0</v>
      </c>
      <c r="AF31" s="17">
        <f>COUNTIFS('Data Dump'!$P:$P,'ANA FEED'!$A31,'Data Dump'!$S:$S,'ANA FEED'!AF$2)</f>
        <v>0</v>
      </c>
      <c r="AG31" s="17">
        <f>COUNTIFS('Data Dump'!$P:$P,'ANA FEED'!$A31,'Data Dump'!$S:$S,'ANA FEED'!AG$2)</f>
        <v>0</v>
      </c>
      <c r="AH31" s="17">
        <f>COUNTIFS('Data Dump'!$P:$P,'ANA FEED'!$A31,'Data Dump'!$S:$S,'ANA FEED'!AH$2)</f>
        <v>0</v>
      </c>
      <c r="AI31" s="15">
        <f t="shared" si="8"/>
        <v>0</v>
      </c>
      <c r="AJ31" s="15">
        <f t="shared" si="9"/>
        <v>0</v>
      </c>
    </row>
    <row r="32" spans="1:36" x14ac:dyDescent="0.25">
      <c r="A32" s="12" t="s">
        <v>67</v>
      </c>
      <c r="B32" s="12" t="s">
        <v>68</v>
      </c>
      <c r="C32" s="17">
        <f>COUNTIFS('Data Dump'!$P:$P,'ANA FEED'!$A32,'Data Dump'!$S:$S,'ANA FEED'!C$2)</f>
        <v>0</v>
      </c>
      <c r="D32" s="17">
        <f>COUNTIFS('Data Dump'!$P:$P,'ANA FEED'!$A32,'Data Dump'!$S:$S,'ANA FEED'!D$2)</f>
        <v>0</v>
      </c>
      <c r="E32" s="17">
        <f>COUNTIFS('Data Dump'!$P:$P,'ANA FEED'!$A32,'Data Dump'!$S:$S,'ANA FEED'!E$2)</f>
        <v>0</v>
      </c>
      <c r="F32" s="15">
        <f t="shared" si="0"/>
        <v>0</v>
      </c>
      <c r="G32" s="17">
        <f>COUNTIFS('Data Dump'!$P:$P,'ANA FEED'!$A32,'Data Dump'!$S:$S,'ANA FEED'!G$2)</f>
        <v>3</v>
      </c>
      <c r="H32" s="17">
        <f>COUNTIFS('Data Dump'!$P:$P,'ANA FEED'!$A32,'Data Dump'!$S:$S,'ANA FEED'!H$2)</f>
        <v>1</v>
      </c>
      <c r="I32" s="17">
        <f>COUNTIFS('Data Dump'!$P:$P,'ANA FEED'!$A32,'Data Dump'!$S:$S,'ANA FEED'!I$2)</f>
        <v>0</v>
      </c>
      <c r="J32" s="15">
        <f t="shared" si="1"/>
        <v>4</v>
      </c>
      <c r="K32" s="17">
        <f>COUNTIFS('Data Dump'!$P:$P,'ANA FEED'!$A32,'Data Dump'!$S:$S,'ANA FEED'!K$2)</f>
        <v>0</v>
      </c>
      <c r="L32" s="17">
        <f>COUNTIFS('Data Dump'!$P:$P,'ANA FEED'!$A32,'Data Dump'!$S:$S,'ANA FEED'!L$2)</f>
        <v>0</v>
      </c>
      <c r="M32" s="17">
        <f>COUNTIFS('Data Dump'!$P:$P,'ANA FEED'!$A32,'Data Dump'!$S:$S,'ANA FEED'!M$2)</f>
        <v>1</v>
      </c>
      <c r="N32" s="15">
        <f t="shared" si="2"/>
        <v>1</v>
      </c>
      <c r="O32" s="17">
        <f>COUNTIFS('Data Dump'!$P:$P,'ANA FEED'!$A32,'Data Dump'!$S:$S,'ANA FEED'!O$2)</f>
        <v>0</v>
      </c>
      <c r="P32" s="17">
        <f>COUNTIFS('Data Dump'!$P:$P,'ANA FEED'!$A32,'Data Dump'!$S:$S,'ANA FEED'!P$2)</f>
        <v>0</v>
      </c>
      <c r="Q32" s="17">
        <f>COUNTIFS('Data Dump'!$P:$P,'ANA FEED'!$A32,'Data Dump'!$S:$S,'ANA FEED'!Q$2)</f>
        <v>0</v>
      </c>
      <c r="R32" s="15">
        <f t="shared" si="3"/>
        <v>0</v>
      </c>
      <c r="S32" s="15">
        <f t="shared" si="4"/>
        <v>5</v>
      </c>
      <c r="T32" s="17">
        <f>COUNTIFS('Data Dump'!$P:$P,'ANA FEED'!$A32,'Data Dump'!$S:$S,'ANA FEED'!T$2)</f>
        <v>1</v>
      </c>
      <c r="U32" s="17">
        <f>COUNTIFS('Data Dump'!$P:$P,'ANA FEED'!$A32,'Data Dump'!$S:$S,'ANA FEED'!U$2)</f>
        <v>0</v>
      </c>
      <c r="V32" s="17">
        <f>COUNTIFS('Data Dump'!$P:$P,'ANA FEED'!$A32,'Data Dump'!$S:$S,'ANA FEED'!V$2)</f>
        <v>1</v>
      </c>
      <c r="W32" s="15">
        <f t="shared" si="5"/>
        <v>2</v>
      </c>
      <c r="X32" s="17">
        <f>COUNTIFS('Data Dump'!$P:$P,'ANA FEED'!$A32,'Data Dump'!$S:$S,'ANA FEED'!X$2)</f>
        <v>1</v>
      </c>
      <c r="Y32" s="17">
        <f>COUNTIFS('Data Dump'!$P:$P,'ANA FEED'!$A32,'Data Dump'!$S:$S,'ANA FEED'!Y$2)</f>
        <v>1</v>
      </c>
      <c r="Z32" s="17">
        <f>COUNTIFS('Data Dump'!$P:$P,'ANA FEED'!$A32,'Data Dump'!$S:$S,'ANA FEED'!Z$2)</f>
        <v>2</v>
      </c>
      <c r="AA32" s="15">
        <f t="shared" si="6"/>
        <v>4</v>
      </c>
      <c r="AB32" s="17">
        <f>COUNTIFS('Data Dump'!$P:$P,'ANA FEED'!$A32,'Data Dump'!$S:$S,'ANA FEED'!AB$2)</f>
        <v>0</v>
      </c>
      <c r="AC32" s="17">
        <f>COUNTIFS('Data Dump'!$P:$P,'ANA FEED'!$A32,'Data Dump'!$S:$S,'ANA FEED'!AC$2)</f>
        <v>0</v>
      </c>
      <c r="AD32" s="17">
        <f>COUNTIFS('Data Dump'!$P:$P,'ANA FEED'!$A32,'Data Dump'!$S:$S,'ANA FEED'!AD$2)</f>
        <v>1</v>
      </c>
      <c r="AE32" s="15">
        <f t="shared" si="7"/>
        <v>1</v>
      </c>
      <c r="AF32" s="17">
        <f>COUNTIFS('Data Dump'!$P:$P,'ANA FEED'!$A32,'Data Dump'!$S:$S,'ANA FEED'!AF$2)</f>
        <v>1</v>
      </c>
      <c r="AG32" s="17">
        <f>COUNTIFS('Data Dump'!$P:$P,'ANA FEED'!$A32,'Data Dump'!$S:$S,'ANA FEED'!AG$2)</f>
        <v>2</v>
      </c>
      <c r="AH32" s="17">
        <f>COUNTIFS('Data Dump'!$P:$P,'ANA FEED'!$A32,'Data Dump'!$S:$S,'ANA FEED'!AH$2)</f>
        <v>1</v>
      </c>
      <c r="AI32" s="15">
        <f t="shared" si="8"/>
        <v>4</v>
      </c>
      <c r="AJ32" s="15">
        <f t="shared" si="9"/>
        <v>11</v>
      </c>
    </row>
    <row r="33" spans="1:36" x14ac:dyDescent="0.25">
      <c r="A33" s="12" t="s">
        <v>69</v>
      </c>
      <c r="B33" s="12" t="s">
        <v>70</v>
      </c>
      <c r="C33" s="17">
        <f>COUNTIFS('Data Dump'!$P:$P,'ANA FEED'!$A33,'Data Dump'!$S:$S,'ANA FEED'!C$2)</f>
        <v>0</v>
      </c>
      <c r="D33" s="17">
        <f>COUNTIFS('Data Dump'!$P:$P,'ANA FEED'!$A33,'Data Dump'!$S:$S,'ANA FEED'!D$2)</f>
        <v>0</v>
      </c>
      <c r="E33" s="17">
        <f>COUNTIFS('Data Dump'!$P:$P,'ANA FEED'!$A33,'Data Dump'!$S:$S,'ANA FEED'!E$2)</f>
        <v>0</v>
      </c>
      <c r="F33" s="15">
        <f t="shared" si="0"/>
        <v>0</v>
      </c>
      <c r="G33" s="17">
        <f>COUNTIFS('Data Dump'!$P:$P,'ANA FEED'!$A33,'Data Dump'!$S:$S,'ANA FEED'!G$2)</f>
        <v>0</v>
      </c>
      <c r="H33" s="17">
        <f>COUNTIFS('Data Dump'!$P:$P,'ANA FEED'!$A33,'Data Dump'!$S:$S,'ANA FEED'!H$2)</f>
        <v>0</v>
      </c>
      <c r="I33" s="17">
        <f>COUNTIFS('Data Dump'!$P:$P,'ANA FEED'!$A33,'Data Dump'!$S:$S,'ANA FEED'!I$2)</f>
        <v>0</v>
      </c>
      <c r="J33" s="15">
        <f t="shared" si="1"/>
        <v>0</v>
      </c>
      <c r="K33" s="17">
        <f>COUNTIFS('Data Dump'!$P:$P,'ANA FEED'!$A33,'Data Dump'!$S:$S,'ANA FEED'!K$2)</f>
        <v>0</v>
      </c>
      <c r="L33" s="17">
        <f>COUNTIFS('Data Dump'!$P:$P,'ANA FEED'!$A33,'Data Dump'!$S:$S,'ANA FEED'!L$2)</f>
        <v>0</v>
      </c>
      <c r="M33" s="17">
        <f>COUNTIFS('Data Dump'!$P:$P,'ANA FEED'!$A33,'Data Dump'!$S:$S,'ANA FEED'!M$2)</f>
        <v>0</v>
      </c>
      <c r="N33" s="15">
        <f t="shared" si="2"/>
        <v>0</v>
      </c>
      <c r="O33" s="17">
        <f>COUNTIFS('Data Dump'!$P:$P,'ANA FEED'!$A33,'Data Dump'!$S:$S,'ANA FEED'!O$2)</f>
        <v>0</v>
      </c>
      <c r="P33" s="17">
        <f>COUNTIFS('Data Dump'!$P:$P,'ANA FEED'!$A33,'Data Dump'!$S:$S,'ANA FEED'!P$2)</f>
        <v>0</v>
      </c>
      <c r="Q33" s="17">
        <f>COUNTIFS('Data Dump'!$P:$P,'ANA FEED'!$A33,'Data Dump'!$S:$S,'ANA FEED'!Q$2)</f>
        <v>0</v>
      </c>
      <c r="R33" s="15">
        <f t="shared" si="3"/>
        <v>0</v>
      </c>
      <c r="S33" s="15">
        <f t="shared" si="4"/>
        <v>0</v>
      </c>
      <c r="T33" s="17">
        <f>COUNTIFS('Data Dump'!$P:$P,'ANA FEED'!$A33,'Data Dump'!$S:$S,'ANA FEED'!T$2)</f>
        <v>0</v>
      </c>
      <c r="U33" s="17">
        <f>COUNTIFS('Data Dump'!$P:$P,'ANA FEED'!$A33,'Data Dump'!$S:$S,'ANA FEED'!U$2)</f>
        <v>0</v>
      </c>
      <c r="V33" s="17">
        <f>COUNTIFS('Data Dump'!$P:$P,'ANA FEED'!$A33,'Data Dump'!$S:$S,'ANA FEED'!V$2)</f>
        <v>0</v>
      </c>
      <c r="W33" s="15">
        <f t="shared" si="5"/>
        <v>0</v>
      </c>
      <c r="X33" s="17">
        <f>COUNTIFS('Data Dump'!$P:$P,'ANA FEED'!$A33,'Data Dump'!$S:$S,'ANA FEED'!X$2)</f>
        <v>0</v>
      </c>
      <c r="Y33" s="17">
        <f>COUNTIFS('Data Dump'!$P:$P,'ANA FEED'!$A33,'Data Dump'!$S:$S,'ANA FEED'!Y$2)</f>
        <v>0</v>
      </c>
      <c r="Z33" s="17">
        <f>COUNTIFS('Data Dump'!$P:$P,'ANA FEED'!$A33,'Data Dump'!$S:$S,'ANA FEED'!Z$2)</f>
        <v>0</v>
      </c>
      <c r="AA33" s="15">
        <f t="shared" si="6"/>
        <v>0</v>
      </c>
      <c r="AB33" s="17">
        <f>COUNTIFS('Data Dump'!$P:$P,'ANA FEED'!$A33,'Data Dump'!$S:$S,'ANA FEED'!AB$2)</f>
        <v>0</v>
      </c>
      <c r="AC33" s="17">
        <f>COUNTIFS('Data Dump'!$P:$P,'ANA FEED'!$A33,'Data Dump'!$S:$S,'ANA FEED'!AC$2)</f>
        <v>0</v>
      </c>
      <c r="AD33" s="17">
        <f>COUNTIFS('Data Dump'!$P:$P,'ANA FEED'!$A33,'Data Dump'!$S:$S,'ANA FEED'!AD$2)</f>
        <v>0</v>
      </c>
      <c r="AE33" s="15">
        <f t="shared" si="7"/>
        <v>0</v>
      </c>
      <c r="AF33" s="17">
        <f>COUNTIFS('Data Dump'!$P:$P,'ANA FEED'!$A33,'Data Dump'!$S:$S,'ANA FEED'!AF$2)</f>
        <v>0</v>
      </c>
      <c r="AG33" s="17">
        <f>COUNTIFS('Data Dump'!$P:$P,'ANA FEED'!$A33,'Data Dump'!$S:$S,'ANA FEED'!AG$2)</f>
        <v>0</v>
      </c>
      <c r="AH33" s="17">
        <f>COUNTIFS('Data Dump'!$P:$P,'ANA FEED'!$A33,'Data Dump'!$S:$S,'ANA FEED'!AH$2)</f>
        <v>0</v>
      </c>
      <c r="AI33" s="15">
        <f t="shared" si="8"/>
        <v>0</v>
      </c>
      <c r="AJ33" s="15">
        <f t="shared" si="9"/>
        <v>0</v>
      </c>
    </row>
    <row r="34" spans="1:36" x14ac:dyDescent="0.25">
      <c r="A34" s="12" t="s">
        <v>71</v>
      </c>
      <c r="B34" s="12" t="s">
        <v>72</v>
      </c>
      <c r="C34" s="17">
        <f>COUNTIFS('Data Dump'!$P:$P,'ANA FEED'!$A34,'Data Dump'!$S:$S,'ANA FEED'!C$2)</f>
        <v>0</v>
      </c>
      <c r="D34" s="17">
        <f>COUNTIFS('Data Dump'!$P:$P,'ANA FEED'!$A34,'Data Dump'!$S:$S,'ANA FEED'!D$2)</f>
        <v>0</v>
      </c>
      <c r="E34" s="17">
        <f>COUNTIFS('Data Dump'!$P:$P,'ANA FEED'!$A34,'Data Dump'!$S:$S,'ANA FEED'!E$2)</f>
        <v>0</v>
      </c>
      <c r="F34" s="15">
        <f t="shared" si="0"/>
        <v>0</v>
      </c>
      <c r="G34" s="17">
        <f>COUNTIFS('Data Dump'!$P:$P,'ANA FEED'!$A34,'Data Dump'!$S:$S,'ANA FEED'!G$2)</f>
        <v>0</v>
      </c>
      <c r="H34" s="17">
        <f>COUNTIFS('Data Dump'!$P:$P,'ANA FEED'!$A34,'Data Dump'!$S:$S,'ANA FEED'!H$2)</f>
        <v>0</v>
      </c>
      <c r="I34" s="17">
        <f>COUNTIFS('Data Dump'!$P:$P,'ANA FEED'!$A34,'Data Dump'!$S:$S,'ANA FEED'!I$2)</f>
        <v>0</v>
      </c>
      <c r="J34" s="15">
        <f t="shared" si="1"/>
        <v>0</v>
      </c>
      <c r="K34" s="17">
        <f>COUNTIFS('Data Dump'!$P:$P,'ANA FEED'!$A34,'Data Dump'!$S:$S,'ANA FEED'!K$2)</f>
        <v>0</v>
      </c>
      <c r="L34" s="17">
        <f>COUNTIFS('Data Dump'!$P:$P,'ANA FEED'!$A34,'Data Dump'!$S:$S,'ANA FEED'!L$2)</f>
        <v>0</v>
      </c>
      <c r="M34" s="17">
        <f>COUNTIFS('Data Dump'!$P:$P,'ANA FEED'!$A34,'Data Dump'!$S:$S,'ANA FEED'!M$2)</f>
        <v>0</v>
      </c>
      <c r="N34" s="15">
        <f t="shared" si="2"/>
        <v>0</v>
      </c>
      <c r="O34" s="17">
        <f>COUNTIFS('Data Dump'!$P:$P,'ANA FEED'!$A34,'Data Dump'!$S:$S,'ANA FEED'!O$2)</f>
        <v>0</v>
      </c>
      <c r="P34" s="17">
        <f>COUNTIFS('Data Dump'!$P:$P,'ANA FEED'!$A34,'Data Dump'!$S:$S,'ANA FEED'!P$2)</f>
        <v>0</v>
      </c>
      <c r="Q34" s="17">
        <f>COUNTIFS('Data Dump'!$P:$P,'ANA FEED'!$A34,'Data Dump'!$S:$S,'ANA FEED'!Q$2)</f>
        <v>0</v>
      </c>
      <c r="R34" s="15">
        <f t="shared" si="3"/>
        <v>0</v>
      </c>
      <c r="S34" s="15">
        <f t="shared" si="4"/>
        <v>0</v>
      </c>
      <c r="T34" s="17">
        <f>COUNTIFS('Data Dump'!$P:$P,'ANA FEED'!$A34,'Data Dump'!$S:$S,'ANA FEED'!T$2)</f>
        <v>0</v>
      </c>
      <c r="U34" s="17">
        <f>COUNTIFS('Data Dump'!$P:$P,'ANA FEED'!$A34,'Data Dump'!$S:$S,'ANA FEED'!U$2)</f>
        <v>0</v>
      </c>
      <c r="V34" s="17">
        <f>COUNTIFS('Data Dump'!$P:$P,'ANA FEED'!$A34,'Data Dump'!$S:$S,'ANA FEED'!V$2)</f>
        <v>0</v>
      </c>
      <c r="W34" s="15">
        <f t="shared" si="5"/>
        <v>0</v>
      </c>
      <c r="X34" s="17">
        <f>COUNTIFS('Data Dump'!$P:$P,'ANA FEED'!$A34,'Data Dump'!$S:$S,'ANA FEED'!X$2)</f>
        <v>0</v>
      </c>
      <c r="Y34" s="17">
        <f>COUNTIFS('Data Dump'!$P:$P,'ANA FEED'!$A34,'Data Dump'!$S:$S,'ANA FEED'!Y$2)</f>
        <v>0</v>
      </c>
      <c r="Z34" s="17">
        <f>COUNTIFS('Data Dump'!$P:$P,'ANA FEED'!$A34,'Data Dump'!$S:$S,'ANA FEED'!Z$2)</f>
        <v>0</v>
      </c>
      <c r="AA34" s="15">
        <f t="shared" si="6"/>
        <v>0</v>
      </c>
      <c r="AB34" s="17">
        <f>COUNTIFS('Data Dump'!$P:$P,'ANA FEED'!$A34,'Data Dump'!$S:$S,'ANA FEED'!AB$2)</f>
        <v>0</v>
      </c>
      <c r="AC34" s="17">
        <f>COUNTIFS('Data Dump'!$P:$P,'ANA FEED'!$A34,'Data Dump'!$S:$S,'ANA FEED'!AC$2)</f>
        <v>0</v>
      </c>
      <c r="AD34" s="17">
        <f>COUNTIFS('Data Dump'!$P:$P,'ANA FEED'!$A34,'Data Dump'!$S:$S,'ANA FEED'!AD$2)</f>
        <v>0</v>
      </c>
      <c r="AE34" s="15">
        <f t="shared" si="7"/>
        <v>0</v>
      </c>
      <c r="AF34" s="17">
        <f>COUNTIFS('Data Dump'!$P:$P,'ANA FEED'!$A34,'Data Dump'!$S:$S,'ANA FEED'!AF$2)</f>
        <v>0</v>
      </c>
      <c r="AG34" s="17">
        <f>COUNTIFS('Data Dump'!$P:$P,'ANA FEED'!$A34,'Data Dump'!$S:$S,'ANA FEED'!AG$2)</f>
        <v>0</v>
      </c>
      <c r="AH34" s="17">
        <f>COUNTIFS('Data Dump'!$P:$P,'ANA FEED'!$A34,'Data Dump'!$S:$S,'ANA FEED'!AH$2)</f>
        <v>0</v>
      </c>
      <c r="AI34" s="15">
        <f t="shared" si="8"/>
        <v>0</v>
      </c>
      <c r="AJ34" s="15">
        <f t="shared" si="9"/>
        <v>0</v>
      </c>
    </row>
    <row r="35" spans="1:36" x14ac:dyDescent="0.25">
      <c r="A35" s="71" t="s">
        <v>73</v>
      </c>
      <c r="B35" s="71" t="s">
        <v>74</v>
      </c>
      <c r="C35" s="72">
        <f>COUNTIFS('Data Dump'!$P:$P,'ANA FEED'!$A35,'Data Dump'!$S:$S,'ANA FEED'!C$2)</f>
        <v>0</v>
      </c>
      <c r="D35" s="72">
        <f>COUNTIFS('Data Dump'!$P:$P,'ANA FEED'!$A35,'Data Dump'!$S:$S,'ANA FEED'!D$2)</f>
        <v>0</v>
      </c>
      <c r="E35" s="72">
        <f>COUNTIFS('Data Dump'!$P:$P,'ANA FEED'!$A35,'Data Dump'!$S:$S,'ANA FEED'!E$2)</f>
        <v>0</v>
      </c>
      <c r="F35" s="15">
        <f t="shared" si="0"/>
        <v>0</v>
      </c>
      <c r="G35" s="72">
        <f>COUNTIFS('Data Dump'!$P:$P,'ANA FEED'!$A35,'Data Dump'!$S:$S,'ANA FEED'!G$2)</f>
        <v>1</v>
      </c>
      <c r="H35" s="72">
        <f>COUNTIFS('Data Dump'!$P:$P,'ANA FEED'!$A35,'Data Dump'!$S:$S,'ANA FEED'!H$2)</f>
        <v>1</v>
      </c>
      <c r="I35" s="72">
        <f>COUNTIFS('Data Dump'!$P:$P,'ANA FEED'!$A35,'Data Dump'!$S:$S,'ANA FEED'!I$2)</f>
        <v>2</v>
      </c>
      <c r="J35" s="73">
        <f t="shared" si="1"/>
        <v>4</v>
      </c>
      <c r="K35" s="72">
        <f>COUNTIFS('Data Dump'!$P:$P,'ANA FEED'!$A35,'Data Dump'!$S:$S,'ANA FEED'!K$2)</f>
        <v>0</v>
      </c>
      <c r="L35" s="72">
        <f>COUNTIFS('Data Dump'!$P:$P,'ANA FEED'!$A35,'Data Dump'!$S:$S,'ANA FEED'!L$2)</f>
        <v>0</v>
      </c>
      <c r="M35" s="72">
        <f>COUNTIFS('Data Dump'!$P:$P,'ANA FEED'!$A35,'Data Dump'!$S:$S,'ANA FEED'!M$2)</f>
        <v>0</v>
      </c>
      <c r="N35" s="73">
        <f t="shared" si="2"/>
        <v>0</v>
      </c>
      <c r="O35" s="72">
        <f>COUNTIFS('Data Dump'!$P:$P,'ANA FEED'!$A35,'Data Dump'!$S:$S,'ANA FEED'!O$2)</f>
        <v>0</v>
      </c>
      <c r="P35" s="72">
        <f>COUNTIFS('Data Dump'!$P:$P,'ANA FEED'!$A35,'Data Dump'!$S:$S,'ANA FEED'!P$2)</f>
        <v>0</v>
      </c>
      <c r="Q35" s="72">
        <f>COUNTIFS('Data Dump'!$P:$P,'ANA FEED'!$A35,'Data Dump'!$S:$S,'ANA FEED'!Q$2)</f>
        <v>0</v>
      </c>
      <c r="R35" s="73">
        <f t="shared" si="3"/>
        <v>0</v>
      </c>
      <c r="S35" s="73">
        <f t="shared" si="4"/>
        <v>4</v>
      </c>
      <c r="T35" s="72">
        <f>COUNTIFS('Data Dump'!$P:$P,'ANA FEED'!$A35,'Data Dump'!$S:$S,'ANA FEED'!T$2)</f>
        <v>0</v>
      </c>
      <c r="U35" s="72">
        <f>COUNTIFS('Data Dump'!$P:$P,'ANA FEED'!$A35,'Data Dump'!$S:$S,'ANA FEED'!U$2)</f>
        <v>1</v>
      </c>
      <c r="V35" s="72">
        <f>COUNTIFS('Data Dump'!$P:$P,'ANA FEED'!$A35,'Data Dump'!$S:$S,'ANA FEED'!V$2)</f>
        <v>0</v>
      </c>
      <c r="W35" s="73">
        <f t="shared" si="5"/>
        <v>1</v>
      </c>
      <c r="X35" s="72">
        <f>COUNTIFS('Data Dump'!$P:$P,'ANA FEED'!$A35,'Data Dump'!$S:$S,'ANA FEED'!X$2)</f>
        <v>1</v>
      </c>
      <c r="Y35" s="72">
        <f>COUNTIFS('Data Dump'!$P:$P,'ANA FEED'!$A35,'Data Dump'!$S:$S,'ANA FEED'!Y$2)</f>
        <v>1</v>
      </c>
      <c r="Z35" s="72">
        <f>COUNTIFS('Data Dump'!$P:$P,'ANA FEED'!$A35,'Data Dump'!$S:$S,'ANA FEED'!Z$2)</f>
        <v>1</v>
      </c>
      <c r="AA35" s="73">
        <f t="shared" si="6"/>
        <v>3</v>
      </c>
      <c r="AB35" s="72">
        <f>COUNTIFS('Data Dump'!$P:$P,'ANA FEED'!$A35,'Data Dump'!$S:$S,'ANA FEED'!AB$2)</f>
        <v>0</v>
      </c>
      <c r="AC35" s="72">
        <f>COUNTIFS('Data Dump'!$P:$P,'ANA FEED'!$A35,'Data Dump'!$S:$S,'ANA FEED'!AC$2)</f>
        <v>0</v>
      </c>
      <c r="AD35" s="72">
        <f>COUNTIFS('Data Dump'!$P:$P,'ANA FEED'!$A35,'Data Dump'!$S:$S,'ANA FEED'!AD$2)</f>
        <v>0</v>
      </c>
      <c r="AE35" s="73">
        <f t="shared" si="7"/>
        <v>0</v>
      </c>
      <c r="AF35" s="72">
        <f>COUNTIFS('Data Dump'!$P:$P,'ANA FEED'!$A35,'Data Dump'!$S:$S,'ANA FEED'!AF$2)</f>
        <v>0</v>
      </c>
      <c r="AG35" s="72">
        <f>COUNTIFS('Data Dump'!$P:$P,'ANA FEED'!$A35,'Data Dump'!$S:$S,'ANA FEED'!AG$2)</f>
        <v>0</v>
      </c>
      <c r="AH35" s="72">
        <f>COUNTIFS('Data Dump'!$P:$P,'ANA FEED'!$A35,'Data Dump'!$S:$S,'ANA FEED'!AH$2)</f>
        <v>1</v>
      </c>
      <c r="AI35" s="73">
        <f t="shared" si="8"/>
        <v>1</v>
      </c>
      <c r="AJ35" s="73">
        <f t="shared" si="9"/>
        <v>5</v>
      </c>
    </row>
    <row r="36" spans="1:36" x14ac:dyDescent="0.25">
      <c r="A36" s="94" t="s">
        <v>75</v>
      </c>
      <c r="B36" s="94"/>
      <c r="C36" s="81">
        <f>SUM(C3:C35)</f>
        <v>5</v>
      </c>
      <c r="D36" s="81">
        <f t="shared" ref="D36:AJ36" si="10">SUM(D3:D35)</f>
        <v>5</v>
      </c>
      <c r="E36" s="81">
        <f t="shared" si="10"/>
        <v>5</v>
      </c>
      <c r="F36" s="83">
        <f t="shared" si="10"/>
        <v>15</v>
      </c>
      <c r="G36" s="81">
        <f t="shared" si="10"/>
        <v>15</v>
      </c>
      <c r="H36" s="81">
        <f t="shared" si="10"/>
        <v>14</v>
      </c>
      <c r="I36" s="81">
        <f t="shared" si="10"/>
        <v>16</v>
      </c>
      <c r="J36" s="83">
        <f t="shared" si="10"/>
        <v>45</v>
      </c>
      <c r="K36" s="81">
        <f t="shared" si="10"/>
        <v>0</v>
      </c>
      <c r="L36" s="81">
        <f t="shared" si="10"/>
        <v>2</v>
      </c>
      <c r="M36" s="81">
        <f t="shared" si="10"/>
        <v>3</v>
      </c>
      <c r="N36" s="83">
        <f t="shared" si="10"/>
        <v>5</v>
      </c>
      <c r="O36" s="81">
        <f t="shared" si="10"/>
        <v>3</v>
      </c>
      <c r="P36" s="81">
        <f t="shared" si="10"/>
        <v>1</v>
      </c>
      <c r="Q36" s="81">
        <f t="shared" si="10"/>
        <v>1</v>
      </c>
      <c r="R36" s="83">
        <f t="shared" si="10"/>
        <v>5</v>
      </c>
      <c r="S36" s="83">
        <f t="shared" si="10"/>
        <v>70</v>
      </c>
      <c r="T36" s="81">
        <f t="shared" si="10"/>
        <v>3</v>
      </c>
      <c r="U36" s="81">
        <f t="shared" si="10"/>
        <v>6</v>
      </c>
      <c r="V36" s="81">
        <f t="shared" si="10"/>
        <v>7</v>
      </c>
      <c r="W36" s="83">
        <f t="shared" si="10"/>
        <v>16</v>
      </c>
      <c r="X36" s="81">
        <f t="shared" si="10"/>
        <v>3</v>
      </c>
      <c r="Y36" s="81">
        <f t="shared" si="10"/>
        <v>15</v>
      </c>
      <c r="Z36" s="81">
        <f t="shared" si="10"/>
        <v>37</v>
      </c>
      <c r="AA36" s="83">
        <f t="shared" si="10"/>
        <v>55</v>
      </c>
      <c r="AB36" s="81">
        <f t="shared" si="10"/>
        <v>0</v>
      </c>
      <c r="AC36" s="81">
        <f t="shared" si="10"/>
        <v>1</v>
      </c>
      <c r="AD36" s="81">
        <f t="shared" si="10"/>
        <v>2</v>
      </c>
      <c r="AE36" s="83">
        <f t="shared" si="10"/>
        <v>3</v>
      </c>
      <c r="AF36" s="81">
        <f t="shared" si="10"/>
        <v>2</v>
      </c>
      <c r="AG36" s="81">
        <f t="shared" si="10"/>
        <v>9</v>
      </c>
      <c r="AH36" s="81">
        <f t="shared" si="10"/>
        <v>4</v>
      </c>
      <c r="AI36" s="83">
        <f t="shared" si="10"/>
        <v>15</v>
      </c>
      <c r="AJ36" s="83">
        <f t="shared" si="10"/>
        <v>89</v>
      </c>
    </row>
    <row r="37" spans="1:36" ht="15.75" thickBot="1" x14ac:dyDescent="0.3"/>
    <row r="38" spans="1:36" ht="15.75" thickBot="1" x14ac:dyDescent="0.3">
      <c r="A38" s="93" t="s">
        <v>243</v>
      </c>
      <c r="B38" s="93"/>
    </row>
    <row r="39" spans="1:36" x14ac:dyDescent="0.25">
      <c r="A39" s="23" t="s">
        <v>9</v>
      </c>
      <c r="B39" s="24" t="s">
        <v>10</v>
      </c>
      <c r="C39" s="22">
        <f>SUBTOTAL(9,$C3:C3)</f>
        <v>1</v>
      </c>
      <c r="D39" s="22">
        <f>SUBTOTAL(9,$C3:D3)</f>
        <v>1</v>
      </c>
      <c r="E39" s="22">
        <f>SUBTOTAL(9,$C3:E3)</f>
        <v>1</v>
      </c>
      <c r="F39" s="22">
        <f>SUBTOTAL(9,$C3:F3)</f>
        <v>1</v>
      </c>
      <c r="G39" s="22">
        <f>SUBTOTAL(9,$C3:G3)</f>
        <v>1</v>
      </c>
      <c r="H39" s="22">
        <f>SUBTOTAL(9,$C3:H3)</f>
        <v>1</v>
      </c>
      <c r="I39" s="22">
        <f>SUBTOTAL(9,$C3:I3)</f>
        <v>2</v>
      </c>
      <c r="J39" s="22">
        <f>SUBTOTAL(9,$C3:J3)</f>
        <v>2</v>
      </c>
      <c r="K39" s="22">
        <f>SUBTOTAL(9,$C3:K3)</f>
        <v>2</v>
      </c>
      <c r="L39" s="22">
        <f>SUBTOTAL(9,$C3:L3)</f>
        <v>2</v>
      </c>
      <c r="M39" s="22">
        <f>SUBTOTAL(9,$C3:M3)</f>
        <v>2</v>
      </c>
      <c r="N39" s="22">
        <f>SUBTOTAL(9,$C3:N3)</f>
        <v>2</v>
      </c>
      <c r="O39" s="22">
        <f>SUBTOTAL(9,$C3:O3)</f>
        <v>2</v>
      </c>
      <c r="P39" s="22">
        <f>SUBTOTAL(9,$C3:P3)</f>
        <v>2</v>
      </c>
      <c r="Q39" s="22">
        <f>SUBTOTAL(9,$C3:Q3)</f>
        <v>2</v>
      </c>
      <c r="R39" s="22">
        <f>SUBTOTAL(9,$C3:R3)</f>
        <v>2</v>
      </c>
      <c r="S39" s="22">
        <f>SUBTOTAL(9,$C3:S3)</f>
        <v>2</v>
      </c>
      <c r="T39" s="22">
        <f>SUBTOTAL(9,$T3:T3)</f>
        <v>0</v>
      </c>
      <c r="U39" s="22">
        <f>SUBTOTAL(9,$T3:U3)</f>
        <v>0</v>
      </c>
      <c r="V39" s="22">
        <f>SUBTOTAL(9,$T3:V3)</f>
        <v>0</v>
      </c>
      <c r="W39" s="22">
        <f>SUBTOTAL(9,$T3:W3)</f>
        <v>0</v>
      </c>
      <c r="X39" s="22">
        <f>SUBTOTAL(9,$T3:X3)</f>
        <v>0</v>
      </c>
      <c r="Y39" s="22">
        <f>SUBTOTAL(9,$T3:Y3)</f>
        <v>0</v>
      </c>
      <c r="Z39" s="22">
        <f>SUBTOTAL(9,$T3:Z3)</f>
        <v>1</v>
      </c>
      <c r="AA39" s="22">
        <f>SUBTOTAL(9,$T3:AA3)</f>
        <v>1</v>
      </c>
      <c r="AB39" s="22">
        <f>SUBTOTAL(9,$T3:AB3)</f>
        <v>1</v>
      </c>
      <c r="AC39" s="22">
        <f>SUBTOTAL(9,$T3:AC3)</f>
        <v>1</v>
      </c>
      <c r="AD39" s="22">
        <f>SUBTOTAL(9,$T3:AD3)</f>
        <v>1</v>
      </c>
      <c r="AE39" s="22">
        <f>SUBTOTAL(9,$T3:AE3)</f>
        <v>1</v>
      </c>
      <c r="AF39" s="22">
        <f>SUBTOTAL(9,$T3:AF3)</f>
        <v>1</v>
      </c>
      <c r="AG39" s="22">
        <f>SUBTOTAL(9,$T3:AG3)</f>
        <v>1</v>
      </c>
      <c r="AH39" s="22">
        <f>SUBTOTAL(9,$T3:AH3)</f>
        <v>1</v>
      </c>
      <c r="AI39" s="22">
        <f>SUBTOTAL(9,$T3:AI3)</f>
        <v>1</v>
      </c>
      <c r="AJ39" s="22">
        <f>SUBTOTAL(9,$T3:AJ3)</f>
        <v>1</v>
      </c>
    </row>
    <row r="40" spans="1:36" x14ac:dyDescent="0.25">
      <c r="A40" s="12" t="s">
        <v>11</v>
      </c>
      <c r="B40" s="13" t="s">
        <v>12</v>
      </c>
      <c r="C40" s="22">
        <f>SUBTOTAL(9,$C4:C4)</f>
        <v>0</v>
      </c>
      <c r="D40" s="22">
        <f>SUBTOTAL(9,$C4:D4)</f>
        <v>0</v>
      </c>
      <c r="E40" s="22">
        <f>SUBTOTAL(9,$C4:E4)</f>
        <v>0</v>
      </c>
      <c r="F40" s="22">
        <f>SUBTOTAL(9,$C4:F4)</f>
        <v>0</v>
      </c>
      <c r="G40" s="22">
        <f>SUBTOTAL(9,$C4:G4)</f>
        <v>0</v>
      </c>
      <c r="H40" s="22">
        <f>SUBTOTAL(9,$C4:H4)</f>
        <v>0</v>
      </c>
      <c r="I40" s="22">
        <f>SUBTOTAL(9,$C4:I4)</f>
        <v>0</v>
      </c>
      <c r="J40" s="22">
        <f>SUBTOTAL(9,$C4:J4)</f>
        <v>0</v>
      </c>
      <c r="K40" s="22">
        <f>SUBTOTAL(9,$C4:K4)</f>
        <v>0</v>
      </c>
      <c r="L40" s="22">
        <f>SUBTOTAL(9,$C4:L4)</f>
        <v>0</v>
      </c>
      <c r="M40" s="22">
        <f>SUBTOTAL(9,$C4:M4)</f>
        <v>0</v>
      </c>
      <c r="N40" s="22">
        <f>SUBTOTAL(9,$C4:N4)</f>
        <v>0</v>
      </c>
      <c r="O40" s="22">
        <f>SUBTOTAL(9,$C4:O4)</f>
        <v>0</v>
      </c>
      <c r="P40" s="22">
        <f>SUBTOTAL(9,$C4:P4)</f>
        <v>0</v>
      </c>
      <c r="Q40" s="22">
        <f>SUBTOTAL(9,$C4:Q4)</f>
        <v>0</v>
      </c>
      <c r="R40" s="22">
        <f>SUBTOTAL(9,$C4:R4)</f>
        <v>0</v>
      </c>
      <c r="S40" s="22">
        <f>SUBTOTAL(9,$C4:S4)</f>
        <v>0</v>
      </c>
      <c r="T40" s="22">
        <f>SUBTOTAL(9,$T4:T4)</f>
        <v>0</v>
      </c>
      <c r="U40" s="22">
        <f>SUBTOTAL(9,$T4:U4)</f>
        <v>0</v>
      </c>
      <c r="V40" s="22">
        <f>SUBTOTAL(9,$T4:V4)</f>
        <v>0</v>
      </c>
      <c r="W40" s="22">
        <f>SUBTOTAL(9,$T4:W4)</f>
        <v>0</v>
      </c>
      <c r="X40" s="22">
        <f>SUBTOTAL(9,$T4:X4)</f>
        <v>0</v>
      </c>
      <c r="Y40" s="22">
        <f>SUBTOTAL(9,$T4:Y4)</f>
        <v>0</v>
      </c>
      <c r="Z40" s="22">
        <f>SUBTOTAL(9,$T4:Z4)</f>
        <v>0</v>
      </c>
      <c r="AA40" s="22">
        <f>SUBTOTAL(9,$T4:AA4)</f>
        <v>0</v>
      </c>
      <c r="AB40" s="22">
        <f>SUBTOTAL(9,$T4:AB4)</f>
        <v>0</v>
      </c>
      <c r="AC40" s="22">
        <f>SUBTOTAL(9,$T4:AC4)</f>
        <v>0</v>
      </c>
      <c r="AD40" s="22">
        <f>SUBTOTAL(9,$T4:AD4)</f>
        <v>0</v>
      </c>
      <c r="AE40" s="22">
        <f>SUBTOTAL(9,$T4:AE4)</f>
        <v>0</v>
      </c>
      <c r="AF40" s="22">
        <f>SUBTOTAL(9,$T4:AF4)</f>
        <v>0</v>
      </c>
      <c r="AG40" s="22">
        <f>SUBTOTAL(9,$T4:AG4)</f>
        <v>0</v>
      </c>
      <c r="AH40" s="22">
        <f>SUBTOTAL(9,$T4:AH4)</f>
        <v>0</v>
      </c>
      <c r="AI40" s="22">
        <f>SUBTOTAL(9,$T4:AI4)</f>
        <v>0</v>
      </c>
      <c r="AJ40" s="22">
        <f>SUBTOTAL(9,$T4:AJ4)</f>
        <v>0</v>
      </c>
    </row>
    <row r="41" spans="1:36" x14ac:dyDescent="0.25">
      <c r="A41" s="12" t="s">
        <v>13</v>
      </c>
      <c r="B41" s="13" t="s">
        <v>14</v>
      </c>
      <c r="C41" s="22">
        <f>SUBTOTAL(9,$C5:C5)</f>
        <v>0</v>
      </c>
      <c r="D41" s="22">
        <f>SUBTOTAL(9,$C5:D5)</f>
        <v>0</v>
      </c>
      <c r="E41" s="22">
        <f>SUBTOTAL(9,$C5:E5)</f>
        <v>0</v>
      </c>
      <c r="F41" s="22">
        <f>SUBTOTAL(9,$C5:F5)</f>
        <v>0</v>
      </c>
      <c r="G41" s="22">
        <f>SUBTOTAL(9,$C5:G5)</f>
        <v>0</v>
      </c>
      <c r="H41" s="22">
        <f>SUBTOTAL(9,$C5:H5)</f>
        <v>0</v>
      </c>
      <c r="I41" s="22">
        <f>SUBTOTAL(9,$C5:I5)</f>
        <v>0</v>
      </c>
      <c r="J41" s="22">
        <f>SUBTOTAL(9,$C5:J5)</f>
        <v>0</v>
      </c>
      <c r="K41" s="22">
        <f>SUBTOTAL(9,$C5:K5)</f>
        <v>0</v>
      </c>
      <c r="L41" s="22">
        <f>SUBTOTAL(9,$C5:L5)</f>
        <v>0</v>
      </c>
      <c r="M41" s="22">
        <f>SUBTOTAL(9,$C5:M5)</f>
        <v>0</v>
      </c>
      <c r="N41" s="22">
        <f>SUBTOTAL(9,$C5:N5)</f>
        <v>0</v>
      </c>
      <c r="O41" s="22">
        <f>SUBTOTAL(9,$C5:O5)</f>
        <v>0</v>
      </c>
      <c r="P41" s="22">
        <f>SUBTOTAL(9,$C5:P5)</f>
        <v>0</v>
      </c>
      <c r="Q41" s="22">
        <f>SUBTOTAL(9,$C5:Q5)</f>
        <v>0</v>
      </c>
      <c r="R41" s="22">
        <f>SUBTOTAL(9,$C5:R5)</f>
        <v>0</v>
      </c>
      <c r="S41" s="22">
        <f>SUBTOTAL(9,$C5:S5)</f>
        <v>0</v>
      </c>
      <c r="T41" s="22">
        <f>SUBTOTAL(9,$T5:T5)</f>
        <v>0</v>
      </c>
      <c r="U41" s="22">
        <f>SUBTOTAL(9,$T5:U5)</f>
        <v>0</v>
      </c>
      <c r="V41" s="22">
        <f>SUBTOTAL(9,$T5:V5)</f>
        <v>0</v>
      </c>
      <c r="W41" s="22">
        <f>SUBTOTAL(9,$T5:W5)</f>
        <v>0</v>
      </c>
      <c r="X41" s="22">
        <f>SUBTOTAL(9,$T5:X5)</f>
        <v>0</v>
      </c>
      <c r="Y41" s="22">
        <f>SUBTOTAL(9,$T5:Y5)</f>
        <v>0</v>
      </c>
      <c r="Z41" s="22">
        <f>SUBTOTAL(9,$T5:Z5)</f>
        <v>0</v>
      </c>
      <c r="AA41" s="22">
        <f>SUBTOTAL(9,$T5:AA5)</f>
        <v>0</v>
      </c>
      <c r="AB41" s="22">
        <f>SUBTOTAL(9,$T5:AB5)</f>
        <v>0</v>
      </c>
      <c r="AC41" s="22">
        <f>SUBTOTAL(9,$T5:AC5)</f>
        <v>0</v>
      </c>
      <c r="AD41" s="22">
        <f>SUBTOTAL(9,$T5:AD5)</f>
        <v>0</v>
      </c>
      <c r="AE41" s="22">
        <f>SUBTOTAL(9,$T5:AE5)</f>
        <v>0</v>
      </c>
      <c r="AF41" s="22">
        <f>SUBTOTAL(9,$T5:AF5)</f>
        <v>1</v>
      </c>
      <c r="AG41" s="22">
        <f>SUBTOTAL(9,$T5:AG5)</f>
        <v>2</v>
      </c>
      <c r="AH41" s="22">
        <f>SUBTOTAL(9,$T5:AH5)</f>
        <v>2</v>
      </c>
      <c r="AI41" s="22">
        <f>SUBTOTAL(9,$T5:AI5)</f>
        <v>2</v>
      </c>
      <c r="AJ41" s="22">
        <f>SUBTOTAL(9,$T5:AJ5)</f>
        <v>2</v>
      </c>
    </row>
    <row r="42" spans="1:36" x14ac:dyDescent="0.25">
      <c r="A42" s="12" t="s">
        <v>15</v>
      </c>
      <c r="B42" s="13" t="s">
        <v>16</v>
      </c>
      <c r="C42" s="22">
        <f>SUBTOTAL(9,$C6:C6)</f>
        <v>0</v>
      </c>
      <c r="D42" s="22">
        <f>SUBTOTAL(9,$C6:D6)</f>
        <v>0</v>
      </c>
      <c r="E42" s="22">
        <f>SUBTOTAL(9,$C6:E6)</f>
        <v>0</v>
      </c>
      <c r="F42" s="22">
        <f>SUBTOTAL(9,$C6:F6)</f>
        <v>0</v>
      </c>
      <c r="G42" s="22">
        <f>SUBTOTAL(9,$C6:G6)</f>
        <v>0</v>
      </c>
      <c r="H42" s="22">
        <f>SUBTOTAL(9,$C6:H6)</f>
        <v>0</v>
      </c>
      <c r="I42" s="22">
        <f>SUBTOTAL(9,$C6:I6)</f>
        <v>4</v>
      </c>
      <c r="J42" s="22">
        <f>SUBTOTAL(9,$C6:J6)</f>
        <v>4</v>
      </c>
      <c r="K42" s="22">
        <f>SUBTOTAL(9,$C6:K6)</f>
        <v>4</v>
      </c>
      <c r="L42" s="22">
        <f>SUBTOTAL(9,$C6:L6)</f>
        <v>4</v>
      </c>
      <c r="M42" s="22">
        <f>SUBTOTAL(9,$C6:M6)</f>
        <v>5</v>
      </c>
      <c r="N42" s="22">
        <f>SUBTOTAL(9,$C6:N6)</f>
        <v>5</v>
      </c>
      <c r="O42" s="22">
        <f>SUBTOTAL(9,$C6:O6)</f>
        <v>5</v>
      </c>
      <c r="P42" s="22">
        <f>SUBTOTAL(9,$C6:P6)</f>
        <v>5</v>
      </c>
      <c r="Q42" s="22">
        <f>SUBTOTAL(9,$C6:Q6)</f>
        <v>5</v>
      </c>
      <c r="R42" s="22">
        <f>SUBTOTAL(9,$C6:R6)</f>
        <v>5</v>
      </c>
      <c r="S42" s="22">
        <f>SUBTOTAL(9,$C6:S6)</f>
        <v>5</v>
      </c>
      <c r="T42" s="22">
        <f>SUBTOTAL(9,$T6:T6)</f>
        <v>1</v>
      </c>
      <c r="U42" s="22">
        <f>SUBTOTAL(9,$T6:U6)</f>
        <v>1</v>
      </c>
      <c r="V42" s="22">
        <f>SUBTOTAL(9,$T6:V6)</f>
        <v>1</v>
      </c>
      <c r="W42" s="22">
        <f>SUBTOTAL(9,$T6:W6)</f>
        <v>1</v>
      </c>
      <c r="X42" s="22">
        <f>SUBTOTAL(9,$T6:X6)</f>
        <v>1</v>
      </c>
      <c r="Y42" s="22">
        <f>SUBTOTAL(9,$T6:Y6)</f>
        <v>3</v>
      </c>
      <c r="Z42" s="22">
        <f>SUBTOTAL(9,$T6:Z6)</f>
        <v>4</v>
      </c>
      <c r="AA42" s="22">
        <f>SUBTOTAL(9,$T6:AA6)</f>
        <v>4</v>
      </c>
      <c r="AB42" s="22">
        <f>SUBTOTAL(9,$T6:AB6)</f>
        <v>4</v>
      </c>
      <c r="AC42" s="22">
        <f>SUBTOTAL(9,$T6:AC6)</f>
        <v>4</v>
      </c>
      <c r="AD42" s="22">
        <f>SUBTOTAL(9,$T6:AD6)</f>
        <v>4</v>
      </c>
      <c r="AE42" s="22">
        <f>SUBTOTAL(9,$T6:AE6)</f>
        <v>4</v>
      </c>
      <c r="AF42" s="22">
        <f>SUBTOTAL(9,$T6:AF6)</f>
        <v>4</v>
      </c>
      <c r="AG42" s="22">
        <f>SUBTOTAL(9,$T6:AG6)</f>
        <v>5</v>
      </c>
      <c r="AH42" s="22">
        <f>SUBTOTAL(9,$T6:AH6)</f>
        <v>5</v>
      </c>
      <c r="AI42" s="22">
        <f>SUBTOTAL(9,$T6:AI6)</f>
        <v>5</v>
      </c>
      <c r="AJ42" s="22">
        <f>SUBTOTAL(9,$T6:AJ6)</f>
        <v>5</v>
      </c>
    </row>
    <row r="43" spans="1:36" x14ac:dyDescent="0.25">
      <c r="A43" s="12" t="s">
        <v>17</v>
      </c>
      <c r="B43" s="13" t="s">
        <v>18</v>
      </c>
      <c r="C43" s="22">
        <f>SUBTOTAL(9,$C7:C7)</f>
        <v>0</v>
      </c>
      <c r="D43" s="22">
        <f>SUBTOTAL(9,$C7:D7)</f>
        <v>0</v>
      </c>
      <c r="E43" s="22">
        <f>SUBTOTAL(9,$C7:E7)</f>
        <v>0</v>
      </c>
      <c r="F43" s="22">
        <f>SUBTOTAL(9,$C7:F7)</f>
        <v>0</v>
      </c>
      <c r="G43" s="22">
        <f>SUBTOTAL(9,$C7:G7)</f>
        <v>0</v>
      </c>
      <c r="H43" s="22">
        <f>SUBTOTAL(9,$C7:H7)</f>
        <v>0</v>
      </c>
      <c r="I43" s="22">
        <f>SUBTOTAL(9,$C7:I7)</f>
        <v>0</v>
      </c>
      <c r="J43" s="22">
        <f>SUBTOTAL(9,$C7:J7)</f>
        <v>0</v>
      </c>
      <c r="K43" s="22">
        <f>SUBTOTAL(9,$C7:K7)</f>
        <v>0</v>
      </c>
      <c r="L43" s="22">
        <f>SUBTOTAL(9,$C7:L7)</f>
        <v>0</v>
      </c>
      <c r="M43" s="22">
        <f>SUBTOTAL(9,$C7:M7)</f>
        <v>0</v>
      </c>
      <c r="N43" s="22">
        <f>SUBTOTAL(9,$C7:N7)</f>
        <v>0</v>
      </c>
      <c r="O43" s="22">
        <f>SUBTOTAL(9,$C7:O7)</f>
        <v>0</v>
      </c>
      <c r="P43" s="22">
        <f>SUBTOTAL(9,$C7:P7)</f>
        <v>0</v>
      </c>
      <c r="Q43" s="22">
        <f>SUBTOTAL(9,$C7:Q7)</f>
        <v>0</v>
      </c>
      <c r="R43" s="22">
        <f>SUBTOTAL(9,$C7:R7)</f>
        <v>0</v>
      </c>
      <c r="S43" s="22">
        <f>SUBTOTAL(9,$C7:S7)</f>
        <v>0</v>
      </c>
      <c r="T43" s="22">
        <f>SUBTOTAL(9,$T7:T7)</f>
        <v>0</v>
      </c>
      <c r="U43" s="22">
        <f>SUBTOTAL(9,$T7:U7)</f>
        <v>0</v>
      </c>
      <c r="V43" s="22">
        <f>SUBTOTAL(9,$T7:V7)</f>
        <v>0</v>
      </c>
      <c r="W43" s="22">
        <f>SUBTOTAL(9,$T7:W7)</f>
        <v>0</v>
      </c>
      <c r="X43" s="22">
        <f>SUBTOTAL(9,$T7:X7)</f>
        <v>0</v>
      </c>
      <c r="Y43" s="22">
        <f>SUBTOTAL(9,$T7:Y7)</f>
        <v>0</v>
      </c>
      <c r="Z43" s="22">
        <f>SUBTOTAL(9,$T7:Z7)</f>
        <v>1</v>
      </c>
      <c r="AA43" s="22">
        <f>SUBTOTAL(9,$T7:AA7)</f>
        <v>1</v>
      </c>
      <c r="AB43" s="22">
        <f>SUBTOTAL(9,$T7:AB7)</f>
        <v>1</v>
      </c>
      <c r="AC43" s="22">
        <f>SUBTOTAL(9,$T7:AC7)</f>
        <v>2</v>
      </c>
      <c r="AD43" s="22">
        <f>SUBTOTAL(9,$T7:AD7)</f>
        <v>2</v>
      </c>
      <c r="AE43" s="22">
        <f>SUBTOTAL(9,$T7:AE7)</f>
        <v>2</v>
      </c>
      <c r="AF43" s="22">
        <f>SUBTOTAL(9,$T7:AF7)</f>
        <v>2</v>
      </c>
      <c r="AG43" s="22">
        <f>SUBTOTAL(9,$T7:AG7)</f>
        <v>2</v>
      </c>
      <c r="AH43" s="22">
        <f>SUBTOTAL(9,$T7:AH7)</f>
        <v>2</v>
      </c>
      <c r="AI43" s="22">
        <f>SUBTOTAL(9,$T7:AI7)</f>
        <v>2</v>
      </c>
      <c r="AJ43" s="22">
        <f>SUBTOTAL(9,$T7:AJ7)</f>
        <v>2</v>
      </c>
    </row>
    <row r="44" spans="1:36" x14ac:dyDescent="0.25">
      <c r="A44" s="12" t="s">
        <v>19</v>
      </c>
      <c r="B44" s="13" t="s">
        <v>20</v>
      </c>
      <c r="C44" s="22">
        <f>SUBTOTAL(9,$C8:C8)</f>
        <v>0</v>
      </c>
      <c r="D44" s="22">
        <f>SUBTOTAL(9,$C8:D8)</f>
        <v>0</v>
      </c>
      <c r="E44" s="22">
        <f>SUBTOTAL(9,$C8:E8)</f>
        <v>0</v>
      </c>
      <c r="F44" s="22">
        <f>SUBTOTAL(9,$C8:F8)</f>
        <v>0</v>
      </c>
      <c r="G44" s="22">
        <f>SUBTOTAL(9,$C8:G8)</f>
        <v>1</v>
      </c>
      <c r="H44" s="22">
        <f>SUBTOTAL(9,$C8:H8)</f>
        <v>2</v>
      </c>
      <c r="I44" s="22">
        <f>SUBTOTAL(9,$C8:I8)</f>
        <v>2</v>
      </c>
      <c r="J44" s="22">
        <f>SUBTOTAL(9,$C8:J8)</f>
        <v>2</v>
      </c>
      <c r="K44" s="22">
        <f>SUBTOTAL(9,$C8:K8)</f>
        <v>2</v>
      </c>
      <c r="L44" s="22">
        <f>SUBTOTAL(9,$C8:L8)</f>
        <v>2</v>
      </c>
      <c r="M44" s="22">
        <f>SUBTOTAL(9,$C8:M8)</f>
        <v>2</v>
      </c>
      <c r="N44" s="22">
        <f>SUBTOTAL(9,$C8:N8)</f>
        <v>2</v>
      </c>
      <c r="O44" s="22">
        <f>SUBTOTAL(9,$C8:O8)</f>
        <v>2</v>
      </c>
      <c r="P44" s="22">
        <f>SUBTOTAL(9,$C8:P8)</f>
        <v>2</v>
      </c>
      <c r="Q44" s="22">
        <f>SUBTOTAL(9,$C8:Q8)</f>
        <v>2</v>
      </c>
      <c r="R44" s="22">
        <f>SUBTOTAL(9,$C8:R8)</f>
        <v>2</v>
      </c>
      <c r="S44" s="22">
        <f>SUBTOTAL(9,$C8:S8)</f>
        <v>2</v>
      </c>
      <c r="T44" s="22">
        <f>SUBTOTAL(9,$T8:T8)</f>
        <v>0</v>
      </c>
      <c r="U44" s="22">
        <f>SUBTOTAL(9,$T8:U8)</f>
        <v>0</v>
      </c>
      <c r="V44" s="22">
        <f>SUBTOTAL(9,$T8:V8)</f>
        <v>0</v>
      </c>
      <c r="W44" s="22">
        <f>SUBTOTAL(9,$T8:W8)</f>
        <v>0</v>
      </c>
      <c r="X44" s="22">
        <f>SUBTOTAL(9,$T8:X8)</f>
        <v>0</v>
      </c>
      <c r="Y44" s="22">
        <f>SUBTOTAL(9,$T8:Y8)</f>
        <v>1</v>
      </c>
      <c r="Z44" s="22">
        <f>SUBTOTAL(9,$T8:Z8)</f>
        <v>1</v>
      </c>
      <c r="AA44" s="22">
        <f>SUBTOTAL(9,$T8:AA8)</f>
        <v>1</v>
      </c>
      <c r="AB44" s="22">
        <f>SUBTOTAL(9,$T8:AB8)</f>
        <v>1</v>
      </c>
      <c r="AC44" s="22">
        <f>SUBTOTAL(9,$T8:AC8)</f>
        <v>1</v>
      </c>
      <c r="AD44" s="22">
        <f>SUBTOTAL(9,$T8:AD8)</f>
        <v>1</v>
      </c>
      <c r="AE44" s="22">
        <f>SUBTOTAL(9,$T8:AE8)</f>
        <v>1</v>
      </c>
      <c r="AF44" s="22">
        <f>SUBTOTAL(9,$T8:AF8)</f>
        <v>1</v>
      </c>
      <c r="AG44" s="22">
        <f>SUBTOTAL(9,$T8:AG8)</f>
        <v>2</v>
      </c>
      <c r="AH44" s="22">
        <f>SUBTOTAL(9,$T8:AH8)</f>
        <v>3</v>
      </c>
      <c r="AI44" s="22">
        <f>SUBTOTAL(9,$T8:AI8)</f>
        <v>3</v>
      </c>
      <c r="AJ44" s="22">
        <f>SUBTOTAL(9,$T8:AJ8)</f>
        <v>3</v>
      </c>
    </row>
    <row r="45" spans="1:36" x14ac:dyDescent="0.25">
      <c r="A45" s="12" t="s">
        <v>21</v>
      </c>
      <c r="B45" s="13" t="s">
        <v>22</v>
      </c>
      <c r="C45" s="22">
        <f>SUBTOTAL(9,$C9:C9)</f>
        <v>0</v>
      </c>
      <c r="D45" s="22">
        <f>SUBTOTAL(9,$C9:D9)</f>
        <v>0</v>
      </c>
      <c r="E45" s="22">
        <f>SUBTOTAL(9,$C9:E9)</f>
        <v>0</v>
      </c>
      <c r="F45" s="22">
        <f>SUBTOTAL(9,$C9:F9)</f>
        <v>0</v>
      </c>
      <c r="G45" s="22">
        <f>SUBTOTAL(9,$C9:G9)</f>
        <v>0</v>
      </c>
      <c r="H45" s="22">
        <f>SUBTOTAL(9,$C9:H9)</f>
        <v>0</v>
      </c>
      <c r="I45" s="22">
        <f>SUBTOTAL(9,$C9:I9)</f>
        <v>0</v>
      </c>
      <c r="J45" s="22">
        <f>SUBTOTAL(9,$C9:J9)</f>
        <v>0</v>
      </c>
      <c r="K45" s="22">
        <f>SUBTOTAL(9,$C9:K9)</f>
        <v>0</v>
      </c>
      <c r="L45" s="22">
        <f>SUBTOTAL(9,$C9:L9)</f>
        <v>0</v>
      </c>
      <c r="M45" s="22">
        <f>SUBTOTAL(9,$C9:M9)</f>
        <v>0</v>
      </c>
      <c r="N45" s="22">
        <f>SUBTOTAL(9,$C9:N9)</f>
        <v>0</v>
      </c>
      <c r="O45" s="22">
        <f>SUBTOTAL(9,$C9:O9)</f>
        <v>0</v>
      </c>
      <c r="P45" s="22">
        <f>SUBTOTAL(9,$C9:P9)</f>
        <v>0</v>
      </c>
      <c r="Q45" s="22">
        <f>SUBTOTAL(9,$C9:Q9)</f>
        <v>0</v>
      </c>
      <c r="R45" s="22">
        <f>SUBTOTAL(9,$C9:R9)</f>
        <v>0</v>
      </c>
      <c r="S45" s="22">
        <f>SUBTOTAL(9,$C9:S9)</f>
        <v>0</v>
      </c>
      <c r="T45" s="22">
        <f>SUBTOTAL(9,$T9:T9)</f>
        <v>0</v>
      </c>
      <c r="U45" s="22">
        <f>SUBTOTAL(9,$T9:U9)</f>
        <v>0</v>
      </c>
      <c r="V45" s="22">
        <f>SUBTOTAL(9,$T9:V9)</f>
        <v>0</v>
      </c>
      <c r="W45" s="22">
        <f>SUBTOTAL(9,$T9:W9)</f>
        <v>0</v>
      </c>
      <c r="X45" s="22">
        <f>SUBTOTAL(9,$T9:X9)</f>
        <v>0</v>
      </c>
      <c r="Y45" s="22">
        <f>SUBTOTAL(9,$T9:Y9)</f>
        <v>0</v>
      </c>
      <c r="Z45" s="22">
        <f>SUBTOTAL(9,$T9:Z9)</f>
        <v>0</v>
      </c>
      <c r="AA45" s="22">
        <f>SUBTOTAL(9,$T9:AA9)</f>
        <v>0</v>
      </c>
      <c r="AB45" s="22">
        <f>SUBTOTAL(9,$T9:AB9)</f>
        <v>0</v>
      </c>
      <c r="AC45" s="22">
        <f>SUBTOTAL(9,$T9:AC9)</f>
        <v>0</v>
      </c>
      <c r="AD45" s="22">
        <f>SUBTOTAL(9,$T9:AD9)</f>
        <v>0</v>
      </c>
      <c r="AE45" s="22">
        <f>SUBTOTAL(9,$T9:AE9)</f>
        <v>0</v>
      </c>
      <c r="AF45" s="22">
        <f>SUBTOTAL(9,$T9:AF9)</f>
        <v>0</v>
      </c>
      <c r="AG45" s="22">
        <f>SUBTOTAL(9,$T9:AG9)</f>
        <v>0</v>
      </c>
      <c r="AH45" s="22">
        <f>SUBTOTAL(9,$T9:AH9)</f>
        <v>0</v>
      </c>
      <c r="AI45" s="22">
        <f>SUBTOTAL(9,$T9:AI9)</f>
        <v>0</v>
      </c>
      <c r="AJ45" s="22">
        <f>SUBTOTAL(9,$T9:AJ9)</f>
        <v>0</v>
      </c>
    </row>
    <row r="46" spans="1:36" x14ac:dyDescent="0.25">
      <c r="A46" s="12" t="s">
        <v>23</v>
      </c>
      <c r="B46" s="13" t="s">
        <v>24</v>
      </c>
      <c r="C46" s="22">
        <f>SUBTOTAL(9,$C10:C10)</f>
        <v>0</v>
      </c>
      <c r="D46" s="22">
        <f>SUBTOTAL(9,$C10:D10)</f>
        <v>0</v>
      </c>
      <c r="E46" s="22">
        <f>SUBTOTAL(9,$C10:E10)</f>
        <v>0</v>
      </c>
      <c r="F46" s="22">
        <f>SUBTOTAL(9,$C10:F10)</f>
        <v>0</v>
      </c>
      <c r="G46" s="22">
        <f>SUBTOTAL(9,$C10:G10)</f>
        <v>0</v>
      </c>
      <c r="H46" s="22">
        <f>SUBTOTAL(9,$C10:H10)</f>
        <v>0</v>
      </c>
      <c r="I46" s="22">
        <f>SUBTOTAL(9,$C10:I10)</f>
        <v>0</v>
      </c>
      <c r="J46" s="22">
        <f>SUBTOTAL(9,$C10:J10)</f>
        <v>0</v>
      </c>
      <c r="K46" s="22">
        <f>SUBTOTAL(9,$C10:K10)</f>
        <v>0</v>
      </c>
      <c r="L46" s="22">
        <f>SUBTOTAL(9,$C10:L10)</f>
        <v>0</v>
      </c>
      <c r="M46" s="22">
        <f>SUBTOTAL(9,$C10:M10)</f>
        <v>0</v>
      </c>
      <c r="N46" s="22">
        <f>SUBTOTAL(9,$C10:N10)</f>
        <v>0</v>
      </c>
      <c r="O46" s="22">
        <f>SUBTOTAL(9,$C10:O10)</f>
        <v>0</v>
      </c>
      <c r="P46" s="22">
        <f>SUBTOTAL(9,$C10:P10)</f>
        <v>0</v>
      </c>
      <c r="Q46" s="22">
        <f>SUBTOTAL(9,$C10:Q10)</f>
        <v>0</v>
      </c>
      <c r="R46" s="22">
        <f>SUBTOTAL(9,$C10:R10)</f>
        <v>0</v>
      </c>
      <c r="S46" s="22">
        <f>SUBTOTAL(9,$C10:S10)</f>
        <v>0</v>
      </c>
      <c r="T46" s="22">
        <f>SUBTOTAL(9,$T10:T10)</f>
        <v>0</v>
      </c>
      <c r="U46" s="22">
        <f>SUBTOTAL(9,$T10:U10)</f>
        <v>0</v>
      </c>
      <c r="V46" s="22">
        <f>SUBTOTAL(9,$T10:V10)</f>
        <v>0</v>
      </c>
      <c r="W46" s="22">
        <f>SUBTOTAL(9,$T10:W10)</f>
        <v>0</v>
      </c>
      <c r="X46" s="22">
        <f>SUBTOTAL(9,$T10:X10)</f>
        <v>0</v>
      </c>
      <c r="Y46" s="22">
        <f>SUBTOTAL(9,$T10:Y10)</f>
        <v>0</v>
      </c>
      <c r="Z46" s="22">
        <f>SUBTOTAL(9,$T10:Z10)</f>
        <v>0</v>
      </c>
      <c r="AA46" s="22">
        <f>SUBTOTAL(9,$T10:AA10)</f>
        <v>0</v>
      </c>
      <c r="AB46" s="22">
        <f>SUBTOTAL(9,$T10:AB10)</f>
        <v>0</v>
      </c>
      <c r="AC46" s="22">
        <f>SUBTOTAL(9,$T10:AC10)</f>
        <v>0</v>
      </c>
      <c r="AD46" s="22">
        <f>SUBTOTAL(9,$T10:AD10)</f>
        <v>0</v>
      </c>
      <c r="AE46" s="22">
        <f>SUBTOTAL(9,$T10:AE10)</f>
        <v>0</v>
      </c>
      <c r="AF46" s="22">
        <f>SUBTOTAL(9,$T10:AF10)</f>
        <v>0</v>
      </c>
      <c r="AG46" s="22">
        <f>SUBTOTAL(9,$T10:AG10)</f>
        <v>0</v>
      </c>
      <c r="AH46" s="22">
        <f>SUBTOTAL(9,$T10:AH10)</f>
        <v>0</v>
      </c>
      <c r="AI46" s="22">
        <f>SUBTOTAL(9,$T10:AI10)</f>
        <v>0</v>
      </c>
      <c r="AJ46" s="22">
        <f>SUBTOTAL(9,$T10:AJ10)</f>
        <v>0</v>
      </c>
    </row>
    <row r="47" spans="1:36" x14ac:dyDescent="0.25">
      <c r="A47" s="12" t="s">
        <v>25</v>
      </c>
      <c r="B47" s="13" t="s">
        <v>26</v>
      </c>
      <c r="C47" s="22">
        <f>SUBTOTAL(9,$C11:C11)</f>
        <v>0</v>
      </c>
      <c r="D47" s="22">
        <f>SUBTOTAL(9,$C11:D11)</f>
        <v>0</v>
      </c>
      <c r="E47" s="22">
        <f>SUBTOTAL(9,$C11:E11)</f>
        <v>0</v>
      </c>
      <c r="F47" s="22">
        <f>SUBTOTAL(9,$C11:F11)</f>
        <v>0</v>
      </c>
      <c r="G47" s="22">
        <f>SUBTOTAL(9,$C11:G11)</f>
        <v>0</v>
      </c>
      <c r="H47" s="22">
        <f>SUBTOTAL(9,$C11:H11)</f>
        <v>0</v>
      </c>
      <c r="I47" s="22">
        <f>SUBTOTAL(9,$C11:I11)</f>
        <v>0</v>
      </c>
      <c r="J47" s="22">
        <f>SUBTOTAL(9,$C11:J11)</f>
        <v>0</v>
      </c>
      <c r="K47" s="22">
        <f>SUBTOTAL(9,$C11:K11)</f>
        <v>0</v>
      </c>
      <c r="L47" s="22">
        <f>SUBTOTAL(9,$C11:L11)</f>
        <v>0</v>
      </c>
      <c r="M47" s="22">
        <f>SUBTOTAL(9,$C11:M11)</f>
        <v>0</v>
      </c>
      <c r="N47" s="22">
        <f>SUBTOTAL(9,$C11:N11)</f>
        <v>0</v>
      </c>
      <c r="O47" s="22">
        <f>SUBTOTAL(9,$C11:O11)</f>
        <v>0</v>
      </c>
      <c r="P47" s="22">
        <f>SUBTOTAL(9,$C11:P11)</f>
        <v>0</v>
      </c>
      <c r="Q47" s="22">
        <f>SUBTOTAL(9,$C11:Q11)</f>
        <v>0</v>
      </c>
      <c r="R47" s="22">
        <f>SUBTOTAL(9,$C11:R11)</f>
        <v>0</v>
      </c>
      <c r="S47" s="22">
        <f>SUBTOTAL(9,$C11:S11)</f>
        <v>0</v>
      </c>
      <c r="T47" s="22">
        <f>SUBTOTAL(9,$T11:T11)</f>
        <v>0</v>
      </c>
      <c r="U47" s="22">
        <f>SUBTOTAL(9,$T11:U11)</f>
        <v>0</v>
      </c>
      <c r="V47" s="22">
        <f>SUBTOTAL(9,$T11:V11)</f>
        <v>0</v>
      </c>
      <c r="W47" s="22">
        <f>SUBTOTAL(9,$T11:W11)</f>
        <v>0</v>
      </c>
      <c r="X47" s="22">
        <f>SUBTOTAL(9,$T11:X11)</f>
        <v>0</v>
      </c>
      <c r="Y47" s="22">
        <f>SUBTOTAL(9,$T11:Y11)</f>
        <v>0</v>
      </c>
      <c r="Z47" s="22">
        <f>SUBTOTAL(9,$T11:Z11)</f>
        <v>0</v>
      </c>
      <c r="AA47" s="22">
        <f>SUBTOTAL(9,$T11:AA11)</f>
        <v>0</v>
      </c>
      <c r="AB47" s="22">
        <f>SUBTOTAL(9,$T11:AB11)</f>
        <v>0</v>
      </c>
      <c r="AC47" s="22">
        <f>SUBTOTAL(9,$T11:AC11)</f>
        <v>0</v>
      </c>
      <c r="AD47" s="22">
        <f>SUBTOTAL(9,$T11:AD11)</f>
        <v>0</v>
      </c>
      <c r="AE47" s="22">
        <f>SUBTOTAL(9,$T11:AE11)</f>
        <v>0</v>
      </c>
      <c r="AF47" s="22">
        <f>SUBTOTAL(9,$T11:AF11)</f>
        <v>0</v>
      </c>
      <c r="AG47" s="22">
        <f>SUBTOTAL(9,$T11:AG11)</f>
        <v>0</v>
      </c>
      <c r="AH47" s="22">
        <f>SUBTOTAL(9,$T11:AH11)</f>
        <v>0</v>
      </c>
      <c r="AI47" s="22">
        <f>SUBTOTAL(9,$T11:AI11)</f>
        <v>0</v>
      </c>
      <c r="AJ47" s="22">
        <f>SUBTOTAL(9,$T11:AJ11)</f>
        <v>0</v>
      </c>
    </row>
    <row r="48" spans="1:36" x14ac:dyDescent="0.25">
      <c r="A48" s="12" t="s">
        <v>27</v>
      </c>
      <c r="B48" s="13" t="s">
        <v>28</v>
      </c>
      <c r="C48" s="22">
        <f>SUBTOTAL(9,$C12:C12)</f>
        <v>0</v>
      </c>
      <c r="D48" s="22">
        <f>SUBTOTAL(9,$C12:D12)</f>
        <v>0</v>
      </c>
      <c r="E48" s="22">
        <f>SUBTOTAL(9,$C12:E12)</f>
        <v>0</v>
      </c>
      <c r="F48" s="22">
        <f>SUBTOTAL(9,$C12:F12)</f>
        <v>0</v>
      </c>
      <c r="G48" s="22">
        <f>SUBTOTAL(9,$C12:G12)</f>
        <v>0</v>
      </c>
      <c r="H48" s="22">
        <f>SUBTOTAL(9,$C12:H12)</f>
        <v>0</v>
      </c>
      <c r="I48" s="22">
        <f>SUBTOTAL(9,$C12:I12)</f>
        <v>0</v>
      </c>
      <c r="J48" s="22">
        <f>SUBTOTAL(9,$C12:J12)</f>
        <v>0</v>
      </c>
      <c r="K48" s="22">
        <f>SUBTOTAL(9,$C12:K12)</f>
        <v>0</v>
      </c>
      <c r="L48" s="22">
        <f>SUBTOTAL(9,$C12:L12)</f>
        <v>0</v>
      </c>
      <c r="M48" s="22">
        <f>SUBTOTAL(9,$C12:M12)</f>
        <v>0</v>
      </c>
      <c r="N48" s="22">
        <f>SUBTOTAL(9,$C12:N12)</f>
        <v>0</v>
      </c>
      <c r="O48" s="22">
        <f>SUBTOTAL(9,$C12:O12)</f>
        <v>0</v>
      </c>
      <c r="P48" s="22">
        <f>SUBTOTAL(9,$C12:P12)</f>
        <v>0</v>
      </c>
      <c r="Q48" s="22">
        <f>SUBTOTAL(9,$C12:Q12)</f>
        <v>0</v>
      </c>
      <c r="R48" s="22">
        <f>SUBTOTAL(9,$C12:R12)</f>
        <v>0</v>
      </c>
      <c r="S48" s="22">
        <f>SUBTOTAL(9,$C12:S12)</f>
        <v>0</v>
      </c>
      <c r="T48" s="22">
        <f>SUBTOTAL(9,$T12:T12)</f>
        <v>0</v>
      </c>
      <c r="U48" s="22">
        <f>SUBTOTAL(9,$T12:U12)</f>
        <v>0</v>
      </c>
      <c r="V48" s="22">
        <f>SUBTOTAL(9,$T12:V12)</f>
        <v>0</v>
      </c>
      <c r="W48" s="22">
        <f>SUBTOTAL(9,$T12:W12)</f>
        <v>0</v>
      </c>
      <c r="X48" s="22">
        <f>SUBTOTAL(9,$T12:X12)</f>
        <v>0</v>
      </c>
      <c r="Y48" s="22">
        <f>SUBTOTAL(9,$T12:Y12)</f>
        <v>0</v>
      </c>
      <c r="Z48" s="22">
        <f>SUBTOTAL(9,$T12:Z12)</f>
        <v>0</v>
      </c>
      <c r="AA48" s="22">
        <f>SUBTOTAL(9,$T12:AA12)</f>
        <v>0</v>
      </c>
      <c r="AB48" s="22">
        <f>SUBTOTAL(9,$T12:AB12)</f>
        <v>0</v>
      </c>
      <c r="AC48" s="22">
        <f>SUBTOTAL(9,$T12:AC12)</f>
        <v>0</v>
      </c>
      <c r="AD48" s="22">
        <f>SUBTOTAL(9,$T12:AD12)</f>
        <v>0</v>
      </c>
      <c r="AE48" s="22">
        <f>SUBTOTAL(9,$T12:AE12)</f>
        <v>0</v>
      </c>
      <c r="AF48" s="22">
        <f>SUBTOTAL(9,$T12:AF12)</f>
        <v>0</v>
      </c>
      <c r="AG48" s="22">
        <f>SUBTOTAL(9,$T12:AG12)</f>
        <v>0</v>
      </c>
      <c r="AH48" s="22">
        <f>SUBTOTAL(9,$T12:AH12)</f>
        <v>0</v>
      </c>
      <c r="AI48" s="22">
        <f>SUBTOTAL(9,$T12:AI12)</f>
        <v>0</v>
      </c>
      <c r="AJ48" s="22">
        <f>SUBTOTAL(9,$T12:AJ12)</f>
        <v>0</v>
      </c>
    </row>
    <row r="49" spans="1:36" x14ac:dyDescent="0.25">
      <c r="A49" s="12" t="s">
        <v>29</v>
      </c>
      <c r="B49" s="13" t="s">
        <v>30</v>
      </c>
      <c r="C49" s="22">
        <f>SUBTOTAL(9,$C13:C13)</f>
        <v>0</v>
      </c>
      <c r="D49" s="22">
        <f>SUBTOTAL(9,$C13:D13)</f>
        <v>0</v>
      </c>
      <c r="E49" s="22">
        <f>SUBTOTAL(9,$C13:E13)</f>
        <v>0</v>
      </c>
      <c r="F49" s="22">
        <f>SUBTOTAL(9,$C13:F13)</f>
        <v>0</v>
      </c>
      <c r="G49" s="22">
        <f>SUBTOTAL(9,$C13:G13)</f>
        <v>2</v>
      </c>
      <c r="H49" s="22">
        <f>SUBTOTAL(9,$C13:H13)</f>
        <v>2</v>
      </c>
      <c r="I49" s="22">
        <f>SUBTOTAL(9,$C13:I13)</f>
        <v>4</v>
      </c>
      <c r="J49" s="22">
        <f>SUBTOTAL(9,$C13:J13)</f>
        <v>4</v>
      </c>
      <c r="K49" s="22">
        <f>SUBTOTAL(9,$C13:K13)</f>
        <v>4</v>
      </c>
      <c r="L49" s="22">
        <f>SUBTOTAL(9,$C13:L13)</f>
        <v>4</v>
      </c>
      <c r="M49" s="22">
        <f>SUBTOTAL(9,$C13:M13)</f>
        <v>4</v>
      </c>
      <c r="N49" s="22">
        <f>SUBTOTAL(9,$C13:N13)</f>
        <v>4</v>
      </c>
      <c r="O49" s="22">
        <f>SUBTOTAL(9,$C13:O13)</f>
        <v>5</v>
      </c>
      <c r="P49" s="22">
        <f>SUBTOTAL(9,$C13:P13)</f>
        <v>5</v>
      </c>
      <c r="Q49" s="22">
        <f>SUBTOTAL(9,$C13:Q13)</f>
        <v>5</v>
      </c>
      <c r="R49" s="22">
        <f>SUBTOTAL(9,$C13:R13)</f>
        <v>5</v>
      </c>
      <c r="S49" s="22">
        <f>SUBTOTAL(9,$C13:S13)</f>
        <v>5</v>
      </c>
      <c r="T49" s="22">
        <f>SUBTOTAL(9,$T13:T13)</f>
        <v>0</v>
      </c>
      <c r="U49" s="22">
        <f>SUBTOTAL(9,$T13:U13)</f>
        <v>0</v>
      </c>
      <c r="V49" s="22">
        <f>SUBTOTAL(9,$T13:V13)</f>
        <v>0</v>
      </c>
      <c r="W49" s="22">
        <f>SUBTOTAL(9,$T13:W13)</f>
        <v>0</v>
      </c>
      <c r="X49" s="22">
        <f>SUBTOTAL(9,$T13:X13)</f>
        <v>0</v>
      </c>
      <c r="Y49" s="22">
        <f>SUBTOTAL(9,$T13:Y13)</f>
        <v>0</v>
      </c>
      <c r="Z49" s="22">
        <f>SUBTOTAL(9,$T13:Z13)</f>
        <v>1</v>
      </c>
      <c r="AA49" s="22">
        <f>SUBTOTAL(9,$T13:AA13)</f>
        <v>1</v>
      </c>
      <c r="AB49" s="22">
        <f>SUBTOTAL(9,$T13:AB13)</f>
        <v>1</v>
      </c>
      <c r="AC49" s="22">
        <f>SUBTOTAL(9,$T13:AC13)</f>
        <v>1</v>
      </c>
      <c r="AD49" s="22">
        <f>SUBTOTAL(9,$T13:AD13)</f>
        <v>2</v>
      </c>
      <c r="AE49" s="22">
        <f>SUBTOTAL(9,$T13:AE13)</f>
        <v>2</v>
      </c>
      <c r="AF49" s="22">
        <f>SUBTOTAL(9,$T13:AF13)</f>
        <v>2</v>
      </c>
      <c r="AG49" s="22">
        <f>SUBTOTAL(9,$T13:AG13)</f>
        <v>2</v>
      </c>
      <c r="AH49" s="22">
        <f>SUBTOTAL(9,$T13:AH13)</f>
        <v>2</v>
      </c>
      <c r="AI49" s="22">
        <f>SUBTOTAL(9,$T13:AI13)</f>
        <v>2</v>
      </c>
      <c r="AJ49" s="22">
        <f>SUBTOTAL(9,$T13:AJ13)</f>
        <v>2</v>
      </c>
    </row>
    <row r="50" spans="1:36" x14ac:dyDescent="0.25">
      <c r="A50" s="12" t="s">
        <v>31</v>
      </c>
      <c r="B50" s="13" t="s">
        <v>32</v>
      </c>
      <c r="C50" s="22">
        <f>SUBTOTAL(9,$C14:C14)</f>
        <v>0</v>
      </c>
      <c r="D50" s="22">
        <f>SUBTOTAL(9,$C14:D14)</f>
        <v>0</v>
      </c>
      <c r="E50" s="22">
        <f>SUBTOTAL(9,$C14:E14)</f>
        <v>0</v>
      </c>
      <c r="F50" s="22">
        <f>SUBTOTAL(9,$C14:F14)</f>
        <v>0</v>
      </c>
      <c r="G50" s="22">
        <f>SUBTOTAL(9,$C14:G14)</f>
        <v>0</v>
      </c>
      <c r="H50" s="22">
        <f>SUBTOTAL(9,$C14:H14)</f>
        <v>0</v>
      </c>
      <c r="I50" s="22">
        <f>SUBTOTAL(9,$C14:I14)</f>
        <v>0</v>
      </c>
      <c r="J50" s="22">
        <f>SUBTOTAL(9,$C14:J14)</f>
        <v>0</v>
      </c>
      <c r="K50" s="22">
        <f>SUBTOTAL(9,$C14:K14)</f>
        <v>0</v>
      </c>
      <c r="L50" s="22">
        <f>SUBTOTAL(9,$C14:L14)</f>
        <v>0</v>
      </c>
      <c r="M50" s="22">
        <f>SUBTOTAL(9,$C14:M14)</f>
        <v>0</v>
      </c>
      <c r="N50" s="22">
        <f>SUBTOTAL(9,$C14:N14)</f>
        <v>0</v>
      </c>
      <c r="O50" s="22">
        <f>SUBTOTAL(9,$C14:O14)</f>
        <v>0</v>
      </c>
      <c r="P50" s="22">
        <f>SUBTOTAL(9,$C14:P14)</f>
        <v>0</v>
      </c>
      <c r="Q50" s="22">
        <f>SUBTOTAL(9,$C14:Q14)</f>
        <v>0</v>
      </c>
      <c r="R50" s="22">
        <f>SUBTOTAL(9,$C14:R14)</f>
        <v>0</v>
      </c>
      <c r="S50" s="22">
        <f>SUBTOTAL(9,$C14:S14)</f>
        <v>0</v>
      </c>
      <c r="T50" s="22">
        <f>SUBTOTAL(9,$T14:T14)</f>
        <v>0</v>
      </c>
      <c r="U50" s="22">
        <f>SUBTOTAL(9,$T14:U14)</f>
        <v>0</v>
      </c>
      <c r="V50" s="22">
        <f>SUBTOTAL(9,$T14:V14)</f>
        <v>0</v>
      </c>
      <c r="W50" s="22">
        <f>SUBTOTAL(9,$T14:W14)</f>
        <v>0</v>
      </c>
      <c r="X50" s="22">
        <f>SUBTOTAL(9,$T14:X14)</f>
        <v>0</v>
      </c>
      <c r="Y50" s="22">
        <f>SUBTOTAL(9,$T14:Y14)</f>
        <v>0</v>
      </c>
      <c r="Z50" s="22">
        <f>SUBTOTAL(9,$T14:Z14)</f>
        <v>1</v>
      </c>
      <c r="AA50" s="22">
        <f>SUBTOTAL(9,$T14:AA14)</f>
        <v>1</v>
      </c>
      <c r="AB50" s="22">
        <f>SUBTOTAL(9,$T14:AB14)</f>
        <v>1</v>
      </c>
      <c r="AC50" s="22">
        <f>SUBTOTAL(9,$T14:AC14)</f>
        <v>1</v>
      </c>
      <c r="AD50" s="22">
        <f>SUBTOTAL(9,$T14:AD14)</f>
        <v>1</v>
      </c>
      <c r="AE50" s="22">
        <f>SUBTOTAL(9,$T14:AE14)</f>
        <v>1</v>
      </c>
      <c r="AF50" s="22">
        <f>SUBTOTAL(9,$T14:AF14)</f>
        <v>1</v>
      </c>
      <c r="AG50" s="22">
        <f>SUBTOTAL(9,$T14:AG14)</f>
        <v>1</v>
      </c>
      <c r="AH50" s="22">
        <f>SUBTOTAL(9,$T14:AH14)</f>
        <v>1</v>
      </c>
      <c r="AI50" s="22">
        <f>SUBTOTAL(9,$T14:AI14)</f>
        <v>1</v>
      </c>
      <c r="AJ50" s="22">
        <f>SUBTOTAL(9,$T14:AJ14)</f>
        <v>1</v>
      </c>
    </row>
    <row r="51" spans="1:36" x14ac:dyDescent="0.25">
      <c r="A51" s="12" t="s">
        <v>33</v>
      </c>
      <c r="B51" s="13" t="s">
        <v>34</v>
      </c>
      <c r="C51" s="22">
        <f>SUBTOTAL(9,$C15:C15)</f>
        <v>0</v>
      </c>
      <c r="D51" s="22">
        <f>SUBTOTAL(9,$C15:D15)</f>
        <v>0</v>
      </c>
      <c r="E51" s="22">
        <f>SUBTOTAL(9,$C15:E15)</f>
        <v>0</v>
      </c>
      <c r="F51" s="22">
        <f>SUBTOTAL(9,$C15:F15)</f>
        <v>0</v>
      </c>
      <c r="G51" s="22">
        <f>SUBTOTAL(9,$C15:G15)</f>
        <v>0</v>
      </c>
      <c r="H51" s="22">
        <f>SUBTOTAL(9,$C15:H15)</f>
        <v>0</v>
      </c>
      <c r="I51" s="22">
        <f>SUBTOTAL(9,$C15:I15)</f>
        <v>0</v>
      </c>
      <c r="J51" s="22">
        <f>SUBTOTAL(9,$C15:J15)</f>
        <v>0</v>
      </c>
      <c r="K51" s="22">
        <f>SUBTOTAL(9,$C15:K15)</f>
        <v>0</v>
      </c>
      <c r="L51" s="22">
        <f>SUBTOTAL(9,$C15:L15)</f>
        <v>0</v>
      </c>
      <c r="M51" s="22">
        <f>SUBTOTAL(9,$C15:M15)</f>
        <v>0</v>
      </c>
      <c r="N51" s="22">
        <f>SUBTOTAL(9,$C15:N15)</f>
        <v>0</v>
      </c>
      <c r="O51" s="22">
        <f>SUBTOTAL(9,$C15:O15)</f>
        <v>0</v>
      </c>
      <c r="P51" s="22">
        <f>SUBTOTAL(9,$C15:P15)</f>
        <v>0</v>
      </c>
      <c r="Q51" s="22">
        <f>SUBTOTAL(9,$C15:Q15)</f>
        <v>0</v>
      </c>
      <c r="R51" s="22">
        <f>SUBTOTAL(9,$C15:R15)</f>
        <v>0</v>
      </c>
      <c r="S51" s="22">
        <f>SUBTOTAL(9,$C15:S15)</f>
        <v>0</v>
      </c>
      <c r="T51" s="22">
        <f>SUBTOTAL(9,$T15:T15)</f>
        <v>0</v>
      </c>
      <c r="U51" s="22">
        <f>SUBTOTAL(9,$T15:U15)</f>
        <v>0</v>
      </c>
      <c r="V51" s="22">
        <f>SUBTOTAL(9,$T15:V15)</f>
        <v>0</v>
      </c>
      <c r="W51" s="22">
        <f>SUBTOTAL(9,$T15:W15)</f>
        <v>0</v>
      </c>
      <c r="X51" s="22">
        <f>SUBTOTAL(9,$T15:X15)</f>
        <v>0</v>
      </c>
      <c r="Y51" s="22">
        <f>SUBTOTAL(9,$T15:Y15)</f>
        <v>0</v>
      </c>
      <c r="Z51" s="22">
        <f>SUBTOTAL(9,$T15:Z15)</f>
        <v>0</v>
      </c>
      <c r="AA51" s="22">
        <f>SUBTOTAL(9,$T15:AA15)</f>
        <v>0</v>
      </c>
      <c r="AB51" s="22">
        <f>SUBTOTAL(9,$T15:AB15)</f>
        <v>0</v>
      </c>
      <c r="AC51" s="22">
        <f>SUBTOTAL(9,$T15:AC15)</f>
        <v>0</v>
      </c>
      <c r="AD51" s="22">
        <f>SUBTOTAL(9,$T15:AD15)</f>
        <v>0</v>
      </c>
      <c r="AE51" s="22">
        <f>SUBTOTAL(9,$T15:AE15)</f>
        <v>0</v>
      </c>
      <c r="AF51" s="22">
        <f>SUBTOTAL(9,$T15:AF15)</f>
        <v>0</v>
      </c>
      <c r="AG51" s="22">
        <f>SUBTOTAL(9,$T15:AG15)</f>
        <v>0</v>
      </c>
      <c r="AH51" s="22">
        <f>SUBTOTAL(9,$T15:AH15)</f>
        <v>0</v>
      </c>
      <c r="AI51" s="22">
        <f>SUBTOTAL(9,$T15:AI15)</f>
        <v>0</v>
      </c>
      <c r="AJ51" s="22">
        <f>SUBTOTAL(9,$T15:AJ15)</f>
        <v>0</v>
      </c>
    </row>
    <row r="52" spans="1:36" x14ac:dyDescent="0.25">
      <c r="A52" s="12" t="s">
        <v>35</v>
      </c>
      <c r="B52" s="13" t="s">
        <v>36</v>
      </c>
      <c r="C52" s="22">
        <f>SUBTOTAL(9,$C16:C16)</f>
        <v>0</v>
      </c>
      <c r="D52" s="22">
        <f>SUBTOTAL(9,$C16:D16)</f>
        <v>0</v>
      </c>
      <c r="E52" s="22">
        <f>SUBTOTAL(9,$C16:E16)</f>
        <v>0</v>
      </c>
      <c r="F52" s="22">
        <f>SUBTOTAL(9,$C16:F16)</f>
        <v>0</v>
      </c>
      <c r="G52" s="22">
        <f>SUBTOTAL(9,$C16:G16)</f>
        <v>0</v>
      </c>
      <c r="H52" s="22">
        <f>SUBTOTAL(9,$C16:H16)</f>
        <v>0</v>
      </c>
      <c r="I52" s="22">
        <f>SUBTOTAL(9,$C16:I16)</f>
        <v>2</v>
      </c>
      <c r="J52" s="22">
        <f>SUBTOTAL(9,$C16:J16)</f>
        <v>2</v>
      </c>
      <c r="K52" s="22">
        <f>SUBTOTAL(9,$C16:K16)</f>
        <v>2</v>
      </c>
      <c r="L52" s="22">
        <f>SUBTOTAL(9,$C16:L16)</f>
        <v>2</v>
      </c>
      <c r="M52" s="22">
        <f>SUBTOTAL(9,$C16:M16)</f>
        <v>2</v>
      </c>
      <c r="N52" s="22">
        <f>SUBTOTAL(9,$C16:N16)</f>
        <v>2</v>
      </c>
      <c r="O52" s="22">
        <f>SUBTOTAL(9,$C16:O16)</f>
        <v>3</v>
      </c>
      <c r="P52" s="22">
        <f>SUBTOTAL(9,$C16:P16)</f>
        <v>3</v>
      </c>
      <c r="Q52" s="22">
        <f>SUBTOTAL(9,$C16:Q16)</f>
        <v>3</v>
      </c>
      <c r="R52" s="22">
        <f>SUBTOTAL(9,$C16:R16)</f>
        <v>3</v>
      </c>
      <c r="S52" s="22">
        <f>SUBTOTAL(9,$C16:S16)</f>
        <v>3</v>
      </c>
      <c r="T52" s="22">
        <f>SUBTOTAL(9,$T16:T16)</f>
        <v>0</v>
      </c>
      <c r="U52" s="22">
        <f>SUBTOTAL(9,$T16:U16)</f>
        <v>0</v>
      </c>
      <c r="V52" s="22">
        <f>SUBTOTAL(9,$T16:V16)</f>
        <v>0</v>
      </c>
      <c r="W52" s="22">
        <f>SUBTOTAL(9,$T16:W16)</f>
        <v>0</v>
      </c>
      <c r="X52" s="22">
        <f>SUBTOTAL(9,$T16:X16)</f>
        <v>0</v>
      </c>
      <c r="Y52" s="22">
        <f>SUBTOTAL(9,$T16:Y16)</f>
        <v>0</v>
      </c>
      <c r="Z52" s="22">
        <f>SUBTOTAL(9,$T16:Z16)</f>
        <v>5</v>
      </c>
      <c r="AA52" s="22">
        <f>SUBTOTAL(9,$T16:AA16)</f>
        <v>5</v>
      </c>
      <c r="AB52" s="22">
        <f>SUBTOTAL(9,$T16:AB16)</f>
        <v>5</v>
      </c>
      <c r="AC52" s="22">
        <f>SUBTOTAL(9,$T16:AC16)</f>
        <v>5</v>
      </c>
      <c r="AD52" s="22">
        <f>SUBTOTAL(9,$T16:AD16)</f>
        <v>5</v>
      </c>
      <c r="AE52" s="22">
        <f>SUBTOTAL(9,$T16:AE16)</f>
        <v>5</v>
      </c>
      <c r="AF52" s="22">
        <f>SUBTOTAL(9,$T16:AF16)</f>
        <v>5</v>
      </c>
      <c r="AG52" s="22">
        <f>SUBTOTAL(9,$T16:AG16)</f>
        <v>5</v>
      </c>
      <c r="AH52" s="22">
        <f>SUBTOTAL(9,$T16:AH16)</f>
        <v>5</v>
      </c>
      <c r="AI52" s="22">
        <f>SUBTOTAL(9,$T16:AI16)</f>
        <v>5</v>
      </c>
      <c r="AJ52" s="22">
        <f>SUBTOTAL(9,$T16:AJ16)</f>
        <v>5</v>
      </c>
    </row>
    <row r="53" spans="1:36" x14ac:dyDescent="0.25">
      <c r="A53" s="12" t="s">
        <v>37</v>
      </c>
      <c r="B53" s="13" t="s">
        <v>38</v>
      </c>
      <c r="C53" s="22">
        <f>SUBTOTAL(9,$C17:C17)</f>
        <v>0</v>
      </c>
      <c r="D53" s="22">
        <f>SUBTOTAL(9,$C17:D17)</f>
        <v>0</v>
      </c>
      <c r="E53" s="22">
        <f>SUBTOTAL(9,$C17:E17)</f>
        <v>0</v>
      </c>
      <c r="F53" s="22">
        <f>SUBTOTAL(9,$C17:F17)</f>
        <v>0</v>
      </c>
      <c r="G53" s="22">
        <f>SUBTOTAL(9,$C17:G17)</f>
        <v>0</v>
      </c>
      <c r="H53" s="22">
        <f>SUBTOTAL(9,$C17:H17)</f>
        <v>0</v>
      </c>
      <c r="I53" s="22">
        <f>SUBTOTAL(9,$C17:I17)</f>
        <v>0</v>
      </c>
      <c r="J53" s="22">
        <f>SUBTOTAL(9,$C17:J17)</f>
        <v>0</v>
      </c>
      <c r="K53" s="22">
        <f>SUBTOTAL(9,$C17:K17)</f>
        <v>0</v>
      </c>
      <c r="L53" s="22">
        <f>SUBTOTAL(9,$C17:L17)</f>
        <v>1</v>
      </c>
      <c r="M53" s="22">
        <f>SUBTOTAL(9,$C17:M17)</f>
        <v>1</v>
      </c>
      <c r="N53" s="22">
        <f>SUBTOTAL(9,$C17:N17)</f>
        <v>1</v>
      </c>
      <c r="O53" s="22">
        <f>SUBTOTAL(9,$C17:O17)</f>
        <v>1</v>
      </c>
      <c r="P53" s="22">
        <f>SUBTOTAL(9,$C17:P17)</f>
        <v>1</v>
      </c>
      <c r="Q53" s="22">
        <f>SUBTOTAL(9,$C17:Q17)</f>
        <v>1</v>
      </c>
      <c r="R53" s="22">
        <f>SUBTOTAL(9,$C17:R17)</f>
        <v>1</v>
      </c>
      <c r="S53" s="22">
        <f>SUBTOTAL(9,$C17:S17)</f>
        <v>1</v>
      </c>
      <c r="T53" s="22">
        <f>SUBTOTAL(9,$T17:T17)</f>
        <v>0</v>
      </c>
      <c r="U53" s="22">
        <f>SUBTOTAL(9,$T17:U17)</f>
        <v>0</v>
      </c>
      <c r="V53" s="22">
        <f>SUBTOTAL(9,$T17:V17)</f>
        <v>0</v>
      </c>
      <c r="W53" s="22">
        <f>SUBTOTAL(9,$T17:W17)</f>
        <v>0</v>
      </c>
      <c r="X53" s="22">
        <f>SUBTOTAL(9,$T17:X17)</f>
        <v>0</v>
      </c>
      <c r="Y53" s="22">
        <f>SUBTOTAL(9,$T17:Y17)</f>
        <v>1</v>
      </c>
      <c r="Z53" s="22">
        <f>SUBTOTAL(9,$T17:Z17)</f>
        <v>2</v>
      </c>
      <c r="AA53" s="22">
        <f>SUBTOTAL(9,$T17:AA17)</f>
        <v>2</v>
      </c>
      <c r="AB53" s="22">
        <f>SUBTOTAL(9,$T17:AB17)</f>
        <v>2</v>
      </c>
      <c r="AC53" s="22">
        <f>SUBTOTAL(9,$T17:AC17)</f>
        <v>2</v>
      </c>
      <c r="AD53" s="22">
        <f>SUBTOTAL(9,$T17:AD17)</f>
        <v>2</v>
      </c>
      <c r="AE53" s="22">
        <f>SUBTOTAL(9,$T17:AE17)</f>
        <v>2</v>
      </c>
      <c r="AF53" s="22">
        <f>SUBTOTAL(9,$T17:AF17)</f>
        <v>2</v>
      </c>
      <c r="AG53" s="22">
        <f>SUBTOTAL(9,$T17:AG17)</f>
        <v>2</v>
      </c>
      <c r="AH53" s="22">
        <f>SUBTOTAL(9,$T17:AH17)</f>
        <v>2</v>
      </c>
      <c r="AI53" s="22">
        <f>SUBTOTAL(9,$T17:AI17)</f>
        <v>2</v>
      </c>
      <c r="AJ53" s="22">
        <f>SUBTOTAL(9,$T17:AJ17)</f>
        <v>2</v>
      </c>
    </row>
    <row r="54" spans="1:36" x14ac:dyDescent="0.25">
      <c r="A54" s="12" t="s">
        <v>39</v>
      </c>
      <c r="B54" s="13" t="s">
        <v>40</v>
      </c>
      <c r="C54" s="22">
        <f>SUBTOTAL(9,$C18:C18)</f>
        <v>2</v>
      </c>
      <c r="D54" s="22">
        <f>SUBTOTAL(9,$C18:D18)</f>
        <v>4</v>
      </c>
      <c r="E54" s="22">
        <f>SUBTOTAL(9,$C18:E18)</f>
        <v>4</v>
      </c>
      <c r="F54" s="22">
        <f>SUBTOTAL(9,$C18:F18)</f>
        <v>4</v>
      </c>
      <c r="G54" s="22">
        <f>SUBTOTAL(9,$C18:G18)</f>
        <v>4</v>
      </c>
      <c r="H54" s="22">
        <f>SUBTOTAL(9,$C18:H18)</f>
        <v>7</v>
      </c>
      <c r="I54" s="22">
        <f>SUBTOTAL(9,$C18:I18)</f>
        <v>9</v>
      </c>
      <c r="J54" s="22">
        <f>SUBTOTAL(9,$C18:J18)</f>
        <v>9</v>
      </c>
      <c r="K54" s="22">
        <f>SUBTOTAL(9,$C18:K18)</f>
        <v>9</v>
      </c>
      <c r="L54" s="22">
        <f>SUBTOTAL(9,$C18:L18)</f>
        <v>10</v>
      </c>
      <c r="M54" s="22">
        <f>SUBTOTAL(9,$C18:M18)</f>
        <v>11</v>
      </c>
      <c r="N54" s="22">
        <f>SUBTOTAL(9,$C18:N18)</f>
        <v>11</v>
      </c>
      <c r="O54" s="22">
        <f>SUBTOTAL(9,$C18:O18)</f>
        <v>11</v>
      </c>
      <c r="P54" s="22">
        <f>SUBTOTAL(9,$C18:P18)</f>
        <v>11</v>
      </c>
      <c r="Q54" s="22">
        <f>SUBTOTAL(9,$C18:Q18)</f>
        <v>11</v>
      </c>
      <c r="R54" s="22">
        <f>SUBTOTAL(9,$C18:R18)</f>
        <v>11</v>
      </c>
      <c r="S54" s="22">
        <f>SUBTOTAL(9,$C18:S18)</f>
        <v>11</v>
      </c>
      <c r="T54" s="22">
        <f>SUBTOTAL(9,$T18:T18)</f>
        <v>0</v>
      </c>
      <c r="U54" s="22">
        <f>SUBTOTAL(9,$T18:U18)</f>
        <v>1</v>
      </c>
      <c r="V54" s="22">
        <f>SUBTOTAL(9,$T18:V18)</f>
        <v>1</v>
      </c>
      <c r="W54" s="22">
        <f>SUBTOTAL(9,$T18:W18)</f>
        <v>1</v>
      </c>
      <c r="X54" s="22">
        <f>SUBTOTAL(9,$T18:X18)</f>
        <v>2</v>
      </c>
      <c r="Y54" s="22">
        <f>SUBTOTAL(9,$T18:Y18)</f>
        <v>4</v>
      </c>
      <c r="Z54" s="22">
        <f>SUBTOTAL(9,$T18:Z18)</f>
        <v>9</v>
      </c>
      <c r="AA54" s="22">
        <f>SUBTOTAL(9,$T18:AA18)</f>
        <v>9</v>
      </c>
      <c r="AB54" s="22">
        <f>SUBTOTAL(9,$T18:AB18)</f>
        <v>9</v>
      </c>
      <c r="AC54" s="22">
        <f>SUBTOTAL(9,$T18:AC18)</f>
        <v>9</v>
      </c>
      <c r="AD54" s="22">
        <f>SUBTOTAL(9,$T18:AD18)</f>
        <v>9</v>
      </c>
      <c r="AE54" s="22">
        <f>SUBTOTAL(9,$T18:AE18)</f>
        <v>9</v>
      </c>
      <c r="AF54" s="22">
        <f>SUBTOTAL(9,$T18:AF18)</f>
        <v>9</v>
      </c>
      <c r="AG54" s="22">
        <f>SUBTOTAL(9,$T18:AG18)</f>
        <v>10</v>
      </c>
      <c r="AH54" s="22">
        <f>SUBTOTAL(9,$T18:AH18)</f>
        <v>10</v>
      </c>
      <c r="AI54" s="22">
        <f>SUBTOTAL(9,$T18:AI18)</f>
        <v>10</v>
      </c>
      <c r="AJ54" s="22">
        <f>SUBTOTAL(9,$T18:AJ18)</f>
        <v>10</v>
      </c>
    </row>
    <row r="55" spans="1:36" x14ac:dyDescent="0.25">
      <c r="A55" s="12" t="s">
        <v>41</v>
      </c>
      <c r="B55" s="13" t="s">
        <v>42</v>
      </c>
      <c r="C55" s="22">
        <f>SUBTOTAL(9,$C19:C19)</f>
        <v>1</v>
      </c>
      <c r="D55" s="22">
        <f>SUBTOTAL(9,$C19:D19)</f>
        <v>1</v>
      </c>
      <c r="E55" s="22">
        <f>SUBTOTAL(9,$C19:E19)</f>
        <v>1</v>
      </c>
      <c r="F55" s="22">
        <f>SUBTOTAL(9,$C19:F19)</f>
        <v>1</v>
      </c>
      <c r="G55" s="22">
        <f>SUBTOTAL(9,$C19:G19)</f>
        <v>3</v>
      </c>
      <c r="H55" s="22">
        <f>SUBTOTAL(9,$C19:H19)</f>
        <v>5</v>
      </c>
      <c r="I55" s="22">
        <f>SUBTOTAL(9,$C19:I19)</f>
        <v>5</v>
      </c>
      <c r="J55" s="22">
        <f>SUBTOTAL(9,$C19:J19)</f>
        <v>5</v>
      </c>
      <c r="K55" s="22">
        <f>SUBTOTAL(9,$C19:K19)</f>
        <v>5</v>
      </c>
      <c r="L55" s="22">
        <f>SUBTOTAL(9,$C19:L19)</f>
        <v>5</v>
      </c>
      <c r="M55" s="22">
        <f>SUBTOTAL(9,$C19:M19)</f>
        <v>5</v>
      </c>
      <c r="N55" s="22">
        <f>SUBTOTAL(9,$C19:N19)</f>
        <v>5</v>
      </c>
      <c r="O55" s="22">
        <f>SUBTOTAL(9,$C19:O19)</f>
        <v>5</v>
      </c>
      <c r="P55" s="22">
        <f>SUBTOTAL(9,$C19:P19)</f>
        <v>5</v>
      </c>
      <c r="Q55" s="22">
        <f>SUBTOTAL(9,$C19:Q19)</f>
        <v>5</v>
      </c>
      <c r="R55" s="22">
        <f>SUBTOTAL(9,$C19:R19)</f>
        <v>5</v>
      </c>
      <c r="S55" s="22">
        <f>SUBTOTAL(9,$C19:S19)</f>
        <v>5</v>
      </c>
      <c r="T55" s="22">
        <f>SUBTOTAL(9,$T19:T19)</f>
        <v>0</v>
      </c>
      <c r="U55" s="22">
        <f>SUBTOTAL(9,$T19:U19)</f>
        <v>0</v>
      </c>
      <c r="V55" s="22">
        <f>SUBTOTAL(9,$T19:V19)</f>
        <v>2</v>
      </c>
      <c r="W55" s="22">
        <f>SUBTOTAL(9,$T19:W19)</f>
        <v>2</v>
      </c>
      <c r="X55" s="22">
        <f>SUBTOTAL(9,$T19:X19)</f>
        <v>2</v>
      </c>
      <c r="Y55" s="22">
        <f>SUBTOTAL(9,$T19:Y19)</f>
        <v>2</v>
      </c>
      <c r="Z55" s="22">
        <f>SUBTOTAL(9,$T19:Z19)</f>
        <v>3</v>
      </c>
      <c r="AA55" s="22">
        <f>SUBTOTAL(9,$T19:AA19)</f>
        <v>3</v>
      </c>
      <c r="AB55" s="22">
        <f>SUBTOTAL(9,$T19:AB19)</f>
        <v>3</v>
      </c>
      <c r="AC55" s="22">
        <f>SUBTOTAL(9,$T19:AC19)</f>
        <v>3</v>
      </c>
      <c r="AD55" s="22">
        <f>SUBTOTAL(9,$T19:AD19)</f>
        <v>3</v>
      </c>
      <c r="AE55" s="22">
        <f>SUBTOTAL(9,$T19:AE19)</f>
        <v>3</v>
      </c>
      <c r="AF55" s="22">
        <f>SUBTOTAL(9,$T19:AF19)</f>
        <v>3</v>
      </c>
      <c r="AG55" s="22">
        <f>SUBTOTAL(9,$T19:AG19)</f>
        <v>5</v>
      </c>
      <c r="AH55" s="22">
        <f>SUBTOTAL(9,$T19:AH19)</f>
        <v>5</v>
      </c>
      <c r="AI55" s="22">
        <f>SUBTOTAL(9,$T19:AI19)</f>
        <v>5</v>
      </c>
      <c r="AJ55" s="22">
        <f>SUBTOTAL(9,$T19:AJ19)</f>
        <v>5</v>
      </c>
    </row>
    <row r="56" spans="1:36" x14ac:dyDescent="0.25">
      <c r="A56" s="12" t="s">
        <v>43</v>
      </c>
      <c r="B56" s="13" t="s">
        <v>44</v>
      </c>
      <c r="C56" s="22">
        <f>SUBTOTAL(9,$C20:C20)</f>
        <v>0</v>
      </c>
      <c r="D56" s="22">
        <f>SUBTOTAL(9,$C20:D20)</f>
        <v>2</v>
      </c>
      <c r="E56" s="22">
        <f>SUBTOTAL(9,$C20:E20)</f>
        <v>2</v>
      </c>
      <c r="F56" s="22">
        <f>SUBTOTAL(9,$C20:F20)</f>
        <v>2</v>
      </c>
      <c r="G56" s="22">
        <f>SUBTOTAL(9,$C20:G20)</f>
        <v>4</v>
      </c>
      <c r="H56" s="22">
        <f>SUBTOTAL(9,$C20:H20)</f>
        <v>7</v>
      </c>
      <c r="I56" s="22">
        <f>SUBTOTAL(9,$C20:I20)</f>
        <v>9</v>
      </c>
      <c r="J56" s="22">
        <f>SUBTOTAL(9,$C20:J20)</f>
        <v>9</v>
      </c>
      <c r="K56" s="22">
        <f>SUBTOTAL(9,$C20:K20)</f>
        <v>9</v>
      </c>
      <c r="L56" s="22">
        <f>SUBTOTAL(9,$C20:L20)</f>
        <v>9</v>
      </c>
      <c r="M56" s="22">
        <f>SUBTOTAL(9,$C20:M20)</f>
        <v>9</v>
      </c>
      <c r="N56" s="22">
        <f>SUBTOTAL(9,$C20:N20)</f>
        <v>9</v>
      </c>
      <c r="O56" s="22">
        <f>SUBTOTAL(9,$C20:O20)</f>
        <v>9</v>
      </c>
      <c r="P56" s="22">
        <f>SUBTOTAL(9,$C20:P20)</f>
        <v>9</v>
      </c>
      <c r="Q56" s="22">
        <f>SUBTOTAL(9,$C20:Q20)</f>
        <v>10</v>
      </c>
      <c r="R56" s="22">
        <f>SUBTOTAL(9,$C20:R20)</f>
        <v>10</v>
      </c>
      <c r="S56" s="22">
        <f>SUBTOTAL(9,$C20:S20)</f>
        <v>10</v>
      </c>
      <c r="T56" s="22">
        <f>SUBTOTAL(9,$T20:T20)</f>
        <v>1</v>
      </c>
      <c r="U56" s="22">
        <f>SUBTOTAL(9,$T20:U20)</f>
        <v>3</v>
      </c>
      <c r="V56" s="22">
        <f>SUBTOTAL(9,$T20:V20)</f>
        <v>3</v>
      </c>
      <c r="W56" s="22">
        <f>SUBTOTAL(9,$T20:W20)</f>
        <v>3</v>
      </c>
      <c r="X56" s="22">
        <f>SUBTOTAL(9,$T20:X20)</f>
        <v>3</v>
      </c>
      <c r="Y56" s="22">
        <f>SUBTOTAL(9,$T20:Y20)</f>
        <v>4</v>
      </c>
      <c r="Z56" s="22">
        <f>SUBTOTAL(9,$T20:Z20)</f>
        <v>8</v>
      </c>
      <c r="AA56" s="22">
        <f>SUBTOTAL(9,$T20:AA20)</f>
        <v>8</v>
      </c>
      <c r="AB56" s="22">
        <f>SUBTOTAL(9,$T20:AB20)</f>
        <v>8</v>
      </c>
      <c r="AC56" s="22">
        <f>SUBTOTAL(9,$T20:AC20)</f>
        <v>8</v>
      </c>
      <c r="AD56" s="22">
        <f>SUBTOTAL(9,$T20:AD20)</f>
        <v>8</v>
      </c>
      <c r="AE56" s="22">
        <f>SUBTOTAL(9,$T20:AE20)</f>
        <v>8</v>
      </c>
      <c r="AF56" s="22">
        <f>SUBTOTAL(9,$T20:AF20)</f>
        <v>8</v>
      </c>
      <c r="AG56" s="22">
        <f>SUBTOTAL(9,$T20:AG20)</f>
        <v>8</v>
      </c>
      <c r="AH56" s="22">
        <f>SUBTOTAL(9,$T20:AH20)</f>
        <v>8</v>
      </c>
      <c r="AI56" s="22">
        <f>SUBTOTAL(9,$T20:AI20)</f>
        <v>8</v>
      </c>
      <c r="AJ56" s="22">
        <f>SUBTOTAL(9,$T20:AJ20)</f>
        <v>8</v>
      </c>
    </row>
    <row r="57" spans="1:36" x14ac:dyDescent="0.25">
      <c r="A57" s="12" t="s">
        <v>45</v>
      </c>
      <c r="B57" s="13" t="s">
        <v>46</v>
      </c>
      <c r="C57" s="22">
        <f>SUBTOTAL(9,$C21:C21)</f>
        <v>0</v>
      </c>
      <c r="D57" s="22">
        <f>SUBTOTAL(9,$C21:D21)</f>
        <v>0</v>
      </c>
      <c r="E57" s="22">
        <f>SUBTOTAL(9,$C21:E21)</f>
        <v>0</v>
      </c>
      <c r="F57" s="22">
        <f>SUBTOTAL(9,$C21:F21)</f>
        <v>0</v>
      </c>
      <c r="G57" s="22">
        <f>SUBTOTAL(9,$C21:G21)</f>
        <v>0</v>
      </c>
      <c r="H57" s="22">
        <f>SUBTOTAL(9,$C21:H21)</f>
        <v>0</v>
      </c>
      <c r="I57" s="22">
        <f>SUBTOTAL(9,$C21:I21)</f>
        <v>0</v>
      </c>
      <c r="J57" s="22">
        <f>SUBTOTAL(9,$C21:J21)</f>
        <v>0</v>
      </c>
      <c r="K57" s="22">
        <f>SUBTOTAL(9,$C21:K21)</f>
        <v>0</v>
      </c>
      <c r="L57" s="22">
        <f>SUBTOTAL(9,$C21:L21)</f>
        <v>0</v>
      </c>
      <c r="M57" s="22">
        <f>SUBTOTAL(9,$C21:M21)</f>
        <v>0</v>
      </c>
      <c r="N57" s="22">
        <f>SUBTOTAL(9,$C21:N21)</f>
        <v>0</v>
      </c>
      <c r="O57" s="22">
        <f>SUBTOTAL(9,$C21:O21)</f>
        <v>0</v>
      </c>
      <c r="P57" s="22">
        <f>SUBTOTAL(9,$C21:P21)</f>
        <v>0</v>
      </c>
      <c r="Q57" s="22">
        <f>SUBTOTAL(9,$C21:Q21)</f>
        <v>0</v>
      </c>
      <c r="R57" s="22">
        <f>SUBTOTAL(9,$C21:R21)</f>
        <v>0</v>
      </c>
      <c r="S57" s="22">
        <f>SUBTOTAL(9,$C21:S21)</f>
        <v>0</v>
      </c>
      <c r="T57" s="22">
        <f>SUBTOTAL(9,$T21:T21)</f>
        <v>0</v>
      </c>
      <c r="U57" s="22">
        <f>SUBTOTAL(9,$T21:U21)</f>
        <v>0</v>
      </c>
      <c r="V57" s="22">
        <f>SUBTOTAL(9,$T21:V21)</f>
        <v>0</v>
      </c>
      <c r="W57" s="22">
        <f>SUBTOTAL(9,$T21:W21)</f>
        <v>0</v>
      </c>
      <c r="X57" s="22">
        <f>SUBTOTAL(9,$T21:X21)</f>
        <v>0</v>
      </c>
      <c r="Y57" s="22">
        <f>SUBTOTAL(9,$T21:Y21)</f>
        <v>0</v>
      </c>
      <c r="Z57" s="22">
        <f>SUBTOTAL(9,$T21:Z21)</f>
        <v>0</v>
      </c>
      <c r="AA57" s="22">
        <f>SUBTOTAL(9,$T21:AA21)</f>
        <v>0</v>
      </c>
      <c r="AB57" s="22">
        <f>SUBTOTAL(9,$T21:AB21)</f>
        <v>0</v>
      </c>
      <c r="AC57" s="22">
        <f>SUBTOTAL(9,$T21:AC21)</f>
        <v>0</v>
      </c>
      <c r="AD57" s="22">
        <f>SUBTOTAL(9,$T21:AD21)</f>
        <v>0</v>
      </c>
      <c r="AE57" s="22">
        <f>SUBTOTAL(9,$T21:AE21)</f>
        <v>0</v>
      </c>
      <c r="AF57" s="22">
        <f>SUBTOTAL(9,$T21:AF21)</f>
        <v>0</v>
      </c>
      <c r="AG57" s="22">
        <f>SUBTOTAL(9,$T21:AG21)</f>
        <v>0</v>
      </c>
      <c r="AH57" s="22">
        <f>SUBTOTAL(9,$T21:AH21)</f>
        <v>0</v>
      </c>
      <c r="AI57" s="22">
        <f>SUBTOTAL(9,$T21:AI21)</f>
        <v>0</v>
      </c>
      <c r="AJ57" s="22">
        <f>SUBTOTAL(9,$T21:AJ21)</f>
        <v>0</v>
      </c>
    </row>
    <row r="58" spans="1:36" x14ac:dyDescent="0.25">
      <c r="A58" s="12" t="s">
        <v>47</v>
      </c>
      <c r="B58" s="13" t="s">
        <v>48</v>
      </c>
      <c r="C58" s="22">
        <f>SUBTOTAL(9,$C22:C22)</f>
        <v>0</v>
      </c>
      <c r="D58" s="22">
        <f>SUBTOTAL(9,$C22:D22)</f>
        <v>0</v>
      </c>
      <c r="E58" s="22">
        <f>SUBTOTAL(9,$C22:E22)</f>
        <v>0</v>
      </c>
      <c r="F58" s="22">
        <f>SUBTOTAL(9,$C22:F22)</f>
        <v>0</v>
      </c>
      <c r="G58" s="22">
        <f>SUBTOTAL(9,$C22:G22)</f>
        <v>1</v>
      </c>
      <c r="H58" s="22">
        <f>SUBTOTAL(9,$C22:H22)</f>
        <v>1</v>
      </c>
      <c r="I58" s="22">
        <f>SUBTOTAL(9,$C22:I22)</f>
        <v>1</v>
      </c>
      <c r="J58" s="22">
        <f>SUBTOTAL(9,$C22:J22)</f>
        <v>1</v>
      </c>
      <c r="K58" s="22">
        <f>SUBTOTAL(9,$C22:K22)</f>
        <v>1</v>
      </c>
      <c r="L58" s="22">
        <f>SUBTOTAL(9,$C22:L22)</f>
        <v>1</v>
      </c>
      <c r="M58" s="22">
        <f>SUBTOTAL(9,$C22:M22)</f>
        <v>1</v>
      </c>
      <c r="N58" s="22">
        <f>SUBTOTAL(9,$C22:N22)</f>
        <v>1</v>
      </c>
      <c r="O58" s="22">
        <f>SUBTOTAL(9,$C22:O22)</f>
        <v>1</v>
      </c>
      <c r="P58" s="22">
        <f>SUBTOTAL(9,$C22:P22)</f>
        <v>2</v>
      </c>
      <c r="Q58" s="22">
        <f>SUBTOTAL(9,$C22:Q22)</f>
        <v>2</v>
      </c>
      <c r="R58" s="22">
        <f>SUBTOTAL(9,$C22:R22)</f>
        <v>2</v>
      </c>
      <c r="S58" s="22">
        <f>SUBTOTAL(9,$C22:S22)</f>
        <v>2</v>
      </c>
      <c r="T58" s="22">
        <f>SUBTOTAL(9,$T22:T22)</f>
        <v>0</v>
      </c>
      <c r="U58" s="22">
        <f>SUBTOTAL(9,$T22:U22)</f>
        <v>0</v>
      </c>
      <c r="V58" s="22">
        <f>SUBTOTAL(9,$T22:V22)</f>
        <v>1</v>
      </c>
      <c r="W58" s="22">
        <f>SUBTOTAL(9,$T22:W22)</f>
        <v>1</v>
      </c>
      <c r="X58" s="22">
        <f>SUBTOTAL(9,$T22:X22)</f>
        <v>1</v>
      </c>
      <c r="Y58" s="22">
        <f>SUBTOTAL(9,$T22:Y22)</f>
        <v>1</v>
      </c>
      <c r="Z58" s="22">
        <f>SUBTOTAL(9,$T22:Z22)</f>
        <v>1</v>
      </c>
      <c r="AA58" s="22">
        <f>SUBTOTAL(9,$T22:AA22)</f>
        <v>1</v>
      </c>
      <c r="AB58" s="22">
        <f>SUBTOTAL(9,$T22:AB22)</f>
        <v>1</v>
      </c>
      <c r="AC58" s="22">
        <f>SUBTOTAL(9,$T22:AC22)</f>
        <v>1</v>
      </c>
      <c r="AD58" s="22">
        <f>SUBTOTAL(9,$T22:AD22)</f>
        <v>1</v>
      </c>
      <c r="AE58" s="22">
        <f>SUBTOTAL(9,$T22:AE22)</f>
        <v>1</v>
      </c>
      <c r="AF58" s="22">
        <f>SUBTOTAL(9,$T22:AF22)</f>
        <v>1</v>
      </c>
      <c r="AG58" s="22">
        <f>SUBTOTAL(9,$T22:AG22)</f>
        <v>1</v>
      </c>
      <c r="AH58" s="22">
        <f>SUBTOTAL(9,$T22:AH22)</f>
        <v>1</v>
      </c>
      <c r="AI58" s="22">
        <f>SUBTOTAL(9,$T22:AI22)</f>
        <v>1</v>
      </c>
      <c r="AJ58" s="22">
        <f>SUBTOTAL(9,$T22:AJ22)</f>
        <v>1</v>
      </c>
    </row>
    <row r="59" spans="1:36" x14ac:dyDescent="0.25">
      <c r="A59" s="12" t="s">
        <v>49</v>
      </c>
      <c r="B59" s="12" t="s">
        <v>50</v>
      </c>
      <c r="C59" s="22">
        <f>SUBTOTAL(9,$C23:C23)</f>
        <v>0</v>
      </c>
      <c r="D59" s="22">
        <f>SUBTOTAL(9,$C23:D23)</f>
        <v>0</v>
      </c>
      <c r="E59" s="22">
        <f>SUBTOTAL(9,$C23:E23)</f>
        <v>2</v>
      </c>
      <c r="F59" s="22">
        <f>SUBTOTAL(9,$C23:F23)</f>
        <v>2</v>
      </c>
      <c r="G59" s="22">
        <f>SUBTOTAL(9,$C23:G23)</f>
        <v>5</v>
      </c>
      <c r="H59" s="22">
        <f>SUBTOTAL(9,$C23:H23)</f>
        <v>6</v>
      </c>
      <c r="I59" s="22">
        <f>SUBTOTAL(9,$C23:I23)</f>
        <v>7</v>
      </c>
      <c r="J59" s="22">
        <f>SUBTOTAL(9,$C23:J23)</f>
        <v>7</v>
      </c>
      <c r="K59" s="22">
        <f>SUBTOTAL(9,$C23:K23)</f>
        <v>7</v>
      </c>
      <c r="L59" s="22">
        <f>SUBTOTAL(9,$C23:L23)</f>
        <v>7</v>
      </c>
      <c r="M59" s="22">
        <f>SUBTOTAL(9,$C23:M23)</f>
        <v>7</v>
      </c>
      <c r="N59" s="22">
        <f>SUBTOTAL(9,$C23:N23)</f>
        <v>7</v>
      </c>
      <c r="O59" s="22">
        <f>SUBTOTAL(9,$C23:O23)</f>
        <v>7</v>
      </c>
      <c r="P59" s="22">
        <f>SUBTOTAL(9,$C23:P23)</f>
        <v>7</v>
      </c>
      <c r="Q59" s="22">
        <f>SUBTOTAL(9,$C23:Q23)</f>
        <v>7</v>
      </c>
      <c r="R59" s="22">
        <f>SUBTOTAL(9,$C23:R23)</f>
        <v>7</v>
      </c>
      <c r="S59" s="22">
        <f>SUBTOTAL(9,$C23:S23)</f>
        <v>7</v>
      </c>
      <c r="T59" s="22">
        <f>SUBTOTAL(9,$T23:T23)</f>
        <v>0</v>
      </c>
      <c r="U59" s="22">
        <f>SUBTOTAL(9,$T23:U23)</f>
        <v>0</v>
      </c>
      <c r="V59" s="22">
        <f>SUBTOTAL(9,$T23:V23)</f>
        <v>3</v>
      </c>
      <c r="W59" s="22">
        <f>SUBTOTAL(9,$T23:W23)</f>
        <v>3</v>
      </c>
      <c r="X59" s="22">
        <f>SUBTOTAL(9,$T23:X23)</f>
        <v>3</v>
      </c>
      <c r="Y59" s="22">
        <f>SUBTOTAL(9,$T23:Y23)</f>
        <v>4</v>
      </c>
      <c r="Z59" s="22">
        <f>SUBTOTAL(9,$T23:Z23)</f>
        <v>4</v>
      </c>
      <c r="AA59" s="22">
        <f>SUBTOTAL(9,$T23:AA23)</f>
        <v>4</v>
      </c>
      <c r="AB59" s="22">
        <f>SUBTOTAL(9,$T23:AB23)</f>
        <v>4</v>
      </c>
      <c r="AC59" s="22">
        <f>SUBTOTAL(9,$T23:AC23)</f>
        <v>4</v>
      </c>
      <c r="AD59" s="22">
        <f>SUBTOTAL(9,$T23:AD23)</f>
        <v>4</v>
      </c>
      <c r="AE59" s="22">
        <f>SUBTOTAL(9,$T23:AE23)</f>
        <v>4</v>
      </c>
      <c r="AF59" s="22">
        <f>SUBTOTAL(9,$T23:AF23)</f>
        <v>4</v>
      </c>
      <c r="AG59" s="22">
        <f>SUBTOTAL(9,$T23:AG23)</f>
        <v>4</v>
      </c>
      <c r="AH59" s="22">
        <f>SUBTOTAL(9,$T23:AH23)</f>
        <v>5</v>
      </c>
      <c r="AI59" s="22">
        <f>SUBTOTAL(9,$T23:AI23)</f>
        <v>5</v>
      </c>
      <c r="AJ59" s="22">
        <f>SUBTOTAL(9,$T23:AJ23)</f>
        <v>5</v>
      </c>
    </row>
    <row r="60" spans="1:36" x14ac:dyDescent="0.25">
      <c r="A60" s="12" t="s">
        <v>51</v>
      </c>
      <c r="B60" s="12" t="s">
        <v>52</v>
      </c>
      <c r="C60" s="22">
        <f>SUBTOTAL(9,$C24:C24)</f>
        <v>0</v>
      </c>
      <c r="D60" s="22">
        <f>SUBTOTAL(9,$C24:D24)</f>
        <v>0</v>
      </c>
      <c r="E60" s="22">
        <f>SUBTOTAL(9,$C24:E24)</f>
        <v>0</v>
      </c>
      <c r="F60" s="22">
        <f>SUBTOTAL(9,$C24:F24)</f>
        <v>0</v>
      </c>
      <c r="G60" s="22">
        <f>SUBTOTAL(9,$C24:G24)</f>
        <v>0</v>
      </c>
      <c r="H60" s="22">
        <f>SUBTOTAL(9,$C24:H24)</f>
        <v>0</v>
      </c>
      <c r="I60" s="22">
        <f>SUBTOTAL(9,$C24:I24)</f>
        <v>0</v>
      </c>
      <c r="J60" s="22">
        <f>SUBTOTAL(9,$C24:J24)</f>
        <v>0</v>
      </c>
      <c r="K60" s="22">
        <f>SUBTOTAL(9,$C24:K24)</f>
        <v>0</v>
      </c>
      <c r="L60" s="22">
        <f>SUBTOTAL(9,$C24:L24)</f>
        <v>0</v>
      </c>
      <c r="M60" s="22">
        <f>SUBTOTAL(9,$C24:M24)</f>
        <v>0</v>
      </c>
      <c r="N60" s="22">
        <f>SUBTOTAL(9,$C24:N24)</f>
        <v>0</v>
      </c>
      <c r="O60" s="22">
        <f>SUBTOTAL(9,$C24:O24)</f>
        <v>0</v>
      </c>
      <c r="P60" s="22">
        <f>SUBTOTAL(9,$C24:P24)</f>
        <v>0</v>
      </c>
      <c r="Q60" s="22">
        <f>SUBTOTAL(9,$C24:Q24)</f>
        <v>0</v>
      </c>
      <c r="R60" s="22">
        <f>SUBTOTAL(9,$C24:R24)</f>
        <v>0</v>
      </c>
      <c r="S60" s="22">
        <f>SUBTOTAL(9,$C24:S24)</f>
        <v>0</v>
      </c>
      <c r="T60" s="22">
        <f>SUBTOTAL(9,$T24:T24)</f>
        <v>0</v>
      </c>
      <c r="U60" s="22">
        <f>SUBTOTAL(9,$T24:U24)</f>
        <v>0</v>
      </c>
      <c r="V60" s="22">
        <f>SUBTOTAL(9,$T24:V24)</f>
        <v>0</v>
      </c>
      <c r="W60" s="22">
        <f>SUBTOTAL(9,$T24:W24)</f>
        <v>0</v>
      </c>
      <c r="X60" s="22">
        <f>SUBTOTAL(9,$T24:X24)</f>
        <v>0</v>
      </c>
      <c r="Y60" s="22">
        <f>SUBTOTAL(9,$T24:Y24)</f>
        <v>0</v>
      </c>
      <c r="Z60" s="22">
        <f>SUBTOTAL(9,$T24:Z24)</f>
        <v>0</v>
      </c>
      <c r="AA60" s="22">
        <f>SUBTOTAL(9,$T24:AA24)</f>
        <v>0</v>
      </c>
      <c r="AB60" s="22">
        <f>SUBTOTAL(9,$T24:AB24)</f>
        <v>0</v>
      </c>
      <c r="AC60" s="22">
        <f>SUBTOTAL(9,$T24:AC24)</f>
        <v>0</v>
      </c>
      <c r="AD60" s="22">
        <f>SUBTOTAL(9,$T24:AD24)</f>
        <v>0</v>
      </c>
      <c r="AE60" s="22">
        <f>SUBTOTAL(9,$T24:AE24)</f>
        <v>0</v>
      </c>
      <c r="AF60" s="22">
        <f>SUBTOTAL(9,$T24:AF24)</f>
        <v>0</v>
      </c>
      <c r="AG60" s="22">
        <f>SUBTOTAL(9,$T24:AG24)</f>
        <v>0</v>
      </c>
      <c r="AH60" s="22">
        <f>SUBTOTAL(9,$T24:AH24)</f>
        <v>0</v>
      </c>
      <c r="AI60" s="22">
        <f>SUBTOTAL(9,$T24:AI24)</f>
        <v>0</v>
      </c>
      <c r="AJ60" s="22">
        <f>SUBTOTAL(9,$T24:AJ24)</f>
        <v>0</v>
      </c>
    </row>
    <row r="61" spans="1:36" x14ac:dyDescent="0.25">
      <c r="A61" s="12" t="s">
        <v>53</v>
      </c>
      <c r="B61" s="12" t="s">
        <v>54</v>
      </c>
      <c r="C61" s="22">
        <f>SUBTOTAL(9,$C25:C25)</f>
        <v>0</v>
      </c>
      <c r="D61" s="22">
        <f>SUBTOTAL(9,$C25:D25)</f>
        <v>0</v>
      </c>
      <c r="E61" s="22">
        <f>SUBTOTAL(9,$C25:E25)</f>
        <v>0</v>
      </c>
      <c r="F61" s="22">
        <f>SUBTOTAL(9,$C25:F25)</f>
        <v>0</v>
      </c>
      <c r="G61" s="22">
        <f>SUBTOTAL(9,$C25:G25)</f>
        <v>0</v>
      </c>
      <c r="H61" s="22">
        <f>SUBTOTAL(9,$C25:H25)</f>
        <v>0</v>
      </c>
      <c r="I61" s="22">
        <f>SUBTOTAL(9,$C25:I25)</f>
        <v>0</v>
      </c>
      <c r="J61" s="22">
        <f>SUBTOTAL(9,$C25:J25)</f>
        <v>0</v>
      </c>
      <c r="K61" s="22">
        <f>SUBTOTAL(9,$C25:K25)</f>
        <v>0</v>
      </c>
      <c r="L61" s="22">
        <f>SUBTOTAL(9,$C25:L25)</f>
        <v>0</v>
      </c>
      <c r="M61" s="22">
        <f>SUBTOTAL(9,$C25:M25)</f>
        <v>0</v>
      </c>
      <c r="N61" s="22">
        <f>SUBTOTAL(9,$C25:N25)</f>
        <v>0</v>
      </c>
      <c r="O61" s="22">
        <f>SUBTOTAL(9,$C25:O25)</f>
        <v>0</v>
      </c>
      <c r="P61" s="22">
        <f>SUBTOTAL(9,$C25:P25)</f>
        <v>0</v>
      </c>
      <c r="Q61" s="22">
        <f>SUBTOTAL(9,$C25:Q25)</f>
        <v>0</v>
      </c>
      <c r="R61" s="22">
        <f>SUBTOTAL(9,$C25:R25)</f>
        <v>0</v>
      </c>
      <c r="S61" s="22">
        <f>SUBTOTAL(9,$C25:S25)</f>
        <v>0</v>
      </c>
      <c r="T61" s="22">
        <f>SUBTOTAL(9,$T25:T25)</f>
        <v>0</v>
      </c>
      <c r="U61" s="22">
        <f>SUBTOTAL(9,$T25:U25)</f>
        <v>0</v>
      </c>
      <c r="V61" s="22">
        <f>SUBTOTAL(9,$T25:V25)</f>
        <v>0</v>
      </c>
      <c r="W61" s="22">
        <f>SUBTOTAL(9,$T25:W25)</f>
        <v>0</v>
      </c>
      <c r="X61" s="22">
        <f>SUBTOTAL(9,$T25:X25)</f>
        <v>0</v>
      </c>
      <c r="Y61" s="22">
        <f>SUBTOTAL(9,$T25:Y25)</f>
        <v>0</v>
      </c>
      <c r="Z61" s="22">
        <f>SUBTOTAL(9,$T25:Z25)</f>
        <v>0</v>
      </c>
      <c r="AA61" s="22">
        <f>SUBTOTAL(9,$T25:AA25)</f>
        <v>0</v>
      </c>
      <c r="AB61" s="22">
        <f>SUBTOTAL(9,$T25:AB25)</f>
        <v>0</v>
      </c>
      <c r="AC61" s="22">
        <f>SUBTOTAL(9,$T25:AC25)</f>
        <v>0</v>
      </c>
      <c r="AD61" s="22">
        <f>SUBTOTAL(9,$T25:AD25)</f>
        <v>0</v>
      </c>
      <c r="AE61" s="22">
        <f>SUBTOTAL(9,$T25:AE25)</f>
        <v>0</v>
      </c>
      <c r="AF61" s="22">
        <f>SUBTOTAL(9,$T25:AF25)</f>
        <v>0</v>
      </c>
      <c r="AG61" s="22">
        <f>SUBTOTAL(9,$T25:AG25)</f>
        <v>0</v>
      </c>
      <c r="AH61" s="22">
        <f>SUBTOTAL(9,$T25:AH25)</f>
        <v>0</v>
      </c>
      <c r="AI61" s="22">
        <f>SUBTOTAL(9,$T25:AI25)</f>
        <v>0</v>
      </c>
      <c r="AJ61" s="22">
        <f>SUBTOTAL(9,$T25:AJ25)</f>
        <v>0</v>
      </c>
    </row>
    <row r="62" spans="1:36" x14ac:dyDescent="0.25">
      <c r="A62" s="12" t="s">
        <v>55</v>
      </c>
      <c r="B62" s="12" t="s">
        <v>56</v>
      </c>
      <c r="C62" s="22">
        <f>SUBTOTAL(9,$C26:C26)</f>
        <v>1</v>
      </c>
      <c r="D62" s="22">
        <f>SUBTOTAL(9,$C26:D26)</f>
        <v>1</v>
      </c>
      <c r="E62" s="22">
        <f>SUBTOTAL(9,$C26:E26)</f>
        <v>1</v>
      </c>
      <c r="F62" s="22">
        <f>SUBTOTAL(9,$C26:F26)</f>
        <v>1</v>
      </c>
      <c r="G62" s="22">
        <f>SUBTOTAL(9,$C26:G26)</f>
        <v>1</v>
      </c>
      <c r="H62" s="22">
        <f>SUBTOTAL(9,$C26:H26)</f>
        <v>1</v>
      </c>
      <c r="I62" s="22">
        <f>SUBTOTAL(9,$C26:I26)</f>
        <v>1</v>
      </c>
      <c r="J62" s="22">
        <f>SUBTOTAL(9,$C26:J26)</f>
        <v>1</v>
      </c>
      <c r="K62" s="22">
        <f>SUBTOTAL(9,$C26:K26)</f>
        <v>1</v>
      </c>
      <c r="L62" s="22">
        <f>SUBTOTAL(9,$C26:L26)</f>
        <v>1</v>
      </c>
      <c r="M62" s="22">
        <f>SUBTOTAL(9,$C26:M26)</f>
        <v>1</v>
      </c>
      <c r="N62" s="22">
        <f>SUBTOTAL(9,$C26:N26)</f>
        <v>1</v>
      </c>
      <c r="O62" s="22">
        <f>SUBTOTAL(9,$C26:O26)</f>
        <v>1</v>
      </c>
      <c r="P62" s="22">
        <f>SUBTOTAL(9,$C26:P26)</f>
        <v>1</v>
      </c>
      <c r="Q62" s="22">
        <f>SUBTOTAL(9,$C26:Q26)</f>
        <v>1</v>
      </c>
      <c r="R62" s="22">
        <f>SUBTOTAL(9,$C26:R26)</f>
        <v>1</v>
      </c>
      <c r="S62" s="22">
        <f>SUBTOTAL(9,$C26:S26)</f>
        <v>1</v>
      </c>
      <c r="T62" s="22">
        <f>SUBTOTAL(9,$T26:T26)</f>
        <v>0</v>
      </c>
      <c r="U62" s="22">
        <f>SUBTOTAL(9,$T26:U26)</f>
        <v>0</v>
      </c>
      <c r="V62" s="22">
        <f>SUBTOTAL(9,$T26:V26)</f>
        <v>0</v>
      </c>
      <c r="W62" s="22">
        <f>SUBTOTAL(9,$T26:W26)</f>
        <v>0</v>
      </c>
      <c r="X62" s="22">
        <f>SUBTOTAL(9,$T26:X26)</f>
        <v>0</v>
      </c>
      <c r="Y62" s="22">
        <f>SUBTOTAL(9,$T26:Y26)</f>
        <v>0</v>
      </c>
      <c r="Z62" s="22">
        <f>SUBTOTAL(9,$T26:Z26)</f>
        <v>1</v>
      </c>
      <c r="AA62" s="22">
        <f>SUBTOTAL(9,$T26:AA26)</f>
        <v>1</v>
      </c>
      <c r="AB62" s="22">
        <f>SUBTOTAL(9,$T26:AB26)</f>
        <v>1</v>
      </c>
      <c r="AC62" s="22">
        <f>SUBTOTAL(9,$T26:AC26)</f>
        <v>1</v>
      </c>
      <c r="AD62" s="22">
        <f>SUBTOTAL(9,$T26:AD26)</f>
        <v>1</v>
      </c>
      <c r="AE62" s="22">
        <f>SUBTOTAL(9,$T26:AE26)</f>
        <v>1</v>
      </c>
      <c r="AF62" s="22">
        <f>SUBTOTAL(9,$T26:AF26)</f>
        <v>1</v>
      </c>
      <c r="AG62" s="22">
        <f>SUBTOTAL(9,$T26:AG26)</f>
        <v>1</v>
      </c>
      <c r="AH62" s="22">
        <f>SUBTOTAL(9,$T26:AH26)</f>
        <v>1</v>
      </c>
      <c r="AI62" s="22">
        <f>SUBTOTAL(9,$T26:AI26)</f>
        <v>1</v>
      </c>
      <c r="AJ62" s="22">
        <f>SUBTOTAL(9,$T26:AJ26)</f>
        <v>1</v>
      </c>
    </row>
    <row r="63" spans="1:36" x14ac:dyDescent="0.25">
      <c r="A63" s="12" t="s">
        <v>57</v>
      </c>
      <c r="B63" s="12" t="s">
        <v>58</v>
      </c>
      <c r="C63" s="22">
        <f>SUBTOTAL(9,$C27:C27)</f>
        <v>0</v>
      </c>
      <c r="D63" s="22">
        <f>SUBTOTAL(9,$C27:D27)</f>
        <v>1</v>
      </c>
      <c r="E63" s="22">
        <f>SUBTOTAL(9,$C27:E27)</f>
        <v>3</v>
      </c>
      <c r="F63" s="22">
        <f>SUBTOTAL(9,$C27:F27)</f>
        <v>3</v>
      </c>
      <c r="G63" s="22">
        <f>SUBTOTAL(9,$C27:G27)</f>
        <v>3</v>
      </c>
      <c r="H63" s="22">
        <f>SUBTOTAL(9,$C27:H27)</f>
        <v>4</v>
      </c>
      <c r="I63" s="22">
        <f>SUBTOTAL(9,$C27:I27)</f>
        <v>4</v>
      </c>
      <c r="J63" s="22">
        <f>SUBTOTAL(9,$C27:J27)</f>
        <v>4</v>
      </c>
      <c r="K63" s="22">
        <f>SUBTOTAL(9,$C27:K27)</f>
        <v>4</v>
      </c>
      <c r="L63" s="22">
        <f>SUBTOTAL(9,$C27:L27)</f>
        <v>4</v>
      </c>
      <c r="M63" s="22">
        <f>SUBTOTAL(9,$C27:M27)</f>
        <v>4</v>
      </c>
      <c r="N63" s="22">
        <f>SUBTOTAL(9,$C27:N27)</f>
        <v>4</v>
      </c>
      <c r="O63" s="22">
        <f>SUBTOTAL(9,$C27:O27)</f>
        <v>5</v>
      </c>
      <c r="P63" s="22">
        <f>SUBTOTAL(9,$C27:P27)</f>
        <v>5</v>
      </c>
      <c r="Q63" s="22">
        <f>SUBTOTAL(9,$C27:Q27)</f>
        <v>5</v>
      </c>
      <c r="R63" s="22">
        <f>SUBTOTAL(9,$C27:R27)</f>
        <v>5</v>
      </c>
      <c r="S63" s="22">
        <f>SUBTOTAL(9,$C27:S27)</f>
        <v>5</v>
      </c>
      <c r="T63" s="22">
        <f>SUBTOTAL(9,$T27:T27)</f>
        <v>0</v>
      </c>
      <c r="U63" s="22">
        <f>SUBTOTAL(9,$T27:U27)</f>
        <v>0</v>
      </c>
      <c r="V63" s="22">
        <f>SUBTOTAL(9,$T27:V27)</f>
        <v>0</v>
      </c>
      <c r="W63" s="22">
        <f>SUBTOTAL(9,$T27:W27)</f>
        <v>0</v>
      </c>
      <c r="X63" s="22">
        <f>SUBTOTAL(9,$T27:X27)</f>
        <v>0</v>
      </c>
      <c r="Y63" s="22">
        <f>SUBTOTAL(9,$T27:Y27)</f>
        <v>1</v>
      </c>
      <c r="Z63" s="22">
        <f>SUBTOTAL(9,$T27:Z27)</f>
        <v>2</v>
      </c>
      <c r="AA63" s="22">
        <f>SUBTOTAL(9,$T27:AA27)</f>
        <v>2</v>
      </c>
      <c r="AB63" s="22">
        <f>SUBTOTAL(9,$T27:AB27)</f>
        <v>2</v>
      </c>
      <c r="AC63" s="22">
        <f>SUBTOTAL(9,$T27:AC27)</f>
        <v>2</v>
      </c>
      <c r="AD63" s="22">
        <f>SUBTOTAL(9,$T27:AD27)</f>
        <v>2</v>
      </c>
      <c r="AE63" s="22">
        <f>SUBTOTAL(9,$T27:AE27)</f>
        <v>2</v>
      </c>
      <c r="AF63" s="22">
        <f>SUBTOTAL(9,$T27:AF27)</f>
        <v>2</v>
      </c>
      <c r="AG63" s="22">
        <f>SUBTOTAL(9,$T27:AG27)</f>
        <v>2</v>
      </c>
      <c r="AH63" s="22">
        <f>SUBTOTAL(9,$T27:AH27)</f>
        <v>2</v>
      </c>
      <c r="AI63" s="22">
        <f>SUBTOTAL(9,$T27:AI27)</f>
        <v>2</v>
      </c>
      <c r="AJ63" s="22">
        <f>SUBTOTAL(9,$T27:AJ27)</f>
        <v>2</v>
      </c>
    </row>
    <row r="64" spans="1:36" x14ac:dyDescent="0.25">
      <c r="A64" s="12" t="s">
        <v>59</v>
      </c>
      <c r="B64" s="12" t="s">
        <v>60</v>
      </c>
      <c r="C64" s="22">
        <f>SUBTOTAL(9,$C28:C28)</f>
        <v>0</v>
      </c>
      <c r="D64" s="22">
        <f>SUBTOTAL(9,$C28:D28)</f>
        <v>0</v>
      </c>
      <c r="E64" s="22">
        <f>SUBTOTAL(9,$C28:E28)</f>
        <v>0</v>
      </c>
      <c r="F64" s="22">
        <f>SUBTOTAL(9,$C28:F28)</f>
        <v>0</v>
      </c>
      <c r="G64" s="22">
        <f>SUBTOTAL(9,$C28:G28)</f>
        <v>0</v>
      </c>
      <c r="H64" s="22">
        <f>SUBTOTAL(9,$C28:H28)</f>
        <v>0</v>
      </c>
      <c r="I64" s="22">
        <f>SUBTOTAL(9,$C28:I28)</f>
        <v>0</v>
      </c>
      <c r="J64" s="22">
        <f>SUBTOTAL(9,$C28:J28)</f>
        <v>0</v>
      </c>
      <c r="K64" s="22">
        <f>SUBTOTAL(9,$C28:K28)</f>
        <v>0</v>
      </c>
      <c r="L64" s="22">
        <f>SUBTOTAL(9,$C28:L28)</f>
        <v>0</v>
      </c>
      <c r="M64" s="22">
        <f>SUBTOTAL(9,$C28:M28)</f>
        <v>0</v>
      </c>
      <c r="N64" s="22">
        <f>SUBTOTAL(9,$C28:N28)</f>
        <v>0</v>
      </c>
      <c r="O64" s="22">
        <f>SUBTOTAL(9,$C28:O28)</f>
        <v>0</v>
      </c>
      <c r="P64" s="22">
        <f>SUBTOTAL(9,$C28:P28)</f>
        <v>0</v>
      </c>
      <c r="Q64" s="22">
        <f>SUBTOTAL(9,$C28:Q28)</f>
        <v>0</v>
      </c>
      <c r="R64" s="22">
        <f>SUBTOTAL(9,$C28:R28)</f>
        <v>0</v>
      </c>
      <c r="S64" s="22">
        <f>SUBTOTAL(9,$C28:S28)</f>
        <v>0</v>
      </c>
      <c r="T64" s="22">
        <f>SUBTOTAL(9,$T28:T28)</f>
        <v>0</v>
      </c>
      <c r="U64" s="22">
        <f>SUBTOTAL(9,$T28:U28)</f>
        <v>0</v>
      </c>
      <c r="V64" s="22">
        <f>SUBTOTAL(9,$T28:V28)</f>
        <v>0</v>
      </c>
      <c r="W64" s="22">
        <f>SUBTOTAL(9,$T28:W28)</f>
        <v>0</v>
      </c>
      <c r="X64" s="22">
        <f>SUBTOTAL(9,$T28:X28)</f>
        <v>0</v>
      </c>
      <c r="Y64" s="22">
        <f>SUBTOTAL(9,$T28:Y28)</f>
        <v>0</v>
      </c>
      <c r="Z64" s="22">
        <f>SUBTOTAL(9,$T28:Z28)</f>
        <v>2</v>
      </c>
      <c r="AA64" s="22">
        <f>SUBTOTAL(9,$T28:AA28)</f>
        <v>2</v>
      </c>
      <c r="AB64" s="22">
        <f>SUBTOTAL(9,$T28:AB28)</f>
        <v>2</v>
      </c>
      <c r="AC64" s="22">
        <f>SUBTOTAL(9,$T28:AC28)</f>
        <v>2</v>
      </c>
      <c r="AD64" s="22">
        <f>SUBTOTAL(9,$T28:AD28)</f>
        <v>2</v>
      </c>
      <c r="AE64" s="22">
        <f>SUBTOTAL(9,$T28:AE28)</f>
        <v>2</v>
      </c>
      <c r="AF64" s="22">
        <f>SUBTOTAL(9,$T28:AF28)</f>
        <v>2</v>
      </c>
      <c r="AG64" s="22">
        <f>SUBTOTAL(9,$T28:AG28)</f>
        <v>2</v>
      </c>
      <c r="AH64" s="22">
        <f>SUBTOTAL(9,$T28:AH28)</f>
        <v>2</v>
      </c>
      <c r="AI64" s="22">
        <f>SUBTOTAL(9,$T28:AI28)</f>
        <v>2</v>
      </c>
      <c r="AJ64" s="22">
        <f>SUBTOTAL(9,$T28:AJ28)</f>
        <v>2</v>
      </c>
    </row>
    <row r="65" spans="1:36" x14ac:dyDescent="0.25">
      <c r="A65" s="12" t="s">
        <v>61</v>
      </c>
      <c r="B65" s="12" t="s">
        <v>62</v>
      </c>
      <c r="C65" s="22">
        <f>SUBTOTAL(9,$C29:C29)</f>
        <v>0</v>
      </c>
      <c r="D65" s="22">
        <f>SUBTOTAL(9,$C29:D29)</f>
        <v>0</v>
      </c>
      <c r="E65" s="22">
        <f>SUBTOTAL(9,$C29:E29)</f>
        <v>0</v>
      </c>
      <c r="F65" s="22">
        <f>SUBTOTAL(9,$C29:F29)</f>
        <v>0</v>
      </c>
      <c r="G65" s="22">
        <f>SUBTOTAL(9,$C29:G29)</f>
        <v>0</v>
      </c>
      <c r="H65" s="22">
        <f>SUBTOTAL(9,$C29:H29)</f>
        <v>0</v>
      </c>
      <c r="I65" s="22">
        <f>SUBTOTAL(9,$C29:I29)</f>
        <v>0</v>
      </c>
      <c r="J65" s="22">
        <f>SUBTOTAL(9,$C29:J29)</f>
        <v>0</v>
      </c>
      <c r="K65" s="22">
        <f>SUBTOTAL(9,$C29:K29)</f>
        <v>0</v>
      </c>
      <c r="L65" s="22">
        <f>SUBTOTAL(9,$C29:L29)</f>
        <v>0</v>
      </c>
      <c r="M65" s="22">
        <f>SUBTOTAL(9,$C29:M29)</f>
        <v>0</v>
      </c>
      <c r="N65" s="22">
        <f>SUBTOTAL(9,$C29:N29)</f>
        <v>0</v>
      </c>
      <c r="O65" s="22">
        <f>SUBTOTAL(9,$C29:O29)</f>
        <v>0</v>
      </c>
      <c r="P65" s="22">
        <f>SUBTOTAL(9,$C29:P29)</f>
        <v>0</v>
      </c>
      <c r="Q65" s="22">
        <f>SUBTOTAL(9,$C29:Q29)</f>
        <v>0</v>
      </c>
      <c r="R65" s="22">
        <f>SUBTOTAL(9,$C29:R29)</f>
        <v>0</v>
      </c>
      <c r="S65" s="22">
        <f>SUBTOTAL(9,$C29:S29)</f>
        <v>0</v>
      </c>
      <c r="T65" s="22">
        <f>SUBTOTAL(9,$T29:T29)</f>
        <v>0</v>
      </c>
      <c r="U65" s="22">
        <f>SUBTOTAL(9,$T29:U29)</f>
        <v>0</v>
      </c>
      <c r="V65" s="22">
        <f>SUBTOTAL(9,$T29:V29)</f>
        <v>0</v>
      </c>
      <c r="W65" s="22">
        <f>SUBTOTAL(9,$T29:W29)</f>
        <v>0</v>
      </c>
      <c r="X65" s="22">
        <f>SUBTOTAL(9,$T29:X29)</f>
        <v>0</v>
      </c>
      <c r="Y65" s="22">
        <f>SUBTOTAL(9,$T29:Y29)</f>
        <v>0</v>
      </c>
      <c r="Z65" s="22">
        <f>SUBTOTAL(9,$T29:Z29)</f>
        <v>0</v>
      </c>
      <c r="AA65" s="22">
        <f>SUBTOTAL(9,$T29:AA29)</f>
        <v>0</v>
      </c>
      <c r="AB65" s="22">
        <f>SUBTOTAL(9,$T29:AB29)</f>
        <v>0</v>
      </c>
      <c r="AC65" s="22">
        <f>SUBTOTAL(9,$T29:AC29)</f>
        <v>0</v>
      </c>
      <c r="AD65" s="22">
        <f>SUBTOTAL(9,$T29:AD29)</f>
        <v>0</v>
      </c>
      <c r="AE65" s="22">
        <f>SUBTOTAL(9,$T29:AE29)</f>
        <v>0</v>
      </c>
      <c r="AF65" s="22">
        <f>SUBTOTAL(9,$T29:AF29)</f>
        <v>0</v>
      </c>
      <c r="AG65" s="22">
        <f>SUBTOTAL(9,$T29:AG29)</f>
        <v>0</v>
      </c>
      <c r="AH65" s="22">
        <f>SUBTOTAL(9,$T29:AH29)</f>
        <v>0</v>
      </c>
      <c r="AI65" s="22">
        <f>SUBTOTAL(9,$T29:AI29)</f>
        <v>0</v>
      </c>
      <c r="AJ65" s="22">
        <f>SUBTOTAL(9,$T29:AJ29)</f>
        <v>0</v>
      </c>
    </row>
    <row r="66" spans="1:36" x14ac:dyDescent="0.25">
      <c r="A66" s="12" t="s">
        <v>63</v>
      </c>
      <c r="B66" s="12" t="s">
        <v>64</v>
      </c>
      <c r="C66" s="22">
        <f>SUBTOTAL(9,$C30:C30)</f>
        <v>0</v>
      </c>
      <c r="D66" s="22">
        <f>SUBTOTAL(9,$C30:D30)</f>
        <v>0</v>
      </c>
      <c r="E66" s="22">
        <f>SUBTOTAL(9,$C30:E30)</f>
        <v>1</v>
      </c>
      <c r="F66" s="22">
        <f>SUBTOTAL(9,$C30:F30)</f>
        <v>1</v>
      </c>
      <c r="G66" s="22">
        <f>SUBTOTAL(9,$C30:G30)</f>
        <v>1</v>
      </c>
      <c r="H66" s="22">
        <f>SUBTOTAL(9,$C30:H30)</f>
        <v>2</v>
      </c>
      <c r="I66" s="22">
        <f>SUBTOTAL(9,$C30:I30)</f>
        <v>2</v>
      </c>
      <c r="J66" s="22">
        <f>SUBTOTAL(9,$C30:J30)</f>
        <v>2</v>
      </c>
      <c r="K66" s="22">
        <f>SUBTOTAL(9,$C30:K30)</f>
        <v>2</v>
      </c>
      <c r="L66" s="22">
        <f>SUBTOTAL(9,$C30:L30)</f>
        <v>2</v>
      </c>
      <c r="M66" s="22">
        <f>SUBTOTAL(9,$C30:M30)</f>
        <v>2</v>
      </c>
      <c r="N66" s="22">
        <f>SUBTOTAL(9,$C30:N30)</f>
        <v>2</v>
      </c>
      <c r="O66" s="22">
        <f>SUBTOTAL(9,$C30:O30)</f>
        <v>2</v>
      </c>
      <c r="P66" s="22">
        <f>SUBTOTAL(9,$C30:P30)</f>
        <v>2</v>
      </c>
      <c r="Q66" s="22">
        <f>SUBTOTAL(9,$C30:Q30)</f>
        <v>2</v>
      </c>
      <c r="R66" s="22">
        <f>SUBTOTAL(9,$C30:R30)</f>
        <v>2</v>
      </c>
      <c r="S66" s="22">
        <f>SUBTOTAL(9,$C30:S30)</f>
        <v>2</v>
      </c>
      <c r="T66" s="22">
        <f>SUBTOTAL(9,$T30:T30)</f>
        <v>0</v>
      </c>
      <c r="U66" s="22">
        <f>SUBTOTAL(9,$T30:U30)</f>
        <v>2</v>
      </c>
      <c r="V66" s="22">
        <f>SUBTOTAL(9,$T30:V30)</f>
        <v>2</v>
      </c>
      <c r="W66" s="22">
        <f>SUBTOTAL(9,$T30:W30)</f>
        <v>2</v>
      </c>
      <c r="X66" s="22">
        <f>SUBTOTAL(9,$T30:X30)</f>
        <v>2</v>
      </c>
      <c r="Y66" s="22">
        <f>SUBTOTAL(9,$T30:Y30)</f>
        <v>6</v>
      </c>
      <c r="Z66" s="22">
        <f>SUBTOTAL(9,$T30:Z30)</f>
        <v>15</v>
      </c>
      <c r="AA66" s="22">
        <f>SUBTOTAL(9,$T30:AA30)</f>
        <v>15</v>
      </c>
      <c r="AB66" s="22">
        <f>SUBTOTAL(9,$T30:AB30)</f>
        <v>15</v>
      </c>
      <c r="AC66" s="22">
        <f>SUBTOTAL(9,$T30:AC30)</f>
        <v>15</v>
      </c>
      <c r="AD66" s="22">
        <f>SUBTOTAL(9,$T30:AD30)</f>
        <v>15</v>
      </c>
      <c r="AE66" s="22">
        <f>SUBTOTAL(9,$T30:AE30)</f>
        <v>15</v>
      </c>
      <c r="AF66" s="22">
        <f>SUBTOTAL(9,$T30:AF30)</f>
        <v>15</v>
      </c>
      <c r="AG66" s="22">
        <f>SUBTOTAL(9,$T30:AG30)</f>
        <v>16</v>
      </c>
      <c r="AH66" s="22">
        <f>SUBTOTAL(9,$T30:AH30)</f>
        <v>16</v>
      </c>
      <c r="AI66" s="22">
        <f>SUBTOTAL(9,$T30:AI30)</f>
        <v>16</v>
      </c>
      <c r="AJ66" s="22">
        <f>SUBTOTAL(9,$T30:AJ30)</f>
        <v>16</v>
      </c>
    </row>
    <row r="67" spans="1:36" x14ac:dyDescent="0.25">
      <c r="A67" s="12" t="s">
        <v>65</v>
      </c>
      <c r="B67" s="12" t="s">
        <v>66</v>
      </c>
      <c r="C67" s="22">
        <f>SUBTOTAL(9,$C31:C31)</f>
        <v>0</v>
      </c>
      <c r="D67" s="22">
        <f>SUBTOTAL(9,$C31:D31)</f>
        <v>0</v>
      </c>
      <c r="E67" s="22">
        <f>SUBTOTAL(9,$C31:E31)</f>
        <v>0</v>
      </c>
      <c r="F67" s="22">
        <f>SUBTOTAL(9,$C31:F31)</f>
        <v>0</v>
      </c>
      <c r="G67" s="22">
        <f>SUBTOTAL(9,$C31:G31)</f>
        <v>0</v>
      </c>
      <c r="H67" s="22">
        <f>SUBTOTAL(9,$C31:H31)</f>
        <v>0</v>
      </c>
      <c r="I67" s="22">
        <f>SUBTOTAL(9,$C31:I31)</f>
        <v>0</v>
      </c>
      <c r="J67" s="22">
        <f>SUBTOTAL(9,$C31:J31)</f>
        <v>0</v>
      </c>
      <c r="K67" s="22">
        <f>SUBTOTAL(9,$C31:K31)</f>
        <v>0</v>
      </c>
      <c r="L67" s="22">
        <f>SUBTOTAL(9,$C31:L31)</f>
        <v>0</v>
      </c>
      <c r="M67" s="22">
        <f>SUBTOTAL(9,$C31:M31)</f>
        <v>0</v>
      </c>
      <c r="N67" s="22">
        <f>SUBTOTAL(9,$C31:N31)</f>
        <v>0</v>
      </c>
      <c r="O67" s="22">
        <f>SUBTOTAL(9,$C31:O31)</f>
        <v>0</v>
      </c>
      <c r="P67" s="22">
        <f>SUBTOTAL(9,$C31:P31)</f>
        <v>0</v>
      </c>
      <c r="Q67" s="22">
        <f>SUBTOTAL(9,$C31:Q31)</f>
        <v>0</v>
      </c>
      <c r="R67" s="22">
        <f>SUBTOTAL(9,$C31:R31)</f>
        <v>0</v>
      </c>
      <c r="S67" s="22">
        <f>SUBTOTAL(9,$C31:S31)</f>
        <v>0</v>
      </c>
      <c r="T67" s="22">
        <f>SUBTOTAL(9,$T31:T31)</f>
        <v>0</v>
      </c>
      <c r="U67" s="22">
        <f>SUBTOTAL(9,$T31:U31)</f>
        <v>0</v>
      </c>
      <c r="V67" s="22">
        <f>SUBTOTAL(9,$T31:V31)</f>
        <v>0</v>
      </c>
      <c r="W67" s="22">
        <f>SUBTOTAL(9,$T31:W31)</f>
        <v>0</v>
      </c>
      <c r="X67" s="22">
        <f>SUBTOTAL(9,$T31:X31)</f>
        <v>0</v>
      </c>
      <c r="Y67" s="22">
        <f>SUBTOTAL(9,$T31:Y31)</f>
        <v>0</v>
      </c>
      <c r="Z67" s="22">
        <f>SUBTOTAL(9,$T31:Z31)</f>
        <v>0</v>
      </c>
      <c r="AA67" s="22">
        <f>SUBTOTAL(9,$T31:AA31)</f>
        <v>0</v>
      </c>
      <c r="AB67" s="22">
        <f>SUBTOTAL(9,$T31:AB31)</f>
        <v>0</v>
      </c>
      <c r="AC67" s="22">
        <f>SUBTOTAL(9,$T31:AC31)</f>
        <v>0</v>
      </c>
      <c r="AD67" s="22">
        <f>SUBTOTAL(9,$T31:AD31)</f>
        <v>0</v>
      </c>
      <c r="AE67" s="22">
        <f>SUBTOTAL(9,$T31:AE31)</f>
        <v>0</v>
      </c>
      <c r="AF67" s="22">
        <f>SUBTOTAL(9,$T31:AF31)</f>
        <v>0</v>
      </c>
      <c r="AG67" s="22">
        <f>SUBTOTAL(9,$T31:AG31)</f>
        <v>0</v>
      </c>
      <c r="AH67" s="22">
        <f>SUBTOTAL(9,$T31:AH31)</f>
        <v>0</v>
      </c>
      <c r="AI67" s="22">
        <f>SUBTOTAL(9,$T31:AI31)</f>
        <v>0</v>
      </c>
      <c r="AJ67" s="22">
        <f>SUBTOTAL(9,$T31:AJ31)</f>
        <v>0</v>
      </c>
    </row>
    <row r="68" spans="1:36" x14ac:dyDescent="0.25">
      <c r="A68" s="12" t="s">
        <v>67</v>
      </c>
      <c r="B68" s="12" t="s">
        <v>68</v>
      </c>
      <c r="C68" s="22">
        <f>SUBTOTAL(9,$C32:C32)</f>
        <v>0</v>
      </c>
      <c r="D68" s="22">
        <f>SUBTOTAL(9,$C32:D32)</f>
        <v>0</v>
      </c>
      <c r="E68" s="22">
        <f>SUBTOTAL(9,$C32:E32)</f>
        <v>0</v>
      </c>
      <c r="F68" s="22">
        <f>SUBTOTAL(9,$C32:F32)</f>
        <v>0</v>
      </c>
      <c r="G68" s="22">
        <f>SUBTOTAL(9,$C32:G32)</f>
        <v>3</v>
      </c>
      <c r="H68" s="22">
        <f>SUBTOTAL(9,$C32:H32)</f>
        <v>4</v>
      </c>
      <c r="I68" s="22">
        <f>SUBTOTAL(9,$C32:I32)</f>
        <v>4</v>
      </c>
      <c r="J68" s="22">
        <f>SUBTOTAL(9,$C32:J32)</f>
        <v>4</v>
      </c>
      <c r="K68" s="22">
        <f>SUBTOTAL(9,$C32:K32)</f>
        <v>4</v>
      </c>
      <c r="L68" s="22">
        <f>SUBTOTAL(9,$C32:L32)</f>
        <v>4</v>
      </c>
      <c r="M68" s="22">
        <f>SUBTOTAL(9,$C32:M32)</f>
        <v>5</v>
      </c>
      <c r="N68" s="22">
        <f>SUBTOTAL(9,$C32:N32)</f>
        <v>5</v>
      </c>
      <c r="O68" s="22">
        <f>SUBTOTAL(9,$C32:O32)</f>
        <v>5</v>
      </c>
      <c r="P68" s="22">
        <f>SUBTOTAL(9,$C32:P32)</f>
        <v>5</v>
      </c>
      <c r="Q68" s="22">
        <f>SUBTOTAL(9,$C32:Q32)</f>
        <v>5</v>
      </c>
      <c r="R68" s="22">
        <f>SUBTOTAL(9,$C32:R32)</f>
        <v>5</v>
      </c>
      <c r="S68" s="22">
        <f>SUBTOTAL(9,$C32:S32)</f>
        <v>5</v>
      </c>
      <c r="T68" s="22">
        <f>SUBTOTAL(9,$T32:T32)</f>
        <v>1</v>
      </c>
      <c r="U68" s="22">
        <f>SUBTOTAL(9,$T32:U32)</f>
        <v>1</v>
      </c>
      <c r="V68" s="22">
        <f>SUBTOTAL(9,$T32:V32)</f>
        <v>2</v>
      </c>
      <c r="W68" s="22">
        <f>SUBTOTAL(9,$T32:W32)</f>
        <v>2</v>
      </c>
      <c r="X68" s="22">
        <f>SUBTOTAL(9,$T32:X32)</f>
        <v>3</v>
      </c>
      <c r="Y68" s="22">
        <f>SUBTOTAL(9,$T32:Y32)</f>
        <v>4</v>
      </c>
      <c r="Z68" s="22">
        <f>SUBTOTAL(9,$T32:Z32)</f>
        <v>6</v>
      </c>
      <c r="AA68" s="22">
        <f>SUBTOTAL(9,$T32:AA32)</f>
        <v>6</v>
      </c>
      <c r="AB68" s="22">
        <f>SUBTOTAL(9,$T32:AB32)</f>
        <v>6</v>
      </c>
      <c r="AC68" s="22">
        <f>SUBTOTAL(9,$T32:AC32)</f>
        <v>6</v>
      </c>
      <c r="AD68" s="22">
        <f>SUBTOTAL(9,$T32:AD32)</f>
        <v>7</v>
      </c>
      <c r="AE68" s="22">
        <f>SUBTOTAL(9,$T32:AE32)</f>
        <v>7</v>
      </c>
      <c r="AF68" s="22">
        <f>SUBTOTAL(9,$T32:AF32)</f>
        <v>8</v>
      </c>
      <c r="AG68" s="22">
        <f>SUBTOTAL(9,$T32:AG32)</f>
        <v>10</v>
      </c>
      <c r="AH68" s="22">
        <f>SUBTOTAL(9,$T32:AH32)</f>
        <v>11</v>
      </c>
      <c r="AI68" s="22">
        <f>SUBTOTAL(9,$T32:AI32)</f>
        <v>11</v>
      </c>
      <c r="AJ68" s="22">
        <f>SUBTOTAL(9,$T32:AJ32)</f>
        <v>11</v>
      </c>
    </row>
    <row r="69" spans="1:36" x14ac:dyDescent="0.25">
      <c r="A69" s="12" t="s">
        <v>69</v>
      </c>
      <c r="B69" s="12" t="s">
        <v>70</v>
      </c>
      <c r="C69" s="22">
        <f>SUBTOTAL(9,$C33:C33)</f>
        <v>0</v>
      </c>
      <c r="D69" s="22">
        <f>SUBTOTAL(9,$C33:D33)</f>
        <v>0</v>
      </c>
      <c r="E69" s="22">
        <f>SUBTOTAL(9,$C33:E33)</f>
        <v>0</v>
      </c>
      <c r="F69" s="22">
        <f>SUBTOTAL(9,$C33:F33)</f>
        <v>0</v>
      </c>
      <c r="G69" s="22">
        <f>SUBTOTAL(9,$C33:G33)</f>
        <v>0</v>
      </c>
      <c r="H69" s="22">
        <f>SUBTOTAL(9,$C33:H33)</f>
        <v>0</v>
      </c>
      <c r="I69" s="22">
        <f>SUBTOTAL(9,$C33:I33)</f>
        <v>0</v>
      </c>
      <c r="J69" s="22">
        <f>SUBTOTAL(9,$C33:J33)</f>
        <v>0</v>
      </c>
      <c r="K69" s="22">
        <f>SUBTOTAL(9,$C33:K33)</f>
        <v>0</v>
      </c>
      <c r="L69" s="22">
        <f>SUBTOTAL(9,$C33:L33)</f>
        <v>0</v>
      </c>
      <c r="M69" s="22">
        <f>SUBTOTAL(9,$C33:M33)</f>
        <v>0</v>
      </c>
      <c r="N69" s="22">
        <f>SUBTOTAL(9,$C33:N33)</f>
        <v>0</v>
      </c>
      <c r="O69" s="22">
        <f>SUBTOTAL(9,$C33:O33)</f>
        <v>0</v>
      </c>
      <c r="P69" s="22">
        <f>SUBTOTAL(9,$C33:P33)</f>
        <v>0</v>
      </c>
      <c r="Q69" s="22">
        <f>SUBTOTAL(9,$C33:Q33)</f>
        <v>0</v>
      </c>
      <c r="R69" s="22">
        <f>SUBTOTAL(9,$C33:R33)</f>
        <v>0</v>
      </c>
      <c r="S69" s="22">
        <f>SUBTOTAL(9,$C33:S33)</f>
        <v>0</v>
      </c>
      <c r="T69" s="22">
        <f>SUBTOTAL(9,$T33:T33)</f>
        <v>0</v>
      </c>
      <c r="U69" s="22">
        <f>SUBTOTAL(9,$T33:U33)</f>
        <v>0</v>
      </c>
      <c r="V69" s="22">
        <f>SUBTOTAL(9,$T33:V33)</f>
        <v>0</v>
      </c>
      <c r="W69" s="22">
        <f>SUBTOTAL(9,$T33:W33)</f>
        <v>0</v>
      </c>
      <c r="X69" s="22">
        <f>SUBTOTAL(9,$T33:X33)</f>
        <v>0</v>
      </c>
      <c r="Y69" s="22">
        <f>SUBTOTAL(9,$T33:Y33)</f>
        <v>0</v>
      </c>
      <c r="Z69" s="22">
        <f>SUBTOTAL(9,$T33:Z33)</f>
        <v>0</v>
      </c>
      <c r="AA69" s="22">
        <f>SUBTOTAL(9,$T33:AA33)</f>
        <v>0</v>
      </c>
      <c r="AB69" s="22">
        <f>SUBTOTAL(9,$T33:AB33)</f>
        <v>0</v>
      </c>
      <c r="AC69" s="22">
        <f>SUBTOTAL(9,$T33:AC33)</f>
        <v>0</v>
      </c>
      <c r="AD69" s="22">
        <f>SUBTOTAL(9,$T33:AD33)</f>
        <v>0</v>
      </c>
      <c r="AE69" s="22">
        <f>SUBTOTAL(9,$T33:AE33)</f>
        <v>0</v>
      </c>
      <c r="AF69" s="22">
        <f>SUBTOTAL(9,$T33:AF33)</f>
        <v>0</v>
      </c>
      <c r="AG69" s="22">
        <f>SUBTOTAL(9,$T33:AG33)</f>
        <v>0</v>
      </c>
      <c r="AH69" s="22">
        <f>SUBTOTAL(9,$T33:AH33)</f>
        <v>0</v>
      </c>
      <c r="AI69" s="22">
        <f>SUBTOTAL(9,$T33:AI33)</f>
        <v>0</v>
      </c>
      <c r="AJ69" s="22">
        <f>SUBTOTAL(9,$T33:AJ33)</f>
        <v>0</v>
      </c>
    </row>
    <row r="70" spans="1:36" x14ac:dyDescent="0.25">
      <c r="A70" s="12" t="s">
        <v>71</v>
      </c>
      <c r="B70" s="12" t="s">
        <v>72</v>
      </c>
      <c r="C70" s="22">
        <f>SUBTOTAL(9,$C34:C34)</f>
        <v>0</v>
      </c>
      <c r="D70" s="22">
        <f>SUBTOTAL(9,$C34:D34)</f>
        <v>0</v>
      </c>
      <c r="E70" s="22">
        <f>SUBTOTAL(9,$C34:E34)</f>
        <v>0</v>
      </c>
      <c r="F70" s="22">
        <f>SUBTOTAL(9,$C34:F34)</f>
        <v>0</v>
      </c>
      <c r="G70" s="22">
        <f>SUBTOTAL(9,$C34:G34)</f>
        <v>0</v>
      </c>
      <c r="H70" s="22">
        <f>SUBTOTAL(9,$C34:H34)</f>
        <v>0</v>
      </c>
      <c r="I70" s="22">
        <f>SUBTOTAL(9,$C34:I34)</f>
        <v>0</v>
      </c>
      <c r="J70" s="22">
        <f>SUBTOTAL(9,$C34:J34)</f>
        <v>0</v>
      </c>
      <c r="K70" s="22">
        <f>SUBTOTAL(9,$C34:K34)</f>
        <v>0</v>
      </c>
      <c r="L70" s="22">
        <f>SUBTOTAL(9,$C34:L34)</f>
        <v>0</v>
      </c>
      <c r="M70" s="22">
        <f>SUBTOTAL(9,$C34:M34)</f>
        <v>0</v>
      </c>
      <c r="N70" s="22">
        <f>SUBTOTAL(9,$C34:N34)</f>
        <v>0</v>
      </c>
      <c r="O70" s="22">
        <f>SUBTOTAL(9,$C34:O34)</f>
        <v>0</v>
      </c>
      <c r="P70" s="22">
        <f>SUBTOTAL(9,$C34:P34)</f>
        <v>0</v>
      </c>
      <c r="Q70" s="22">
        <f>SUBTOTAL(9,$C34:Q34)</f>
        <v>0</v>
      </c>
      <c r="R70" s="22">
        <f>SUBTOTAL(9,$C34:R34)</f>
        <v>0</v>
      </c>
      <c r="S70" s="22">
        <f>SUBTOTAL(9,$C34:S34)</f>
        <v>0</v>
      </c>
      <c r="T70" s="22">
        <f>SUBTOTAL(9,$T34:T34)</f>
        <v>0</v>
      </c>
      <c r="U70" s="22">
        <f>SUBTOTAL(9,$T34:U34)</f>
        <v>0</v>
      </c>
      <c r="V70" s="22">
        <f>SUBTOTAL(9,$T34:V34)</f>
        <v>0</v>
      </c>
      <c r="W70" s="22">
        <f>SUBTOTAL(9,$T34:W34)</f>
        <v>0</v>
      </c>
      <c r="X70" s="22">
        <f>SUBTOTAL(9,$T34:X34)</f>
        <v>0</v>
      </c>
      <c r="Y70" s="22">
        <f>SUBTOTAL(9,$T34:Y34)</f>
        <v>0</v>
      </c>
      <c r="Z70" s="22">
        <f>SUBTOTAL(9,$T34:Z34)</f>
        <v>0</v>
      </c>
      <c r="AA70" s="22">
        <f>SUBTOTAL(9,$T34:AA34)</f>
        <v>0</v>
      </c>
      <c r="AB70" s="22">
        <f>SUBTOTAL(9,$T34:AB34)</f>
        <v>0</v>
      </c>
      <c r="AC70" s="22">
        <f>SUBTOTAL(9,$T34:AC34)</f>
        <v>0</v>
      </c>
      <c r="AD70" s="22">
        <f>SUBTOTAL(9,$T34:AD34)</f>
        <v>0</v>
      </c>
      <c r="AE70" s="22">
        <f>SUBTOTAL(9,$T34:AE34)</f>
        <v>0</v>
      </c>
      <c r="AF70" s="22">
        <f>SUBTOTAL(9,$T34:AF34)</f>
        <v>0</v>
      </c>
      <c r="AG70" s="22">
        <f>SUBTOTAL(9,$T34:AG34)</f>
        <v>0</v>
      </c>
      <c r="AH70" s="22">
        <f>SUBTOTAL(9,$T34:AH34)</f>
        <v>0</v>
      </c>
      <c r="AI70" s="22">
        <f>SUBTOTAL(9,$T34:AI34)</f>
        <v>0</v>
      </c>
      <c r="AJ70" s="22">
        <f>SUBTOTAL(9,$T34:AJ34)</f>
        <v>0</v>
      </c>
    </row>
    <row r="71" spans="1:36" x14ac:dyDescent="0.25">
      <c r="A71" s="12" t="s">
        <v>73</v>
      </c>
      <c r="B71" s="12" t="s">
        <v>74</v>
      </c>
      <c r="C71" s="22">
        <f>SUBTOTAL(9,$C35:C35)</f>
        <v>0</v>
      </c>
      <c r="D71" s="22">
        <f>SUBTOTAL(9,$C35:D35)</f>
        <v>0</v>
      </c>
      <c r="E71" s="22">
        <f>SUBTOTAL(9,$C35:E35)</f>
        <v>0</v>
      </c>
      <c r="F71" s="22">
        <f>SUBTOTAL(9,$C35:F35)</f>
        <v>0</v>
      </c>
      <c r="G71" s="22">
        <f>SUBTOTAL(9,$C35:G35)</f>
        <v>1</v>
      </c>
      <c r="H71" s="22">
        <f>SUBTOTAL(9,$C35:H35)</f>
        <v>2</v>
      </c>
      <c r="I71" s="22">
        <f>SUBTOTAL(9,$C35:I35)</f>
        <v>4</v>
      </c>
      <c r="J71" s="22">
        <f>SUBTOTAL(9,$C35:J35)</f>
        <v>4</v>
      </c>
      <c r="K71" s="22">
        <f>SUBTOTAL(9,$C35:K35)</f>
        <v>4</v>
      </c>
      <c r="L71" s="22">
        <f>SUBTOTAL(9,$C35:L35)</f>
        <v>4</v>
      </c>
      <c r="M71" s="22">
        <f>SUBTOTAL(9,$C35:M35)</f>
        <v>4</v>
      </c>
      <c r="N71" s="22">
        <f>SUBTOTAL(9,$C35:N35)</f>
        <v>4</v>
      </c>
      <c r="O71" s="22">
        <f>SUBTOTAL(9,$C35:O35)</f>
        <v>4</v>
      </c>
      <c r="P71" s="22">
        <f>SUBTOTAL(9,$C35:P35)</f>
        <v>4</v>
      </c>
      <c r="Q71" s="22">
        <f>SUBTOTAL(9,$C35:Q35)</f>
        <v>4</v>
      </c>
      <c r="R71" s="22">
        <f>SUBTOTAL(9,$C35:R35)</f>
        <v>4</v>
      </c>
      <c r="S71" s="22">
        <f>SUBTOTAL(9,$C35:S35)</f>
        <v>4</v>
      </c>
      <c r="T71" s="22">
        <f>SUBTOTAL(9,$T35:T35)</f>
        <v>0</v>
      </c>
      <c r="U71" s="22">
        <f>SUBTOTAL(9,$T35:U35)</f>
        <v>1</v>
      </c>
      <c r="V71" s="22">
        <f>SUBTOTAL(9,$T35:V35)</f>
        <v>1</v>
      </c>
      <c r="W71" s="22">
        <f>SUBTOTAL(9,$T35:W35)</f>
        <v>1</v>
      </c>
      <c r="X71" s="22">
        <f>SUBTOTAL(9,$T35:X35)</f>
        <v>2</v>
      </c>
      <c r="Y71" s="22">
        <f>SUBTOTAL(9,$T35:Y35)</f>
        <v>3</v>
      </c>
      <c r="Z71" s="22">
        <f>SUBTOTAL(9,$T35:Z35)</f>
        <v>4</v>
      </c>
      <c r="AA71" s="22">
        <f>SUBTOTAL(9,$T35:AA35)</f>
        <v>4</v>
      </c>
      <c r="AB71" s="22">
        <f>SUBTOTAL(9,$T35:AB35)</f>
        <v>4</v>
      </c>
      <c r="AC71" s="22">
        <f>SUBTOTAL(9,$T35:AC35)</f>
        <v>4</v>
      </c>
      <c r="AD71" s="22">
        <f>SUBTOTAL(9,$T35:AD35)</f>
        <v>4</v>
      </c>
      <c r="AE71" s="22">
        <f>SUBTOTAL(9,$T35:AE35)</f>
        <v>4</v>
      </c>
      <c r="AF71" s="22">
        <f>SUBTOTAL(9,$T35:AF35)</f>
        <v>4</v>
      </c>
      <c r="AG71" s="22">
        <f>SUBTOTAL(9,$T35:AG35)</f>
        <v>4</v>
      </c>
      <c r="AH71" s="22">
        <f>SUBTOTAL(9,$T35:AH35)</f>
        <v>5</v>
      </c>
      <c r="AI71" s="22">
        <f>SUBTOTAL(9,$T35:AI35)</f>
        <v>5</v>
      </c>
      <c r="AJ71" s="22">
        <f>SUBTOTAL(9,$T35:AJ35)</f>
        <v>5</v>
      </c>
    </row>
  </sheetData>
  <mergeCells count="4">
    <mergeCell ref="C1:S1"/>
    <mergeCell ref="T1:AJ1"/>
    <mergeCell ref="A38:B38"/>
    <mergeCell ref="A36:B36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C068-5D5F-4105-9587-9CCE57121EE3}">
  <sheetPr>
    <tabColor rgb="FF92D050"/>
  </sheetPr>
  <dimension ref="A1:AJ73"/>
  <sheetViews>
    <sheetView workbookViewId="0">
      <selection activeCell="T5" sqref="T5"/>
    </sheetView>
  </sheetViews>
  <sheetFormatPr defaultRowHeight="15" outlineLevelCol="1" x14ac:dyDescent="0.25"/>
  <cols>
    <col min="1" max="1" width="10.42578125" customWidth="1"/>
    <col min="2" max="2" width="27.42578125" customWidth="1"/>
    <col min="3" max="17" width="9.140625" customWidth="1" outlineLevel="1"/>
    <col min="18" max="19" width="9.140625" hidden="1" customWidth="1" outlineLevel="1"/>
    <col min="23" max="23" width="0" hidden="1" customWidth="1"/>
    <col min="27" max="27" width="0" hidden="1" customWidth="1"/>
    <col min="31" max="31" width="0" hidden="1" customWidth="1"/>
  </cols>
  <sheetData>
    <row r="1" spans="1:36" ht="15.75" thickBot="1" x14ac:dyDescent="0.3">
      <c r="C1" s="95" t="s">
        <v>2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 t="s">
        <v>3</v>
      </c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2"/>
    </row>
    <row r="2" spans="1:36" x14ac:dyDescent="0.25">
      <c r="A2" s="30" t="s">
        <v>4</v>
      </c>
      <c r="B2" s="30" t="s">
        <v>5</v>
      </c>
      <c r="C2" s="16" t="str">
        <f>"JUL, "&amp;C1</f>
        <v>JUL, FY24</v>
      </c>
      <c r="D2" s="8" t="str">
        <f>"AUG, "&amp;C1</f>
        <v>AUG, FY24</v>
      </c>
      <c r="E2" s="8" t="str">
        <f>"SEP, "&amp;C1</f>
        <v>SEP, FY24</v>
      </c>
      <c r="F2" s="8" t="str">
        <f>"Q1, "&amp;C1</f>
        <v>Q1, FY24</v>
      </c>
      <c r="G2" s="8" t="str">
        <f>"OCT, "&amp;C1</f>
        <v>OCT, FY24</v>
      </c>
      <c r="H2" s="8" t="str">
        <f>"NOV, "&amp;C1</f>
        <v>NOV, FY24</v>
      </c>
      <c r="I2" s="8" t="str">
        <f>"DEC, "&amp;C1</f>
        <v>DEC, FY24</v>
      </c>
      <c r="J2" s="8" t="str">
        <f>"Q2, "&amp;C1</f>
        <v>Q2, FY24</v>
      </c>
      <c r="K2" s="8" t="str">
        <f>"JAN, "&amp;C1</f>
        <v>JAN, FY24</v>
      </c>
      <c r="L2" s="8" t="str">
        <f>"FEB, "&amp;C1</f>
        <v>FEB, FY24</v>
      </c>
      <c r="M2" s="8" t="str">
        <f>"MAR, "&amp;C1</f>
        <v>MAR, FY24</v>
      </c>
      <c r="N2" s="8" t="str">
        <f>"Q3, "&amp;C1</f>
        <v>Q3, FY24</v>
      </c>
      <c r="O2" s="8" t="str">
        <f>"APR, "&amp;C1</f>
        <v>APR, FY24</v>
      </c>
      <c r="P2" s="8" t="str">
        <f>"MAY, "&amp;C1</f>
        <v>MAY, FY24</v>
      </c>
      <c r="Q2" s="8" t="str">
        <f>"JUN, "&amp;C1</f>
        <v>JUN, FY24</v>
      </c>
      <c r="R2" s="8" t="str">
        <f>"Q4, "&amp;C1</f>
        <v>Q4, FY24</v>
      </c>
      <c r="S2" s="8" t="str">
        <f>"Full Year, "&amp;C1</f>
        <v>Full Year, FY24</v>
      </c>
      <c r="T2" s="18" t="str">
        <f>"JUL, "&amp;T1</f>
        <v>JUL, FY25</v>
      </c>
      <c r="U2" s="19" t="str">
        <f>"AUG, "&amp;T1</f>
        <v>AUG, FY25</v>
      </c>
      <c r="V2" s="19" t="str">
        <f>"SEP, "&amp;T1</f>
        <v>SEP, FY25</v>
      </c>
      <c r="W2" s="19" t="str">
        <f>"Q1, "&amp;T1</f>
        <v>Q1, FY25</v>
      </c>
      <c r="X2" s="19" t="str">
        <f>"OCT, "&amp;T1</f>
        <v>OCT, FY25</v>
      </c>
      <c r="Y2" s="19" t="str">
        <f>"NOV, "&amp;T1</f>
        <v>NOV, FY25</v>
      </c>
      <c r="Z2" s="19" t="str">
        <f>"DEC, "&amp;T1</f>
        <v>DEC, FY25</v>
      </c>
      <c r="AA2" s="19" t="str">
        <f>"Q2, "&amp;T1</f>
        <v>Q2, FY25</v>
      </c>
      <c r="AB2" s="19" t="str">
        <f>"JAN, "&amp;T1</f>
        <v>JAN, FY25</v>
      </c>
      <c r="AC2" s="19" t="str">
        <f>"FEB, "&amp;T1</f>
        <v>FEB, FY25</v>
      </c>
      <c r="AD2" s="19" t="str">
        <f>"MAR, "&amp;T1</f>
        <v>MAR, FY25</v>
      </c>
      <c r="AE2" s="19" t="str">
        <f>"Q3, "&amp;T1</f>
        <v>Q3, FY25</v>
      </c>
      <c r="AF2" s="19" t="str">
        <f>"APR, "&amp;T1</f>
        <v>APR, FY25</v>
      </c>
      <c r="AG2" s="19" t="str">
        <f>"MAY, "&amp;T1</f>
        <v>MAY, FY25</v>
      </c>
      <c r="AH2" s="19" t="str">
        <f>"JUN, "&amp;T1</f>
        <v>JUN, FY25</v>
      </c>
      <c r="AI2" s="19" t="str">
        <f>"Q4, "&amp;T1</f>
        <v>Q4, FY25</v>
      </c>
      <c r="AJ2" s="19" t="str">
        <f>"Full Year, "&amp;T1</f>
        <v>Full Year, FY25</v>
      </c>
    </row>
    <row r="3" spans="1:36" x14ac:dyDescent="0.25">
      <c r="A3" s="12" t="s">
        <v>78</v>
      </c>
      <c r="B3" s="12" t="s">
        <v>79</v>
      </c>
      <c r="C3" s="17">
        <f>COUNTIFS('Data Dump'!$P:$P,'HS FEED'!$A3,'Data Dump'!$S:$S,'HS FEED'!C$2)</f>
        <v>3</v>
      </c>
      <c r="D3" s="17">
        <f>COUNTIFS('Data Dump'!$P:$P,'HS FEED'!$A3,'Data Dump'!$S:$S,'HS FEED'!D$2)</f>
        <v>0</v>
      </c>
      <c r="E3" s="17">
        <f>COUNTIFS('Data Dump'!$P:$P,'HS FEED'!$A3,'Data Dump'!$S:$S,'HS FEED'!E$2)</f>
        <v>4</v>
      </c>
      <c r="F3" s="20">
        <f>SUBTOTAL(9,C3:E3)</f>
        <v>7</v>
      </c>
      <c r="G3" s="17">
        <f>COUNTIFS('Data Dump'!$P:$P,'HS FEED'!$A3,'Data Dump'!$S:$S,'HS FEED'!G$2)</f>
        <v>0</v>
      </c>
      <c r="H3" s="17">
        <f>COUNTIFS('Data Dump'!$P:$P,'HS FEED'!$A3,'Data Dump'!$S:$S,'HS FEED'!H$2)</f>
        <v>2</v>
      </c>
      <c r="I3" s="17">
        <f>COUNTIFS('Data Dump'!$P:$P,'HS FEED'!$A3,'Data Dump'!$S:$S,'HS FEED'!I$2)</f>
        <v>1</v>
      </c>
      <c r="J3" s="20">
        <f>SUBTOTAL(9,G3:I3)</f>
        <v>3</v>
      </c>
      <c r="K3" s="17">
        <f>COUNTIFS('Data Dump'!$P:$P,'HS FEED'!$A3,'Data Dump'!$S:$S,'HS FEED'!K$2)</f>
        <v>0</v>
      </c>
      <c r="L3" s="17">
        <f>COUNTIFS('Data Dump'!$P:$P,'HS FEED'!$A3,'Data Dump'!$S:$S,'HS FEED'!L$2)</f>
        <v>0</v>
      </c>
      <c r="M3" s="17">
        <f>COUNTIFS('Data Dump'!$P:$P,'HS FEED'!$A3,'Data Dump'!$S:$S,'HS FEED'!M$2)</f>
        <v>1</v>
      </c>
      <c r="N3" s="20">
        <f>SUBTOTAL(9,K3:M3)</f>
        <v>1</v>
      </c>
      <c r="O3" s="17">
        <f>COUNTIFS('Data Dump'!$P:$P,'HS FEED'!$A3,'Data Dump'!$S:$S,'HS FEED'!O$2)</f>
        <v>1</v>
      </c>
      <c r="P3" s="17">
        <f>COUNTIFS('Data Dump'!$P:$P,'HS FEED'!$A3,'Data Dump'!$S:$S,'HS FEED'!P$2)</f>
        <v>0</v>
      </c>
      <c r="Q3" s="17">
        <f>COUNTIFS('Data Dump'!$P:$P,'HS FEED'!$A3,'Data Dump'!$S:$S,'HS FEED'!Q$2)</f>
        <v>0</v>
      </c>
      <c r="R3" s="20">
        <f>SUBTOTAL(9,O3:Q3)</f>
        <v>1</v>
      </c>
      <c r="S3" s="20">
        <f>SUBTOTAL(9,C3:R3)</f>
        <v>12</v>
      </c>
      <c r="T3" s="17">
        <f>COUNTIFS('Data Dump'!$P:$P,'HS FEED'!$A3,'Data Dump'!$S:$S,'HS FEED'!T$2)</f>
        <v>0</v>
      </c>
      <c r="U3" s="17">
        <f>COUNTIFS('Data Dump'!$P:$P,'HS FEED'!$A3,'Data Dump'!$S:$S,'HS FEED'!U$2)</f>
        <v>0</v>
      </c>
      <c r="V3" s="17">
        <f>COUNTIFS('Data Dump'!$P:$P,'HS FEED'!$A3,'Data Dump'!$S:$S,'HS FEED'!V$2)</f>
        <v>2</v>
      </c>
      <c r="W3" s="20">
        <f>SUBTOTAL(9,T3:V3)</f>
        <v>2</v>
      </c>
      <c r="X3" s="17">
        <f>COUNTIFS('Data Dump'!$P:$P,'HS FEED'!$A3,'Data Dump'!$S:$S,'HS FEED'!X$2)</f>
        <v>0</v>
      </c>
      <c r="Y3" s="17">
        <f>COUNTIFS('Data Dump'!$P:$P,'HS FEED'!$A3,'Data Dump'!$S:$S,'HS FEED'!Y$2)</f>
        <v>1</v>
      </c>
      <c r="Z3" s="17">
        <f>COUNTIFS('Data Dump'!$P:$P,'HS FEED'!$A3,'Data Dump'!$S:$S,'HS FEED'!Z$2)</f>
        <v>0</v>
      </c>
      <c r="AA3" s="20">
        <f>SUBTOTAL(9,X3:Z3)</f>
        <v>1</v>
      </c>
      <c r="AB3" s="17">
        <f>COUNTIFS('Data Dump'!$P:$P,'HS FEED'!$A3,'Data Dump'!$S:$S,'HS FEED'!AB$2)</f>
        <v>0</v>
      </c>
      <c r="AC3" s="17">
        <f>COUNTIFS('Data Dump'!$P:$P,'HS FEED'!$A3,'Data Dump'!$S:$S,'HS FEED'!AC$2)</f>
        <v>0</v>
      </c>
      <c r="AD3" s="17">
        <f>COUNTIFS('Data Dump'!$P:$P,'HS FEED'!$A3,'Data Dump'!$S:$S,'HS FEED'!AD$2)</f>
        <v>1</v>
      </c>
      <c r="AE3" s="20">
        <f>SUBTOTAL(9,AB3:AD3)</f>
        <v>1</v>
      </c>
      <c r="AF3" s="17">
        <f>COUNTIFS('Data Dump'!$P:$P,'HS FEED'!$A3,'Data Dump'!$S:$S,'HS FEED'!AF$2)</f>
        <v>0</v>
      </c>
      <c r="AG3" s="17">
        <f>COUNTIFS('Data Dump'!$P:$P,'HS FEED'!$A3,'Data Dump'!$S:$S,'HS FEED'!AG$2)</f>
        <v>1</v>
      </c>
      <c r="AH3" s="17">
        <f>COUNTIFS('Data Dump'!$P:$P,'HS FEED'!$A3,'Data Dump'!$S:$S,'HS FEED'!AH$2)</f>
        <v>0</v>
      </c>
      <c r="AI3" s="20">
        <f>SUBTOTAL(9,AF3:AH3)</f>
        <v>1</v>
      </c>
      <c r="AJ3" s="20">
        <f>SUBTOTAL(9,T3:AI3)</f>
        <v>5</v>
      </c>
    </row>
    <row r="4" spans="1:36" x14ac:dyDescent="0.25">
      <c r="A4" s="12" t="s">
        <v>80</v>
      </c>
      <c r="B4" s="13" t="s">
        <v>81</v>
      </c>
      <c r="C4" s="17">
        <f>COUNTIFS('Data Dump'!$P:$P,'HS FEED'!$A4,'Data Dump'!$S:$S,'HS FEED'!C$2)</f>
        <v>0</v>
      </c>
      <c r="D4" s="17">
        <f>COUNTIFS('Data Dump'!$P:$P,'HS FEED'!$A4,'Data Dump'!$S:$S,'HS FEED'!D$2)</f>
        <v>0</v>
      </c>
      <c r="E4" s="17">
        <f>COUNTIFS('Data Dump'!$P:$P,'HS FEED'!$A4,'Data Dump'!$S:$S,'HS FEED'!E$2)</f>
        <v>0</v>
      </c>
      <c r="F4" s="20">
        <f t="shared" ref="F4:F36" si="0">SUBTOTAL(9,C4:E4)</f>
        <v>0</v>
      </c>
      <c r="G4" s="17">
        <f>COUNTIFS('Data Dump'!$P:$P,'HS FEED'!$A4,'Data Dump'!$S:$S,'HS FEED'!G$2)</f>
        <v>0</v>
      </c>
      <c r="H4" s="17">
        <f>COUNTIFS('Data Dump'!$P:$P,'HS FEED'!$A4,'Data Dump'!$S:$S,'HS FEED'!H$2)</f>
        <v>0</v>
      </c>
      <c r="I4" s="17">
        <f>COUNTIFS('Data Dump'!$P:$P,'HS FEED'!$A4,'Data Dump'!$S:$S,'HS FEED'!I$2)</f>
        <v>0</v>
      </c>
      <c r="J4" s="20">
        <f t="shared" ref="J4:J36" si="1">SUBTOTAL(9,G4:I4)</f>
        <v>0</v>
      </c>
      <c r="K4" s="17">
        <f>COUNTIFS('Data Dump'!$P:$P,'HS FEED'!$A4,'Data Dump'!$S:$S,'HS FEED'!K$2)</f>
        <v>0</v>
      </c>
      <c r="L4" s="17">
        <f>COUNTIFS('Data Dump'!$P:$P,'HS FEED'!$A4,'Data Dump'!$S:$S,'HS FEED'!L$2)</f>
        <v>0</v>
      </c>
      <c r="M4" s="17">
        <f>COUNTIFS('Data Dump'!$P:$P,'HS FEED'!$A4,'Data Dump'!$S:$S,'HS FEED'!M$2)</f>
        <v>0</v>
      </c>
      <c r="N4" s="20">
        <f t="shared" ref="N4:N36" si="2">SUBTOTAL(9,K4:M4)</f>
        <v>0</v>
      </c>
      <c r="O4" s="17">
        <f>COUNTIFS('Data Dump'!$P:$P,'HS FEED'!$A4,'Data Dump'!$S:$S,'HS FEED'!O$2)</f>
        <v>0</v>
      </c>
      <c r="P4" s="17">
        <f>COUNTIFS('Data Dump'!$P:$P,'HS FEED'!$A4,'Data Dump'!$S:$S,'HS FEED'!P$2)</f>
        <v>0</v>
      </c>
      <c r="Q4" s="17">
        <f>COUNTIFS('Data Dump'!$P:$P,'HS FEED'!$A4,'Data Dump'!$S:$S,'HS FEED'!Q$2)</f>
        <v>0</v>
      </c>
      <c r="R4" s="20">
        <f t="shared" ref="R4:R36" si="3">SUBTOTAL(9,O4:Q4)</f>
        <v>0</v>
      </c>
      <c r="S4" s="20">
        <f t="shared" ref="S4:S36" si="4">SUBTOTAL(9,C4:R4)</f>
        <v>0</v>
      </c>
      <c r="T4" s="17">
        <f>COUNTIFS('Data Dump'!$P:$P,'HS FEED'!$A4,'Data Dump'!$S:$S,'HS FEED'!T$2)</f>
        <v>0</v>
      </c>
      <c r="U4" s="17">
        <f>COUNTIFS('Data Dump'!$P:$P,'HS FEED'!$A4,'Data Dump'!$S:$S,'HS FEED'!U$2)</f>
        <v>0</v>
      </c>
      <c r="V4" s="17">
        <f>COUNTIFS('Data Dump'!$P:$P,'HS FEED'!$A4,'Data Dump'!$S:$S,'HS FEED'!V$2)</f>
        <v>0</v>
      </c>
      <c r="W4" s="20">
        <f t="shared" ref="W4:W36" si="5">SUBTOTAL(9,T4:V4)</f>
        <v>0</v>
      </c>
      <c r="X4" s="17">
        <f>COUNTIFS('Data Dump'!$P:$P,'HS FEED'!$A4,'Data Dump'!$S:$S,'HS FEED'!X$2)</f>
        <v>0</v>
      </c>
      <c r="Y4" s="17">
        <f>COUNTIFS('Data Dump'!$P:$P,'HS FEED'!$A4,'Data Dump'!$S:$S,'HS FEED'!Y$2)</f>
        <v>0</v>
      </c>
      <c r="Z4" s="17">
        <f>COUNTIFS('Data Dump'!$P:$P,'HS FEED'!$A4,'Data Dump'!$S:$S,'HS FEED'!Z$2)</f>
        <v>0</v>
      </c>
      <c r="AA4" s="20">
        <f t="shared" ref="AA4:AA36" si="6">SUBTOTAL(9,X4:Z4)</f>
        <v>0</v>
      </c>
      <c r="AB4" s="17">
        <f>COUNTIFS('Data Dump'!$P:$P,'HS FEED'!$A4,'Data Dump'!$S:$S,'HS FEED'!AB$2)</f>
        <v>0</v>
      </c>
      <c r="AC4" s="17">
        <f>COUNTIFS('Data Dump'!$P:$P,'HS FEED'!$A4,'Data Dump'!$S:$S,'HS FEED'!AC$2)</f>
        <v>0</v>
      </c>
      <c r="AD4" s="17">
        <f>COUNTIFS('Data Dump'!$P:$P,'HS FEED'!$A4,'Data Dump'!$S:$S,'HS FEED'!AD$2)</f>
        <v>0</v>
      </c>
      <c r="AE4" s="20">
        <f t="shared" ref="AE4:AE36" si="7">SUBTOTAL(9,AB4:AD4)</f>
        <v>0</v>
      </c>
      <c r="AF4" s="17">
        <f>COUNTIFS('Data Dump'!$P:$P,'HS FEED'!$A4,'Data Dump'!$S:$S,'HS FEED'!AF$2)</f>
        <v>0</v>
      </c>
      <c r="AG4" s="17">
        <f>COUNTIFS('Data Dump'!$P:$P,'HS FEED'!$A4,'Data Dump'!$S:$S,'HS FEED'!AG$2)</f>
        <v>0</v>
      </c>
      <c r="AH4" s="17">
        <f>COUNTIFS('Data Dump'!$P:$P,'HS FEED'!$A4,'Data Dump'!$S:$S,'HS FEED'!AH$2)</f>
        <v>0</v>
      </c>
      <c r="AI4" s="20">
        <f t="shared" ref="AI4:AI36" si="8">SUBTOTAL(9,AF4:AH4)</f>
        <v>0</v>
      </c>
      <c r="AJ4" s="20">
        <f t="shared" ref="AJ4:AJ36" si="9">SUBTOTAL(9,T4:AI4)</f>
        <v>0</v>
      </c>
    </row>
    <row r="5" spans="1:36" x14ac:dyDescent="0.25">
      <c r="A5" s="12" t="s">
        <v>82</v>
      </c>
      <c r="B5" s="13" t="s">
        <v>83</v>
      </c>
      <c r="C5" s="17">
        <f>COUNTIFS('Data Dump'!$P:$P,'HS FEED'!$A5,'Data Dump'!$S:$S,'HS FEED'!C$2)</f>
        <v>0</v>
      </c>
      <c r="D5" s="17">
        <f>COUNTIFS('Data Dump'!$P:$P,'HS FEED'!$A5,'Data Dump'!$S:$S,'HS FEED'!D$2)</f>
        <v>0</v>
      </c>
      <c r="E5" s="17">
        <f>COUNTIFS('Data Dump'!$P:$P,'HS FEED'!$A5,'Data Dump'!$S:$S,'HS FEED'!E$2)</f>
        <v>0</v>
      </c>
      <c r="F5" s="20">
        <f t="shared" si="0"/>
        <v>0</v>
      </c>
      <c r="G5" s="17">
        <f>COUNTIFS('Data Dump'!$P:$P,'HS FEED'!$A5,'Data Dump'!$S:$S,'HS FEED'!G$2)</f>
        <v>0</v>
      </c>
      <c r="H5" s="17">
        <f>COUNTIFS('Data Dump'!$P:$P,'HS FEED'!$A5,'Data Dump'!$S:$S,'HS FEED'!H$2)</f>
        <v>1</v>
      </c>
      <c r="I5" s="17">
        <f>COUNTIFS('Data Dump'!$P:$P,'HS FEED'!$A5,'Data Dump'!$S:$S,'HS FEED'!I$2)</f>
        <v>0</v>
      </c>
      <c r="J5" s="20">
        <f t="shared" si="1"/>
        <v>1</v>
      </c>
      <c r="K5" s="17">
        <f>COUNTIFS('Data Dump'!$P:$P,'HS FEED'!$A5,'Data Dump'!$S:$S,'HS FEED'!K$2)</f>
        <v>0</v>
      </c>
      <c r="L5" s="17">
        <f>COUNTIFS('Data Dump'!$P:$P,'HS FEED'!$A5,'Data Dump'!$S:$S,'HS FEED'!L$2)</f>
        <v>0</v>
      </c>
      <c r="M5" s="17">
        <f>COUNTIFS('Data Dump'!$P:$P,'HS FEED'!$A5,'Data Dump'!$S:$S,'HS FEED'!M$2)</f>
        <v>0</v>
      </c>
      <c r="N5" s="20">
        <f t="shared" si="2"/>
        <v>0</v>
      </c>
      <c r="O5" s="17">
        <f>COUNTIFS('Data Dump'!$P:$P,'HS FEED'!$A5,'Data Dump'!$S:$S,'HS FEED'!O$2)</f>
        <v>0</v>
      </c>
      <c r="P5" s="17">
        <f>COUNTIFS('Data Dump'!$P:$P,'HS FEED'!$A5,'Data Dump'!$S:$S,'HS FEED'!P$2)</f>
        <v>0</v>
      </c>
      <c r="Q5" s="17">
        <f>COUNTIFS('Data Dump'!$P:$P,'HS FEED'!$A5,'Data Dump'!$S:$S,'HS FEED'!Q$2)</f>
        <v>0</v>
      </c>
      <c r="R5" s="20">
        <f t="shared" si="3"/>
        <v>0</v>
      </c>
      <c r="S5" s="20">
        <f t="shared" si="4"/>
        <v>1</v>
      </c>
      <c r="T5" s="17">
        <f>COUNTIFS('Data Dump'!$P:$P,'HS FEED'!$A5,'Data Dump'!$S:$S,'HS FEED'!T$2)</f>
        <v>0</v>
      </c>
      <c r="U5" s="17">
        <f>COUNTIFS('Data Dump'!$P:$P,'HS FEED'!$A5,'Data Dump'!$S:$S,'HS FEED'!U$2)</f>
        <v>0</v>
      </c>
      <c r="V5" s="17">
        <f>COUNTIFS('Data Dump'!$P:$P,'HS FEED'!$A5,'Data Dump'!$S:$S,'HS FEED'!V$2)</f>
        <v>0</v>
      </c>
      <c r="W5" s="20">
        <f t="shared" si="5"/>
        <v>0</v>
      </c>
      <c r="X5" s="17">
        <f>COUNTIFS('Data Dump'!$P:$P,'HS FEED'!$A5,'Data Dump'!$S:$S,'HS FEED'!X$2)</f>
        <v>0</v>
      </c>
      <c r="Y5" s="17">
        <f>COUNTIFS('Data Dump'!$P:$P,'HS FEED'!$A5,'Data Dump'!$S:$S,'HS FEED'!Y$2)</f>
        <v>0</v>
      </c>
      <c r="Z5" s="17">
        <f>COUNTIFS('Data Dump'!$P:$P,'HS FEED'!$A5,'Data Dump'!$S:$S,'HS FEED'!Z$2)</f>
        <v>0</v>
      </c>
      <c r="AA5" s="20">
        <f t="shared" si="6"/>
        <v>0</v>
      </c>
      <c r="AB5" s="17">
        <f>COUNTIFS('Data Dump'!$P:$P,'HS FEED'!$A5,'Data Dump'!$S:$S,'HS FEED'!AB$2)</f>
        <v>0</v>
      </c>
      <c r="AC5" s="17">
        <f>COUNTIFS('Data Dump'!$P:$P,'HS FEED'!$A5,'Data Dump'!$S:$S,'HS FEED'!AC$2)</f>
        <v>0</v>
      </c>
      <c r="AD5" s="17">
        <f>COUNTIFS('Data Dump'!$P:$P,'HS FEED'!$A5,'Data Dump'!$S:$S,'HS FEED'!AD$2)</f>
        <v>0</v>
      </c>
      <c r="AE5" s="20">
        <f t="shared" si="7"/>
        <v>0</v>
      </c>
      <c r="AF5" s="17">
        <f>COUNTIFS('Data Dump'!$P:$P,'HS FEED'!$A5,'Data Dump'!$S:$S,'HS FEED'!AF$2)</f>
        <v>0</v>
      </c>
      <c r="AG5" s="17">
        <f>COUNTIFS('Data Dump'!$P:$P,'HS FEED'!$A5,'Data Dump'!$S:$S,'HS FEED'!AG$2)</f>
        <v>0</v>
      </c>
      <c r="AH5" s="17">
        <f>COUNTIFS('Data Dump'!$P:$P,'HS FEED'!$A5,'Data Dump'!$S:$S,'HS FEED'!AH$2)</f>
        <v>0</v>
      </c>
      <c r="AI5" s="20">
        <f t="shared" si="8"/>
        <v>0</v>
      </c>
      <c r="AJ5" s="20">
        <f t="shared" si="9"/>
        <v>0</v>
      </c>
    </row>
    <row r="6" spans="1:36" x14ac:dyDescent="0.25">
      <c r="A6" s="12" t="s">
        <v>84</v>
      </c>
      <c r="B6" s="13" t="s">
        <v>85</v>
      </c>
      <c r="C6" s="17">
        <f>COUNTIFS('Data Dump'!$P:$P,'HS FEED'!$A6,'Data Dump'!$S:$S,'HS FEED'!C$2)</f>
        <v>0</v>
      </c>
      <c r="D6" s="17">
        <f>COUNTIFS('Data Dump'!$P:$P,'HS FEED'!$A6,'Data Dump'!$S:$S,'HS FEED'!D$2)</f>
        <v>0</v>
      </c>
      <c r="E6" s="17">
        <f>COUNTIFS('Data Dump'!$P:$P,'HS FEED'!$A6,'Data Dump'!$S:$S,'HS FEED'!E$2)</f>
        <v>0</v>
      </c>
      <c r="F6" s="20">
        <f t="shared" si="0"/>
        <v>0</v>
      </c>
      <c r="G6" s="17">
        <f>COUNTIFS('Data Dump'!$P:$P,'HS FEED'!$A6,'Data Dump'!$S:$S,'HS FEED'!G$2)</f>
        <v>0</v>
      </c>
      <c r="H6" s="17">
        <f>COUNTIFS('Data Dump'!$P:$P,'HS FEED'!$A6,'Data Dump'!$S:$S,'HS FEED'!H$2)</f>
        <v>0</v>
      </c>
      <c r="I6" s="17">
        <f>COUNTIFS('Data Dump'!$P:$P,'HS FEED'!$A6,'Data Dump'!$S:$S,'HS FEED'!I$2)</f>
        <v>0</v>
      </c>
      <c r="J6" s="20">
        <f t="shared" si="1"/>
        <v>0</v>
      </c>
      <c r="K6" s="17">
        <f>COUNTIFS('Data Dump'!$P:$P,'HS FEED'!$A6,'Data Dump'!$S:$S,'HS FEED'!K$2)</f>
        <v>0</v>
      </c>
      <c r="L6" s="17">
        <f>COUNTIFS('Data Dump'!$P:$P,'HS FEED'!$A6,'Data Dump'!$S:$S,'HS FEED'!L$2)</f>
        <v>0</v>
      </c>
      <c r="M6" s="17">
        <f>COUNTIFS('Data Dump'!$P:$P,'HS FEED'!$A6,'Data Dump'!$S:$S,'HS FEED'!M$2)</f>
        <v>0</v>
      </c>
      <c r="N6" s="20">
        <f t="shared" si="2"/>
        <v>0</v>
      </c>
      <c r="O6" s="17">
        <f>COUNTIFS('Data Dump'!$P:$P,'HS FEED'!$A6,'Data Dump'!$S:$S,'HS FEED'!O$2)</f>
        <v>0</v>
      </c>
      <c r="P6" s="17">
        <f>COUNTIFS('Data Dump'!$P:$P,'HS FEED'!$A6,'Data Dump'!$S:$S,'HS FEED'!P$2)</f>
        <v>0</v>
      </c>
      <c r="Q6" s="17">
        <f>COUNTIFS('Data Dump'!$P:$P,'HS FEED'!$A6,'Data Dump'!$S:$S,'HS FEED'!Q$2)</f>
        <v>0</v>
      </c>
      <c r="R6" s="20">
        <f t="shared" si="3"/>
        <v>0</v>
      </c>
      <c r="S6" s="20">
        <f t="shared" si="4"/>
        <v>0</v>
      </c>
      <c r="T6" s="17">
        <f>COUNTIFS('Data Dump'!$P:$P,'HS FEED'!$A6,'Data Dump'!$S:$S,'HS FEED'!T$2)</f>
        <v>0</v>
      </c>
      <c r="U6" s="17">
        <f>COUNTIFS('Data Dump'!$P:$P,'HS FEED'!$A6,'Data Dump'!$S:$S,'HS FEED'!U$2)</f>
        <v>0</v>
      </c>
      <c r="V6" s="17">
        <f>COUNTIFS('Data Dump'!$P:$P,'HS FEED'!$A6,'Data Dump'!$S:$S,'HS FEED'!V$2)</f>
        <v>0</v>
      </c>
      <c r="W6" s="20">
        <f t="shared" si="5"/>
        <v>0</v>
      </c>
      <c r="X6" s="17">
        <f>COUNTIFS('Data Dump'!$P:$P,'HS FEED'!$A6,'Data Dump'!$S:$S,'HS FEED'!X$2)</f>
        <v>0</v>
      </c>
      <c r="Y6" s="17">
        <f>COUNTIFS('Data Dump'!$P:$P,'HS FEED'!$A6,'Data Dump'!$S:$S,'HS FEED'!Y$2)</f>
        <v>0</v>
      </c>
      <c r="Z6" s="17">
        <f>COUNTIFS('Data Dump'!$P:$P,'HS FEED'!$A6,'Data Dump'!$S:$S,'HS FEED'!Z$2)</f>
        <v>0</v>
      </c>
      <c r="AA6" s="20">
        <f t="shared" si="6"/>
        <v>0</v>
      </c>
      <c r="AB6" s="17">
        <f>COUNTIFS('Data Dump'!$P:$P,'HS FEED'!$A6,'Data Dump'!$S:$S,'HS FEED'!AB$2)</f>
        <v>0</v>
      </c>
      <c r="AC6" s="17">
        <f>COUNTIFS('Data Dump'!$P:$P,'HS FEED'!$A6,'Data Dump'!$S:$S,'HS FEED'!AC$2)</f>
        <v>0</v>
      </c>
      <c r="AD6" s="17">
        <f>COUNTIFS('Data Dump'!$P:$P,'HS FEED'!$A6,'Data Dump'!$S:$S,'HS FEED'!AD$2)</f>
        <v>0</v>
      </c>
      <c r="AE6" s="20">
        <f t="shared" si="7"/>
        <v>0</v>
      </c>
      <c r="AF6" s="17">
        <f>COUNTIFS('Data Dump'!$P:$P,'HS FEED'!$A6,'Data Dump'!$S:$S,'HS FEED'!AF$2)</f>
        <v>0</v>
      </c>
      <c r="AG6" s="17">
        <f>COUNTIFS('Data Dump'!$P:$P,'HS FEED'!$A6,'Data Dump'!$S:$S,'HS FEED'!AG$2)</f>
        <v>0</v>
      </c>
      <c r="AH6" s="17">
        <f>COUNTIFS('Data Dump'!$P:$P,'HS FEED'!$A6,'Data Dump'!$S:$S,'HS FEED'!AH$2)</f>
        <v>0</v>
      </c>
      <c r="AI6" s="20">
        <f t="shared" si="8"/>
        <v>0</v>
      </c>
      <c r="AJ6" s="20">
        <f t="shared" si="9"/>
        <v>0</v>
      </c>
    </row>
    <row r="7" spans="1:36" x14ac:dyDescent="0.25">
      <c r="A7" s="12" t="s">
        <v>86</v>
      </c>
      <c r="B7" s="13" t="s">
        <v>87</v>
      </c>
      <c r="C7" s="17">
        <f>COUNTIFS('Data Dump'!$P:$P,'HS FEED'!$A7,'Data Dump'!$S:$S,'HS FEED'!C$2)</f>
        <v>0</v>
      </c>
      <c r="D7" s="17">
        <f>COUNTIFS('Data Dump'!$P:$P,'HS FEED'!$A7,'Data Dump'!$S:$S,'HS FEED'!D$2)</f>
        <v>0</v>
      </c>
      <c r="E7" s="17">
        <f>COUNTIFS('Data Dump'!$P:$P,'HS FEED'!$A7,'Data Dump'!$S:$S,'HS FEED'!E$2)</f>
        <v>1</v>
      </c>
      <c r="F7" s="20">
        <f t="shared" si="0"/>
        <v>1</v>
      </c>
      <c r="G7" s="17">
        <f>COUNTIFS('Data Dump'!$P:$P,'HS FEED'!$A7,'Data Dump'!$S:$S,'HS FEED'!G$2)</f>
        <v>0</v>
      </c>
      <c r="H7" s="17">
        <f>COUNTIFS('Data Dump'!$P:$P,'HS FEED'!$A7,'Data Dump'!$S:$S,'HS FEED'!H$2)</f>
        <v>0</v>
      </c>
      <c r="I7" s="17">
        <f>COUNTIFS('Data Dump'!$P:$P,'HS FEED'!$A7,'Data Dump'!$S:$S,'HS FEED'!I$2)</f>
        <v>0</v>
      </c>
      <c r="J7" s="20">
        <f t="shared" si="1"/>
        <v>0</v>
      </c>
      <c r="K7" s="17">
        <f>COUNTIFS('Data Dump'!$P:$P,'HS FEED'!$A7,'Data Dump'!$S:$S,'HS FEED'!K$2)</f>
        <v>0</v>
      </c>
      <c r="L7" s="17">
        <f>COUNTIFS('Data Dump'!$P:$P,'HS FEED'!$A7,'Data Dump'!$S:$S,'HS FEED'!L$2)</f>
        <v>0</v>
      </c>
      <c r="M7" s="17">
        <f>COUNTIFS('Data Dump'!$P:$P,'HS FEED'!$A7,'Data Dump'!$S:$S,'HS FEED'!M$2)</f>
        <v>0</v>
      </c>
      <c r="N7" s="20">
        <f t="shared" si="2"/>
        <v>0</v>
      </c>
      <c r="O7" s="17">
        <f>COUNTIFS('Data Dump'!$P:$P,'HS FEED'!$A7,'Data Dump'!$S:$S,'HS FEED'!O$2)</f>
        <v>0</v>
      </c>
      <c r="P7" s="17">
        <f>COUNTIFS('Data Dump'!$P:$P,'HS FEED'!$A7,'Data Dump'!$S:$S,'HS FEED'!P$2)</f>
        <v>0</v>
      </c>
      <c r="Q7" s="17">
        <f>COUNTIFS('Data Dump'!$P:$P,'HS FEED'!$A7,'Data Dump'!$S:$S,'HS FEED'!Q$2)</f>
        <v>0</v>
      </c>
      <c r="R7" s="20">
        <f t="shared" si="3"/>
        <v>0</v>
      </c>
      <c r="S7" s="20">
        <f t="shared" si="4"/>
        <v>1</v>
      </c>
      <c r="T7" s="17">
        <f>COUNTIFS('Data Dump'!$P:$P,'HS FEED'!$A7,'Data Dump'!$S:$S,'HS FEED'!T$2)</f>
        <v>0</v>
      </c>
      <c r="U7" s="17">
        <f>COUNTIFS('Data Dump'!$P:$P,'HS FEED'!$A7,'Data Dump'!$S:$S,'HS FEED'!U$2)</f>
        <v>0</v>
      </c>
      <c r="V7" s="17">
        <f>COUNTIFS('Data Dump'!$P:$P,'HS FEED'!$A7,'Data Dump'!$S:$S,'HS FEED'!V$2)</f>
        <v>0</v>
      </c>
      <c r="W7" s="20">
        <f t="shared" si="5"/>
        <v>0</v>
      </c>
      <c r="X7" s="17">
        <f>COUNTIFS('Data Dump'!$P:$P,'HS FEED'!$A7,'Data Dump'!$S:$S,'HS FEED'!X$2)</f>
        <v>0</v>
      </c>
      <c r="Y7" s="17">
        <f>COUNTIFS('Data Dump'!$P:$P,'HS FEED'!$A7,'Data Dump'!$S:$S,'HS FEED'!Y$2)</f>
        <v>0</v>
      </c>
      <c r="Z7" s="17">
        <f>COUNTIFS('Data Dump'!$P:$P,'HS FEED'!$A7,'Data Dump'!$S:$S,'HS FEED'!Z$2)</f>
        <v>0</v>
      </c>
      <c r="AA7" s="20">
        <f t="shared" si="6"/>
        <v>0</v>
      </c>
      <c r="AB7" s="17">
        <f>COUNTIFS('Data Dump'!$P:$P,'HS FEED'!$A7,'Data Dump'!$S:$S,'HS FEED'!AB$2)</f>
        <v>0</v>
      </c>
      <c r="AC7" s="17">
        <f>COUNTIFS('Data Dump'!$P:$P,'HS FEED'!$A7,'Data Dump'!$S:$S,'HS FEED'!AC$2)</f>
        <v>0</v>
      </c>
      <c r="AD7" s="17">
        <f>COUNTIFS('Data Dump'!$P:$P,'HS FEED'!$A7,'Data Dump'!$S:$S,'HS FEED'!AD$2)</f>
        <v>0</v>
      </c>
      <c r="AE7" s="20">
        <f t="shared" si="7"/>
        <v>0</v>
      </c>
      <c r="AF7" s="17">
        <f>COUNTIFS('Data Dump'!$P:$P,'HS FEED'!$A7,'Data Dump'!$S:$S,'HS FEED'!AF$2)</f>
        <v>0</v>
      </c>
      <c r="AG7" s="17">
        <f>COUNTIFS('Data Dump'!$P:$P,'HS FEED'!$A7,'Data Dump'!$S:$S,'HS FEED'!AG$2)</f>
        <v>0</v>
      </c>
      <c r="AH7" s="17">
        <f>COUNTIFS('Data Dump'!$P:$P,'HS FEED'!$A7,'Data Dump'!$S:$S,'HS FEED'!AH$2)</f>
        <v>0</v>
      </c>
      <c r="AI7" s="20">
        <f t="shared" si="8"/>
        <v>0</v>
      </c>
      <c r="AJ7" s="20">
        <f t="shared" si="9"/>
        <v>0</v>
      </c>
    </row>
    <row r="8" spans="1:36" x14ac:dyDescent="0.25">
      <c r="A8" s="12" t="s">
        <v>88</v>
      </c>
      <c r="B8" s="13" t="s">
        <v>89</v>
      </c>
      <c r="C8" s="17">
        <f>COUNTIFS('Data Dump'!$P:$P,'HS FEED'!$A8,'Data Dump'!$S:$S,'HS FEED'!C$2)</f>
        <v>0</v>
      </c>
      <c r="D8" s="17">
        <f>COUNTIFS('Data Dump'!$P:$P,'HS FEED'!$A8,'Data Dump'!$S:$S,'HS FEED'!D$2)</f>
        <v>0</v>
      </c>
      <c r="E8" s="17">
        <f>COUNTIFS('Data Dump'!$P:$P,'HS FEED'!$A8,'Data Dump'!$S:$S,'HS FEED'!E$2)</f>
        <v>0</v>
      </c>
      <c r="F8" s="20">
        <f t="shared" si="0"/>
        <v>0</v>
      </c>
      <c r="G8" s="17">
        <f>COUNTIFS('Data Dump'!$P:$P,'HS FEED'!$A8,'Data Dump'!$S:$S,'HS FEED'!G$2)</f>
        <v>0</v>
      </c>
      <c r="H8" s="17">
        <f>COUNTIFS('Data Dump'!$P:$P,'HS FEED'!$A8,'Data Dump'!$S:$S,'HS FEED'!H$2)</f>
        <v>0</v>
      </c>
      <c r="I8" s="17">
        <f>COUNTIFS('Data Dump'!$P:$P,'HS FEED'!$A8,'Data Dump'!$S:$S,'HS FEED'!I$2)</f>
        <v>0</v>
      </c>
      <c r="J8" s="20">
        <f t="shared" si="1"/>
        <v>0</v>
      </c>
      <c r="K8" s="17">
        <f>COUNTIFS('Data Dump'!$P:$P,'HS FEED'!$A8,'Data Dump'!$S:$S,'HS FEED'!K$2)</f>
        <v>0</v>
      </c>
      <c r="L8" s="17">
        <f>COUNTIFS('Data Dump'!$P:$P,'HS FEED'!$A8,'Data Dump'!$S:$S,'HS FEED'!L$2)</f>
        <v>0</v>
      </c>
      <c r="M8" s="17">
        <f>COUNTIFS('Data Dump'!$P:$P,'HS FEED'!$A8,'Data Dump'!$S:$S,'HS FEED'!M$2)</f>
        <v>0</v>
      </c>
      <c r="N8" s="20">
        <f t="shared" si="2"/>
        <v>0</v>
      </c>
      <c r="O8" s="17">
        <f>COUNTIFS('Data Dump'!$P:$P,'HS FEED'!$A8,'Data Dump'!$S:$S,'HS FEED'!O$2)</f>
        <v>0</v>
      </c>
      <c r="P8" s="17">
        <f>COUNTIFS('Data Dump'!$P:$P,'HS FEED'!$A8,'Data Dump'!$S:$S,'HS FEED'!P$2)</f>
        <v>0</v>
      </c>
      <c r="Q8" s="17">
        <f>COUNTIFS('Data Dump'!$P:$P,'HS FEED'!$A8,'Data Dump'!$S:$S,'HS FEED'!Q$2)</f>
        <v>0</v>
      </c>
      <c r="R8" s="20">
        <f t="shared" si="3"/>
        <v>0</v>
      </c>
      <c r="S8" s="20">
        <f t="shared" si="4"/>
        <v>0</v>
      </c>
      <c r="T8" s="17">
        <f>COUNTIFS('Data Dump'!$P:$P,'HS FEED'!$A8,'Data Dump'!$S:$S,'HS FEED'!T$2)</f>
        <v>0</v>
      </c>
      <c r="U8" s="17">
        <f>COUNTIFS('Data Dump'!$P:$P,'HS FEED'!$A8,'Data Dump'!$S:$S,'HS FEED'!U$2)</f>
        <v>0</v>
      </c>
      <c r="V8" s="17">
        <f>COUNTIFS('Data Dump'!$P:$P,'HS FEED'!$A8,'Data Dump'!$S:$S,'HS FEED'!V$2)</f>
        <v>0</v>
      </c>
      <c r="W8" s="20">
        <f t="shared" si="5"/>
        <v>0</v>
      </c>
      <c r="X8" s="17">
        <f>COUNTIFS('Data Dump'!$P:$P,'HS FEED'!$A8,'Data Dump'!$S:$S,'HS FEED'!X$2)</f>
        <v>0</v>
      </c>
      <c r="Y8" s="17">
        <f>COUNTIFS('Data Dump'!$P:$P,'HS FEED'!$A8,'Data Dump'!$S:$S,'HS FEED'!Y$2)</f>
        <v>0</v>
      </c>
      <c r="Z8" s="17">
        <f>COUNTIFS('Data Dump'!$P:$P,'HS FEED'!$A8,'Data Dump'!$S:$S,'HS FEED'!Z$2)</f>
        <v>0</v>
      </c>
      <c r="AA8" s="20">
        <f t="shared" si="6"/>
        <v>0</v>
      </c>
      <c r="AB8" s="17">
        <f>COUNTIFS('Data Dump'!$P:$P,'HS FEED'!$A8,'Data Dump'!$S:$S,'HS FEED'!AB$2)</f>
        <v>0</v>
      </c>
      <c r="AC8" s="17">
        <f>COUNTIFS('Data Dump'!$P:$P,'HS FEED'!$A8,'Data Dump'!$S:$S,'HS FEED'!AC$2)</f>
        <v>0</v>
      </c>
      <c r="AD8" s="17">
        <f>COUNTIFS('Data Dump'!$P:$P,'HS FEED'!$A8,'Data Dump'!$S:$S,'HS FEED'!AD$2)</f>
        <v>1</v>
      </c>
      <c r="AE8" s="20">
        <f t="shared" si="7"/>
        <v>1</v>
      </c>
      <c r="AF8" s="17">
        <f>COUNTIFS('Data Dump'!$P:$P,'HS FEED'!$A8,'Data Dump'!$S:$S,'HS FEED'!AF$2)</f>
        <v>0</v>
      </c>
      <c r="AG8" s="17">
        <f>COUNTIFS('Data Dump'!$P:$P,'HS FEED'!$A8,'Data Dump'!$S:$S,'HS FEED'!AG$2)</f>
        <v>0</v>
      </c>
      <c r="AH8" s="17">
        <f>COUNTIFS('Data Dump'!$P:$P,'HS FEED'!$A8,'Data Dump'!$S:$S,'HS FEED'!AH$2)</f>
        <v>0</v>
      </c>
      <c r="AI8" s="20">
        <f t="shared" si="8"/>
        <v>0</v>
      </c>
      <c r="AJ8" s="20">
        <f t="shared" si="9"/>
        <v>1</v>
      </c>
    </row>
    <row r="9" spans="1:36" x14ac:dyDescent="0.25">
      <c r="A9" s="12" t="s">
        <v>90</v>
      </c>
      <c r="B9" s="13" t="s">
        <v>91</v>
      </c>
      <c r="C9" s="17">
        <f>COUNTIFS('Data Dump'!$P:$P,'HS FEED'!$A9,'Data Dump'!$S:$S,'HS FEED'!C$2)</f>
        <v>0</v>
      </c>
      <c r="D9" s="17">
        <f>COUNTIFS('Data Dump'!$P:$P,'HS FEED'!$A9,'Data Dump'!$S:$S,'HS FEED'!D$2)</f>
        <v>0</v>
      </c>
      <c r="E9" s="17">
        <f>COUNTIFS('Data Dump'!$P:$P,'HS FEED'!$A9,'Data Dump'!$S:$S,'HS FEED'!E$2)</f>
        <v>0</v>
      </c>
      <c r="F9" s="20">
        <f t="shared" si="0"/>
        <v>0</v>
      </c>
      <c r="G9" s="17">
        <f>COUNTIFS('Data Dump'!$P:$P,'HS FEED'!$A9,'Data Dump'!$S:$S,'HS FEED'!G$2)</f>
        <v>0</v>
      </c>
      <c r="H9" s="17">
        <f>COUNTIFS('Data Dump'!$P:$P,'HS FEED'!$A9,'Data Dump'!$S:$S,'HS FEED'!H$2)</f>
        <v>0</v>
      </c>
      <c r="I9" s="17">
        <f>COUNTIFS('Data Dump'!$P:$P,'HS FEED'!$A9,'Data Dump'!$S:$S,'HS FEED'!I$2)</f>
        <v>1</v>
      </c>
      <c r="J9" s="20">
        <f t="shared" si="1"/>
        <v>1</v>
      </c>
      <c r="K9" s="17">
        <f>COUNTIFS('Data Dump'!$P:$P,'HS FEED'!$A9,'Data Dump'!$S:$S,'HS FEED'!K$2)</f>
        <v>0</v>
      </c>
      <c r="L9" s="17">
        <f>COUNTIFS('Data Dump'!$P:$P,'HS FEED'!$A9,'Data Dump'!$S:$S,'HS FEED'!L$2)</f>
        <v>0</v>
      </c>
      <c r="M9" s="17">
        <f>COUNTIFS('Data Dump'!$P:$P,'HS FEED'!$A9,'Data Dump'!$S:$S,'HS FEED'!M$2)</f>
        <v>0</v>
      </c>
      <c r="N9" s="20">
        <f t="shared" si="2"/>
        <v>0</v>
      </c>
      <c r="O9" s="17">
        <f>COUNTIFS('Data Dump'!$P:$P,'HS FEED'!$A9,'Data Dump'!$S:$S,'HS FEED'!O$2)</f>
        <v>0</v>
      </c>
      <c r="P9" s="17">
        <f>COUNTIFS('Data Dump'!$P:$P,'HS FEED'!$A9,'Data Dump'!$S:$S,'HS FEED'!P$2)</f>
        <v>0</v>
      </c>
      <c r="Q9" s="17">
        <f>COUNTIFS('Data Dump'!$P:$P,'HS FEED'!$A9,'Data Dump'!$S:$S,'HS FEED'!Q$2)</f>
        <v>1</v>
      </c>
      <c r="R9" s="20">
        <f t="shared" si="3"/>
        <v>1</v>
      </c>
      <c r="S9" s="20">
        <f t="shared" si="4"/>
        <v>2</v>
      </c>
      <c r="T9" s="17">
        <f>COUNTIFS('Data Dump'!$P:$P,'HS FEED'!$A9,'Data Dump'!$S:$S,'HS FEED'!T$2)</f>
        <v>0</v>
      </c>
      <c r="U9" s="17">
        <f>COUNTIFS('Data Dump'!$P:$P,'HS FEED'!$A9,'Data Dump'!$S:$S,'HS FEED'!U$2)</f>
        <v>0</v>
      </c>
      <c r="V9" s="17">
        <f>COUNTIFS('Data Dump'!$P:$P,'HS FEED'!$A9,'Data Dump'!$S:$S,'HS FEED'!V$2)</f>
        <v>0</v>
      </c>
      <c r="W9" s="20">
        <f t="shared" si="5"/>
        <v>0</v>
      </c>
      <c r="X9" s="17">
        <f>COUNTIFS('Data Dump'!$P:$P,'HS FEED'!$A9,'Data Dump'!$S:$S,'HS FEED'!X$2)</f>
        <v>0</v>
      </c>
      <c r="Y9" s="17">
        <f>COUNTIFS('Data Dump'!$P:$P,'HS FEED'!$A9,'Data Dump'!$S:$S,'HS FEED'!Y$2)</f>
        <v>0</v>
      </c>
      <c r="Z9" s="17">
        <f>COUNTIFS('Data Dump'!$P:$P,'HS FEED'!$A9,'Data Dump'!$S:$S,'HS FEED'!Z$2)</f>
        <v>0</v>
      </c>
      <c r="AA9" s="20">
        <f t="shared" si="6"/>
        <v>0</v>
      </c>
      <c r="AB9" s="17">
        <f>COUNTIFS('Data Dump'!$P:$P,'HS FEED'!$A9,'Data Dump'!$S:$S,'HS FEED'!AB$2)</f>
        <v>0</v>
      </c>
      <c r="AC9" s="17">
        <f>COUNTIFS('Data Dump'!$P:$P,'HS FEED'!$A9,'Data Dump'!$S:$S,'HS FEED'!AC$2)</f>
        <v>0</v>
      </c>
      <c r="AD9" s="17">
        <f>COUNTIFS('Data Dump'!$P:$P,'HS FEED'!$A9,'Data Dump'!$S:$S,'HS FEED'!AD$2)</f>
        <v>0</v>
      </c>
      <c r="AE9" s="20">
        <f t="shared" si="7"/>
        <v>0</v>
      </c>
      <c r="AF9" s="17">
        <f>COUNTIFS('Data Dump'!$P:$P,'HS FEED'!$A9,'Data Dump'!$S:$S,'HS FEED'!AF$2)</f>
        <v>0</v>
      </c>
      <c r="AG9" s="17">
        <f>COUNTIFS('Data Dump'!$P:$P,'HS FEED'!$A9,'Data Dump'!$S:$S,'HS FEED'!AG$2)</f>
        <v>0</v>
      </c>
      <c r="AH9" s="17">
        <f>COUNTIFS('Data Dump'!$P:$P,'HS FEED'!$A9,'Data Dump'!$S:$S,'HS FEED'!AH$2)</f>
        <v>1</v>
      </c>
      <c r="AI9" s="20">
        <f t="shared" si="8"/>
        <v>1</v>
      </c>
      <c r="AJ9" s="20">
        <f t="shared" si="9"/>
        <v>1</v>
      </c>
    </row>
    <row r="10" spans="1:36" x14ac:dyDescent="0.25">
      <c r="A10" s="12" t="s">
        <v>92</v>
      </c>
      <c r="B10" s="13" t="s">
        <v>93</v>
      </c>
      <c r="C10" s="17">
        <f>COUNTIFS('Data Dump'!$P:$P,'HS FEED'!$A10,'Data Dump'!$S:$S,'HS FEED'!C$2)</f>
        <v>0</v>
      </c>
      <c r="D10" s="17">
        <f>COUNTIFS('Data Dump'!$P:$P,'HS FEED'!$A10,'Data Dump'!$S:$S,'HS FEED'!D$2)</f>
        <v>0</v>
      </c>
      <c r="E10" s="17">
        <f>COUNTIFS('Data Dump'!$P:$P,'HS FEED'!$A10,'Data Dump'!$S:$S,'HS FEED'!E$2)</f>
        <v>0</v>
      </c>
      <c r="F10" s="20">
        <f t="shared" si="0"/>
        <v>0</v>
      </c>
      <c r="G10" s="17">
        <f>COUNTIFS('Data Dump'!$P:$P,'HS FEED'!$A10,'Data Dump'!$S:$S,'HS FEED'!G$2)</f>
        <v>0</v>
      </c>
      <c r="H10" s="17">
        <f>COUNTIFS('Data Dump'!$P:$P,'HS FEED'!$A10,'Data Dump'!$S:$S,'HS FEED'!H$2)</f>
        <v>0</v>
      </c>
      <c r="I10" s="17">
        <f>COUNTIFS('Data Dump'!$P:$P,'HS FEED'!$A10,'Data Dump'!$S:$S,'HS FEED'!I$2)</f>
        <v>0</v>
      </c>
      <c r="J10" s="20">
        <f t="shared" si="1"/>
        <v>0</v>
      </c>
      <c r="K10" s="17">
        <f>COUNTIFS('Data Dump'!$P:$P,'HS FEED'!$A10,'Data Dump'!$S:$S,'HS FEED'!K$2)</f>
        <v>0</v>
      </c>
      <c r="L10" s="17">
        <f>COUNTIFS('Data Dump'!$P:$P,'HS FEED'!$A10,'Data Dump'!$S:$S,'HS FEED'!L$2)</f>
        <v>0</v>
      </c>
      <c r="M10" s="17">
        <f>COUNTIFS('Data Dump'!$P:$P,'HS FEED'!$A10,'Data Dump'!$S:$S,'HS FEED'!M$2)</f>
        <v>0</v>
      </c>
      <c r="N10" s="20">
        <f t="shared" si="2"/>
        <v>0</v>
      </c>
      <c r="O10" s="17">
        <f>COUNTIFS('Data Dump'!$P:$P,'HS FEED'!$A10,'Data Dump'!$S:$S,'HS FEED'!O$2)</f>
        <v>0</v>
      </c>
      <c r="P10" s="17">
        <f>COUNTIFS('Data Dump'!$P:$P,'HS FEED'!$A10,'Data Dump'!$S:$S,'HS FEED'!P$2)</f>
        <v>0</v>
      </c>
      <c r="Q10" s="17">
        <f>COUNTIFS('Data Dump'!$P:$P,'HS FEED'!$A10,'Data Dump'!$S:$S,'HS FEED'!Q$2)</f>
        <v>0</v>
      </c>
      <c r="R10" s="20">
        <f t="shared" si="3"/>
        <v>0</v>
      </c>
      <c r="S10" s="20">
        <f t="shared" si="4"/>
        <v>0</v>
      </c>
      <c r="T10" s="17">
        <f>COUNTIFS('Data Dump'!$P:$P,'HS FEED'!$A10,'Data Dump'!$S:$S,'HS FEED'!T$2)</f>
        <v>0</v>
      </c>
      <c r="U10" s="17">
        <f>COUNTIFS('Data Dump'!$P:$P,'HS FEED'!$A10,'Data Dump'!$S:$S,'HS FEED'!U$2)</f>
        <v>0</v>
      </c>
      <c r="V10" s="17">
        <f>COUNTIFS('Data Dump'!$P:$P,'HS FEED'!$A10,'Data Dump'!$S:$S,'HS FEED'!V$2)</f>
        <v>0</v>
      </c>
      <c r="W10" s="20">
        <f t="shared" si="5"/>
        <v>0</v>
      </c>
      <c r="X10" s="17">
        <f>COUNTIFS('Data Dump'!$P:$P,'HS FEED'!$A10,'Data Dump'!$S:$S,'HS FEED'!X$2)</f>
        <v>0</v>
      </c>
      <c r="Y10" s="17">
        <f>COUNTIFS('Data Dump'!$P:$P,'HS FEED'!$A10,'Data Dump'!$S:$S,'HS FEED'!Y$2)</f>
        <v>0</v>
      </c>
      <c r="Z10" s="17">
        <f>COUNTIFS('Data Dump'!$P:$P,'HS FEED'!$A10,'Data Dump'!$S:$S,'HS FEED'!Z$2)</f>
        <v>0</v>
      </c>
      <c r="AA10" s="20">
        <f t="shared" si="6"/>
        <v>0</v>
      </c>
      <c r="AB10" s="17">
        <f>COUNTIFS('Data Dump'!$P:$P,'HS FEED'!$A10,'Data Dump'!$S:$S,'HS FEED'!AB$2)</f>
        <v>0</v>
      </c>
      <c r="AC10" s="17">
        <f>COUNTIFS('Data Dump'!$P:$P,'HS FEED'!$A10,'Data Dump'!$S:$S,'HS FEED'!AC$2)</f>
        <v>0</v>
      </c>
      <c r="AD10" s="17">
        <f>COUNTIFS('Data Dump'!$P:$P,'HS FEED'!$A10,'Data Dump'!$S:$S,'HS FEED'!AD$2)</f>
        <v>0</v>
      </c>
      <c r="AE10" s="20">
        <f t="shared" si="7"/>
        <v>0</v>
      </c>
      <c r="AF10" s="17">
        <f>COUNTIFS('Data Dump'!$P:$P,'HS FEED'!$A10,'Data Dump'!$S:$S,'HS FEED'!AF$2)</f>
        <v>0</v>
      </c>
      <c r="AG10" s="17">
        <f>COUNTIFS('Data Dump'!$P:$P,'HS FEED'!$A10,'Data Dump'!$S:$S,'HS FEED'!AG$2)</f>
        <v>0</v>
      </c>
      <c r="AH10" s="17">
        <f>COUNTIFS('Data Dump'!$P:$P,'HS FEED'!$A10,'Data Dump'!$S:$S,'HS FEED'!AH$2)</f>
        <v>0</v>
      </c>
      <c r="AI10" s="20">
        <f t="shared" si="8"/>
        <v>0</v>
      </c>
      <c r="AJ10" s="20">
        <f t="shared" si="9"/>
        <v>0</v>
      </c>
    </row>
    <row r="11" spans="1:36" x14ac:dyDescent="0.25">
      <c r="A11" s="12" t="s">
        <v>94</v>
      </c>
      <c r="B11" s="13" t="s">
        <v>95</v>
      </c>
      <c r="C11" s="17">
        <f>COUNTIFS('Data Dump'!$P:$P,'HS FEED'!$A11,'Data Dump'!$S:$S,'HS FEED'!C$2)</f>
        <v>0</v>
      </c>
      <c r="D11" s="17">
        <f>COUNTIFS('Data Dump'!$P:$P,'HS FEED'!$A11,'Data Dump'!$S:$S,'HS FEED'!D$2)</f>
        <v>0</v>
      </c>
      <c r="E11" s="17">
        <f>COUNTIFS('Data Dump'!$P:$P,'HS FEED'!$A11,'Data Dump'!$S:$S,'HS FEED'!E$2)</f>
        <v>0</v>
      </c>
      <c r="F11" s="20">
        <f t="shared" si="0"/>
        <v>0</v>
      </c>
      <c r="G11" s="17">
        <f>COUNTIFS('Data Dump'!$P:$P,'HS FEED'!$A11,'Data Dump'!$S:$S,'HS FEED'!G$2)</f>
        <v>0</v>
      </c>
      <c r="H11" s="17">
        <f>COUNTIFS('Data Dump'!$P:$P,'HS FEED'!$A11,'Data Dump'!$S:$S,'HS FEED'!H$2)</f>
        <v>0</v>
      </c>
      <c r="I11" s="17">
        <f>COUNTIFS('Data Dump'!$P:$P,'HS FEED'!$A11,'Data Dump'!$S:$S,'HS FEED'!I$2)</f>
        <v>0</v>
      </c>
      <c r="J11" s="20">
        <f t="shared" si="1"/>
        <v>0</v>
      </c>
      <c r="K11" s="17">
        <f>COUNTIFS('Data Dump'!$P:$P,'HS FEED'!$A11,'Data Dump'!$S:$S,'HS FEED'!K$2)</f>
        <v>0</v>
      </c>
      <c r="L11" s="17">
        <f>COUNTIFS('Data Dump'!$P:$P,'HS FEED'!$A11,'Data Dump'!$S:$S,'HS FEED'!L$2)</f>
        <v>0</v>
      </c>
      <c r="M11" s="17">
        <f>COUNTIFS('Data Dump'!$P:$P,'HS FEED'!$A11,'Data Dump'!$S:$S,'HS FEED'!M$2)</f>
        <v>0</v>
      </c>
      <c r="N11" s="20">
        <f t="shared" si="2"/>
        <v>0</v>
      </c>
      <c r="O11" s="17">
        <f>COUNTIFS('Data Dump'!$P:$P,'HS FEED'!$A11,'Data Dump'!$S:$S,'HS FEED'!O$2)</f>
        <v>0</v>
      </c>
      <c r="P11" s="17">
        <f>COUNTIFS('Data Dump'!$P:$P,'HS FEED'!$A11,'Data Dump'!$S:$S,'HS FEED'!P$2)</f>
        <v>0</v>
      </c>
      <c r="Q11" s="17">
        <f>COUNTIFS('Data Dump'!$P:$P,'HS FEED'!$A11,'Data Dump'!$S:$S,'HS FEED'!Q$2)</f>
        <v>0</v>
      </c>
      <c r="R11" s="20">
        <f t="shared" si="3"/>
        <v>0</v>
      </c>
      <c r="S11" s="20">
        <f t="shared" si="4"/>
        <v>0</v>
      </c>
      <c r="T11" s="17">
        <f>COUNTIFS('Data Dump'!$P:$P,'HS FEED'!$A11,'Data Dump'!$S:$S,'HS FEED'!T$2)</f>
        <v>0</v>
      </c>
      <c r="U11" s="17">
        <f>COUNTIFS('Data Dump'!$P:$P,'HS FEED'!$A11,'Data Dump'!$S:$S,'HS FEED'!U$2)</f>
        <v>0</v>
      </c>
      <c r="V11" s="17">
        <f>COUNTIFS('Data Dump'!$P:$P,'HS FEED'!$A11,'Data Dump'!$S:$S,'HS FEED'!V$2)</f>
        <v>0</v>
      </c>
      <c r="W11" s="20">
        <f t="shared" si="5"/>
        <v>0</v>
      </c>
      <c r="X11" s="17">
        <f>COUNTIFS('Data Dump'!$P:$P,'HS FEED'!$A11,'Data Dump'!$S:$S,'HS FEED'!X$2)</f>
        <v>0</v>
      </c>
      <c r="Y11" s="17">
        <f>COUNTIFS('Data Dump'!$P:$P,'HS FEED'!$A11,'Data Dump'!$S:$S,'HS FEED'!Y$2)</f>
        <v>0</v>
      </c>
      <c r="Z11" s="17">
        <f>COUNTIFS('Data Dump'!$P:$P,'HS FEED'!$A11,'Data Dump'!$S:$S,'HS FEED'!Z$2)</f>
        <v>0</v>
      </c>
      <c r="AA11" s="20">
        <f t="shared" si="6"/>
        <v>0</v>
      </c>
      <c r="AB11" s="17">
        <f>COUNTIFS('Data Dump'!$P:$P,'HS FEED'!$A11,'Data Dump'!$S:$S,'HS FEED'!AB$2)</f>
        <v>0</v>
      </c>
      <c r="AC11" s="17">
        <f>COUNTIFS('Data Dump'!$P:$P,'HS FEED'!$A11,'Data Dump'!$S:$S,'HS FEED'!AC$2)</f>
        <v>0</v>
      </c>
      <c r="AD11" s="17">
        <f>COUNTIFS('Data Dump'!$P:$P,'HS FEED'!$A11,'Data Dump'!$S:$S,'HS FEED'!AD$2)</f>
        <v>0</v>
      </c>
      <c r="AE11" s="20">
        <f t="shared" si="7"/>
        <v>0</v>
      </c>
      <c r="AF11" s="17">
        <f>COUNTIFS('Data Dump'!$P:$P,'HS FEED'!$A11,'Data Dump'!$S:$S,'HS FEED'!AF$2)</f>
        <v>0</v>
      </c>
      <c r="AG11" s="17">
        <f>COUNTIFS('Data Dump'!$P:$P,'HS FEED'!$A11,'Data Dump'!$S:$S,'HS FEED'!AG$2)</f>
        <v>0</v>
      </c>
      <c r="AH11" s="17">
        <f>COUNTIFS('Data Dump'!$P:$P,'HS FEED'!$A11,'Data Dump'!$S:$S,'HS FEED'!AH$2)</f>
        <v>0</v>
      </c>
      <c r="AI11" s="20">
        <f t="shared" si="8"/>
        <v>0</v>
      </c>
      <c r="AJ11" s="20">
        <f t="shared" si="9"/>
        <v>0</v>
      </c>
    </row>
    <row r="12" spans="1:36" x14ac:dyDescent="0.25">
      <c r="A12" s="12" t="s">
        <v>96</v>
      </c>
      <c r="B12" s="13" t="s">
        <v>97</v>
      </c>
      <c r="C12" s="17">
        <f>COUNTIFS('Data Dump'!$P:$P,'HS FEED'!$A12,'Data Dump'!$S:$S,'HS FEED'!C$2)</f>
        <v>0</v>
      </c>
      <c r="D12" s="17">
        <f>COUNTIFS('Data Dump'!$P:$P,'HS FEED'!$A12,'Data Dump'!$S:$S,'HS FEED'!D$2)</f>
        <v>0</v>
      </c>
      <c r="E12" s="17">
        <f>COUNTIFS('Data Dump'!$P:$P,'HS FEED'!$A12,'Data Dump'!$S:$S,'HS FEED'!E$2)</f>
        <v>0</v>
      </c>
      <c r="F12" s="20">
        <f t="shared" si="0"/>
        <v>0</v>
      </c>
      <c r="G12" s="17">
        <f>COUNTIFS('Data Dump'!$P:$P,'HS FEED'!$A12,'Data Dump'!$S:$S,'HS FEED'!G$2)</f>
        <v>0</v>
      </c>
      <c r="H12" s="17">
        <f>COUNTIFS('Data Dump'!$P:$P,'HS FEED'!$A12,'Data Dump'!$S:$S,'HS FEED'!H$2)</f>
        <v>0</v>
      </c>
      <c r="I12" s="17">
        <f>COUNTIFS('Data Dump'!$P:$P,'HS FEED'!$A12,'Data Dump'!$S:$S,'HS FEED'!I$2)</f>
        <v>0</v>
      </c>
      <c r="J12" s="20">
        <f t="shared" si="1"/>
        <v>0</v>
      </c>
      <c r="K12" s="17">
        <f>COUNTIFS('Data Dump'!$P:$P,'HS FEED'!$A12,'Data Dump'!$S:$S,'HS FEED'!K$2)</f>
        <v>0</v>
      </c>
      <c r="L12" s="17">
        <f>COUNTIFS('Data Dump'!$P:$P,'HS FEED'!$A12,'Data Dump'!$S:$S,'HS FEED'!L$2)</f>
        <v>0</v>
      </c>
      <c r="M12" s="17">
        <f>COUNTIFS('Data Dump'!$P:$P,'HS FEED'!$A12,'Data Dump'!$S:$S,'HS FEED'!M$2)</f>
        <v>0</v>
      </c>
      <c r="N12" s="20">
        <f t="shared" si="2"/>
        <v>0</v>
      </c>
      <c r="O12" s="17">
        <f>COUNTIFS('Data Dump'!$P:$P,'HS FEED'!$A12,'Data Dump'!$S:$S,'HS FEED'!O$2)</f>
        <v>0</v>
      </c>
      <c r="P12" s="17">
        <f>COUNTIFS('Data Dump'!$P:$P,'HS FEED'!$A12,'Data Dump'!$S:$S,'HS FEED'!P$2)</f>
        <v>0</v>
      </c>
      <c r="Q12" s="17">
        <f>COUNTIFS('Data Dump'!$P:$P,'HS FEED'!$A12,'Data Dump'!$S:$S,'HS FEED'!Q$2)</f>
        <v>0</v>
      </c>
      <c r="R12" s="20">
        <f t="shared" si="3"/>
        <v>0</v>
      </c>
      <c r="S12" s="20">
        <f t="shared" si="4"/>
        <v>0</v>
      </c>
      <c r="T12" s="17">
        <f>COUNTIFS('Data Dump'!$P:$P,'HS FEED'!$A12,'Data Dump'!$S:$S,'HS FEED'!T$2)</f>
        <v>0</v>
      </c>
      <c r="U12" s="17">
        <f>COUNTIFS('Data Dump'!$P:$P,'HS FEED'!$A12,'Data Dump'!$S:$S,'HS FEED'!U$2)</f>
        <v>0</v>
      </c>
      <c r="V12" s="17">
        <f>COUNTIFS('Data Dump'!$P:$P,'HS FEED'!$A12,'Data Dump'!$S:$S,'HS FEED'!V$2)</f>
        <v>0</v>
      </c>
      <c r="W12" s="20">
        <f t="shared" si="5"/>
        <v>0</v>
      </c>
      <c r="X12" s="17">
        <f>COUNTIFS('Data Dump'!$P:$P,'HS FEED'!$A12,'Data Dump'!$S:$S,'HS FEED'!X$2)</f>
        <v>0</v>
      </c>
      <c r="Y12" s="17">
        <f>COUNTIFS('Data Dump'!$P:$P,'HS FEED'!$A12,'Data Dump'!$S:$S,'HS FEED'!Y$2)</f>
        <v>1</v>
      </c>
      <c r="Z12" s="17">
        <f>COUNTIFS('Data Dump'!$P:$P,'HS FEED'!$A12,'Data Dump'!$S:$S,'HS FEED'!Z$2)</f>
        <v>2</v>
      </c>
      <c r="AA12" s="20">
        <f t="shared" si="6"/>
        <v>3</v>
      </c>
      <c r="AB12" s="17">
        <f>COUNTIFS('Data Dump'!$P:$P,'HS FEED'!$A12,'Data Dump'!$S:$S,'HS FEED'!AB$2)</f>
        <v>0</v>
      </c>
      <c r="AC12" s="17">
        <f>COUNTIFS('Data Dump'!$P:$P,'HS FEED'!$A12,'Data Dump'!$S:$S,'HS FEED'!AC$2)</f>
        <v>0</v>
      </c>
      <c r="AD12" s="17">
        <f>COUNTIFS('Data Dump'!$P:$P,'HS FEED'!$A12,'Data Dump'!$S:$S,'HS FEED'!AD$2)</f>
        <v>0</v>
      </c>
      <c r="AE12" s="20">
        <f t="shared" si="7"/>
        <v>0</v>
      </c>
      <c r="AF12" s="17">
        <f>COUNTIFS('Data Dump'!$P:$P,'HS FEED'!$A12,'Data Dump'!$S:$S,'HS FEED'!AF$2)</f>
        <v>0</v>
      </c>
      <c r="AG12" s="17">
        <f>COUNTIFS('Data Dump'!$P:$P,'HS FEED'!$A12,'Data Dump'!$S:$S,'HS FEED'!AG$2)</f>
        <v>0</v>
      </c>
      <c r="AH12" s="17">
        <f>COUNTIFS('Data Dump'!$P:$P,'HS FEED'!$A12,'Data Dump'!$S:$S,'HS FEED'!AH$2)</f>
        <v>0</v>
      </c>
      <c r="AI12" s="20">
        <f t="shared" si="8"/>
        <v>0</v>
      </c>
      <c r="AJ12" s="20">
        <f t="shared" si="9"/>
        <v>3</v>
      </c>
    </row>
    <row r="13" spans="1:36" x14ac:dyDescent="0.25">
      <c r="A13" s="12" t="s">
        <v>98</v>
      </c>
      <c r="B13" s="13" t="s">
        <v>99</v>
      </c>
      <c r="C13" s="17">
        <f>COUNTIFS('Data Dump'!$P:$P,'HS FEED'!$A13,'Data Dump'!$S:$S,'HS FEED'!C$2)</f>
        <v>0</v>
      </c>
      <c r="D13" s="17">
        <f>COUNTIFS('Data Dump'!$P:$P,'HS FEED'!$A13,'Data Dump'!$S:$S,'HS FEED'!D$2)</f>
        <v>1</v>
      </c>
      <c r="E13" s="17">
        <f>COUNTIFS('Data Dump'!$P:$P,'HS FEED'!$A13,'Data Dump'!$S:$S,'HS FEED'!E$2)</f>
        <v>1</v>
      </c>
      <c r="F13" s="20">
        <f t="shared" si="0"/>
        <v>2</v>
      </c>
      <c r="G13" s="17">
        <f>COUNTIFS('Data Dump'!$P:$P,'HS FEED'!$A13,'Data Dump'!$S:$S,'HS FEED'!G$2)</f>
        <v>0</v>
      </c>
      <c r="H13" s="17">
        <f>COUNTIFS('Data Dump'!$P:$P,'HS FEED'!$A13,'Data Dump'!$S:$S,'HS FEED'!H$2)</f>
        <v>0</v>
      </c>
      <c r="I13" s="17">
        <f>COUNTIFS('Data Dump'!$P:$P,'HS FEED'!$A13,'Data Dump'!$S:$S,'HS FEED'!I$2)</f>
        <v>1</v>
      </c>
      <c r="J13" s="20">
        <f t="shared" si="1"/>
        <v>1</v>
      </c>
      <c r="K13" s="17">
        <f>COUNTIFS('Data Dump'!$P:$P,'HS FEED'!$A13,'Data Dump'!$S:$S,'HS FEED'!K$2)</f>
        <v>0</v>
      </c>
      <c r="L13" s="17">
        <f>COUNTIFS('Data Dump'!$P:$P,'HS FEED'!$A13,'Data Dump'!$S:$S,'HS FEED'!L$2)</f>
        <v>0</v>
      </c>
      <c r="M13" s="17">
        <f>COUNTIFS('Data Dump'!$P:$P,'HS FEED'!$A13,'Data Dump'!$S:$S,'HS FEED'!M$2)</f>
        <v>0</v>
      </c>
      <c r="N13" s="20">
        <f t="shared" si="2"/>
        <v>0</v>
      </c>
      <c r="O13" s="17">
        <f>COUNTIFS('Data Dump'!$P:$P,'HS FEED'!$A13,'Data Dump'!$S:$S,'HS FEED'!O$2)</f>
        <v>0</v>
      </c>
      <c r="P13" s="17">
        <f>COUNTIFS('Data Dump'!$P:$P,'HS FEED'!$A13,'Data Dump'!$S:$S,'HS FEED'!P$2)</f>
        <v>0</v>
      </c>
      <c r="Q13" s="17">
        <f>COUNTIFS('Data Dump'!$P:$P,'HS FEED'!$A13,'Data Dump'!$S:$S,'HS FEED'!Q$2)</f>
        <v>0</v>
      </c>
      <c r="R13" s="20">
        <f t="shared" si="3"/>
        <v>0</v>
      </c>
      <c r="S13" s="20">
        <f t="shared" si="4"/>
        <v>3</v>
      </c>
      <c r="T13" s="17">
        <f>COUNTIFS('Data Dump'!$P:$P,'HS FEED'!$A13,'Data Dump'!$S:$S,'HS FEED'!T$2)</f>
        <v>0</v>
      </c>
      <c r="U13" s="17">
        <f>COUNTIFS('Data Dump'!$P:$P,'HS FEED'!$A13,'Data Dump'!$S:$S,'HS FEED'!U$2)</f>
        <v>0</v>
      </c>
      <c r="V13" s="17">
        <f>COUNTIFS('Data Dump'!$P:$P,'HS FEED'!$A13,'Data Dump'!$S:$S,'HS FEED'!V$2)</f>
        <v>0</v>
      </c>
      <c r="W13" s="20">
        <f t="shared" si="5"/>
        <v>0</v>
      </c>
      <c r="X13" s="17">
        <f>COUNTIFS('Data Dump'!$P:$P,'HS FEED'!$A13,'Data Dump'!$S:$S,'HS FEED'!X$2)</f>
        <v>0</v>
      </c>
      <c r="Y13" s="17">
        <f>COUNTIFS('Data Dump'!$P:$P,'HS FEED'!$A13,'Data Dump'!$S:$S,'HS FEED'!Y$2)</f>
        <v>0</v>
      </c>
      <c r="Z13" s="17">
        <f>COUNTIFS('Data Dump'!$P:$P,'HS FEED'!$A13,'Data Dump'!$S:$S,'HS FEED'!Z$2)</f>
        <v>0</v>
      </c>
      <c r="AA13" s="20">
        <f t="shared" si="6"/>
        <v>0</v>
      </c>
      <c r="AB13" s="17">
        <f>COUNTIFS('Data Dump'!$P:$P,'HS FEED'!$A13,'Data Dump'!$S:$S,'HS FEED'!AB$2)</f>
        <v>0</v>
      </c>
      <c r="AC13" s="17">
        <f>COUNTIFS('Data Dump'!$P:$P,'HS FEED'!$A13,'Data Dump'!$S:$S,'HS FEED'!AC$2)</f>
        <v>0</v>
      </c>
      <c r="AD13" s="17">
        <f>COUNTIFS('Data Dump'!$P:$P,'HS FEED'!$A13,'Data Dump'!$S:$S,'HS FEED'!AD$2)</f>
        <v>0</v>
      </c>
      <c r="AE13" s="20">
        <f t="shared" si="7"/>
        <v>0</v>
      </c>
      <c r="AF13" s="17">
        <f>COUNTIFS('Data Dump'!$P:$P,'HS FEED'!$A13,'Data Dump'!$S:$S,'HS FEED'!AF$2)</f>
        <v>0</v>
      </c>
      <c r="AG13" s="17">
        <f>COUNTIFS('Data Dump'!$P:$P,'HS FEED'!$A13,'Data Dump'!$S:$S,'HS FEED'!AG$2)</f>
        <v>0</v>
      </c>
      <c r="AH13" s="17">
        <f>COUNTIFS('Data Dump'!$P:$P,'HS FEED'!$A13,'Data Dump'!$S:$S,'HS FEED'!AH$2)</f>
        <v>0</v>
      </c>
      <c r="AI13" s="20">
        <f t="shared" si="8"/>
        <v>0</v>
      </c>
      <c r="AJ13" s="20">
        <f t="shared" si="9"/>
        <v>0</v>
      </c>
    </row>
    <row r="14" spans="1:36" x14ac:dyDescent="0.25">
      <c r="A14" s="12" t="s">
        <v>100</v>
      </c>
      <c r="B14" s="13" t="s">
        <v>101</v>
      </c>
      <c r="C14" s="17">
        <f>COUNTIFS('Data Dump'!$P:$P,'HS FEED'!$A14,'Data Dump'!$S:$S,'HS FEED'!C$2)</f>
        <v>1</v>
      </c>
      <c r="D14" s="17">
        <f>COUNTIFS('Data Dump'!$P:$P,'HS FEED'!$A14,'Data Dump'!$S:$S,'HS FEED'!D$2)</f>
        <v>0</v>
      </c>
      <c r="E14" s="17">
        <f>COUNTIFS('Data Dump'!$P:$P,'HS FEED'!$A14,'Data Dump'!$S:$S,'HS FEED'!E$2)</f>
        <v>0</v>
      </c>
      <c r="F14" s="20">
        <f t="shared" si="0"/>
        <v>1</v>
      </c>
      <c r="G14" s="17">
        <f>COUNTIFS('Data Dump'!$P:$P,'HS FEED'!$A14,'Data Dump'!$S:$S,'HS FEED'!G$2)</f>
        <v>1</v>
      </c>
      <c r="H14" s="17">
        <f>COUNTIFS('Data Dump'!$P:$P,'HS FEED'!$A14,'Data Dump'!$S:$S,'HS FEED'!H$2)</f>
        <v>0</v>
      </c>
      <c r="I14" s="17">
        <f>COUNTIFS('Data Dump'!$P:$P,'HS FEED'!$A14,'Data Dump'!$S:$S,'HS FEED'!I$2)</f>
        <v>0</v>
      </c>
      <c r="J14" s="20">
        <f t="shared" si="1"/>
        <v>1</v>
      </c>
      <c r="K14" s="17">
        <f>COUNTIFS('Data Dump'!$P:$P,'HS FEED'!$A14,'Data Dump'!$S:$S,'HS FEED'!K$2)</f>
        <v>0</v>
      </c>
      <c r="L14" s="17">
        <f>COUNTIFS('Data Dump'!$P:$P,'HS FEED'!$A14,'Data Dump'!$S:$S,'HS FEED'!L$2)</f>
        <v>0</v>
      </c>
      <c r="M14" s="17">
        <f>COUNTIFS('Data Dump'!$P:$P,'HS FEED'!$A14,'Data Dump'!$S:$S,'HS FEED'!M$2)</f>
        <v>1</v>
      </c>
      <c r="N14" s="20">
        <f t="shared" si="2"/>
        <v>1</v>
      </c>
      <c r="O14" s="17">
        <f>COUNTIFS('Data Dump'!$P:$P,'HS FEED'!$A14,'Data Dump'!$S:$S,'HS FEED'!O$2)</f>
        <v>0</v>
      </c>
      <c r="P14" s="17">
        <f>COUNTIFS('Data Dump'!$P:$P,'HS FEED'!$A14,'Data Dump'!$S:$S,'HS FEED'!P$2)</f>
        <v>0</v>
      </c>
      <c r="Q14" s="17">
        <f>COUNTIFS('Data Dump'!$P:$P,'HS FEED'!$A14,'Data Dump'!$S:$S,'HS FEED'!Q$2)</f>
        <v>0</v>
      </c>
      <c r="R14" s="20">
        <f t="shared" si="3"/>
        <v>0</v>
      </c>
      <c r="S14" s="20">
        <f t="shared" si="4"/>
        <v>3</v>
      </c>
      <c r="T14" s="17">
        <f>COUNTIFS('Data Dump'!$P:$P,'HS FEED'!$A14,'Data Dump'!$S:$S,'HS FEED'!T$2)</f>
        <v>0</v>
      </c>
      <c r="U14" s="17">
        <f>COUNTIFS('Data Dump'!$P:$P,'HS FEED'!$A14,'Data Dump'!$S:$S,'HS FEED'!U$2)</f>
        <v>0</v>
      </c>
      <c r="V14" s="17">
        <f>COUNTIFS('Data Dump'!$P:$P,'HS FEED'!$A14,'Data Dump'!$S:$S,'HS FEED'!V$2)</f>
        <v>0</v>
      </c>
      <c r="W14" s="20">
        <f t="shared" si="5"/>
        <v>0</v>
      </c>
      <c r="X14" s="17">
        <f>COUNTIFS('Data Dump'!$P:$P,'HS FEED'!$A14,'Data Dump'!$S:$S,'HS FEED'!X$2)</f>
        <v>0</v>
      </c>
      <c r="Y14" s="17">
        <f>COUNTIFS('Data Dump'!$P:$P,'HS FEED'!$A14,'Data Dump'!$S:$S,'HS FEED'!Y$2)</f>
        <v>0</v>
      </c>
      <c r="Z14" s="17">
        <f>COUNTIFS('Data Dump'!$P:$P,'HS FEED'!$A14,'Data Dump'!$S:$S,'HS FEED'!Z$2)</f>
        <v>0</v>
      </c>
      <c r="AA14" s="20">
        <f t="shared" si="6"/>
        <v>0</v>
      </c>
      <c r="AB14" s="17">
        <f>COUNTIFS('Data Dump'!$P:$P,'HS FEED'!$A14,'Data Dump'!$S:$S,'HS FEED'!AB$2)</f>
        <v>0</v>
      </c>
      <c r="AC14" s="17">
        <f>COUNTIFS('Data Dump'!$P:$P,'HS FEED'!$A14,'Data Dump'!$S:$S,'HS FEED'!AC$2)</f>
        <v>0</v>
      </c>
      <c r="AD14" s="17">
        <f>COUNTIFS('Data Dump'!$P:$P,'HS FEED'!$A14,'Data Dump'!$S:$S,'HS FEED'!AD$2)</f>
        <v>1</v>
      </c>
      <c r="AE14" s="20">
        <f t="shared" si="7"/>
        <v>1</v>
      </c>
      <c r="AF14" s="17">
        <f>COUNTIFS('Data Dump'!$P:$P,'HS FEED'!$A14,'Data Dump'!$S:$S,'HS FEED'!AF$2)</f>
        <v>0</v>
      </c>
      <c r="AG14" s="17">
        <f>COUNTIFS('Data Dump'!$P:$P,'HS FEED'!$A14,'Data Dump'!$S:$S,'HS FEED'!AG$2)</f>
        <v>0</v>
      </c>
      <c r="AH14" s="17">
        <f>COUNTIFS('Data Dump'!$P:$P,'HS FEED'!$A14,'Data Dump'!$S:$S,'HS FEED'!AH$2)</f>
        <v>0</v>
      </c>
      <c r="AI14" s="20">
        <f t="shared" si="8"/>
        <v>0</v>
      </c>
      <c r="AJ14" s="20">
        <f t="shared" si="9"/>
        <v>1</v>
      </c>
    </row>
    <row r="15" spans="1:36" x14ac:dyDescent="0.25">
      <c r="A15" s="12" t="s">
        <v>102</v>
      </c>
      <c r="B15" s="13" t="s">
        <v>103</v>
      </c>
      <c r="C15" s="17">
        <f>COUNTIFS('Data Dump'!$P:$P,'HS FEED'!$A15,'Data Dump'!$S:$S,'HS FEED'!C$2)</f>
        <v>0</v>
      </c>
      <c r="D15" s="17">
        <f>COUNTIFS('Data Dump'!$P:$P,'HS FEED'!$A15,'Data Dump'!$S:$S,'HS FEED'!D$2)</f>
        <v>1</v>
      </c>
      <c r="E15" s="17">
        <f>COUNTIFS('Data Dump'!$P:$P,'HS FEED'!$A15,'Data Dump'!$S:$S,'HS FEED'!E$2)</f>
        <v>0</v>
      </c>
      <c r="F15" s="20">
        <f t="shared" si="0"/>
        <v>1</v>
      </c>
      <c r="G15" s="17">
        <f>COUNTIFS('Data Dump'!$P:$P,'HS FEED'!$A15,'Data Dump'!$S:$S,'HS FEED'!G$2)</f>
        <v>0</v>
      </c>
      <c r="H15" s="17">
        <f>COUNTIFS('Data Dump'!$P:$P,'HS FEED'!$A15,'Data Dump'!$S:$S,'HS FEED'!H$2)</f>
        <v>3</v>
      </c>
      <c r="I15" s="17">
        <f>COUNTIFS('Data Dump'!$P:$P,'HS FEED'!$A15,'Data Dump'!$S:$S,'HS FEED'!I$2)</f>
        <v>0</v>
      </c>
      <c r="J15" s="20">
        <f t="shared" si="1"/>
        <v>3</v>
      </c>
      <c r="K15" s="17">
        <f>COUNTIFS('Data Dump'!$P:$P,'HS FEED'!$A15,'Data Dump'!$S:$S,'HS FEED'!K$2)</f>
        <v>0</v>
      </c>
      <c r="L15" s="17">
        <f>COUNTIFS('Data Dump'!$P:$P,'HS FEED'!$A15,'Data Dump'!$S:$S,'HS FEED'!L$2)</f>
        <v>0</v>
      </c>
      <c r="M15" s="17">
        <f>COUNTIFS('Data Dump'!$P:$P,'HS FEED'!$A15,'Data Dump'!$S:$S,'HS FEED'!M$2)</f>
        <v>1</v>
      </c>
      <c r="N15" s="20">
        <f t="shared" si="2"/>
        <v>1</v>
      </c>
      <c r="O15" s="17">
        <f>COUNTIFS('Data Dump'!$P:$P,'HS FEED'!$A15,'Data Dump'!$S:$S,'HS FEED'!O$2)</f>
        <v>0</v>
      </c>
      <c r="P15" s="17">
        <f>COUNTIFS('Data Dump'!$P:$P,'HS FEED'!$A15,'Data Dump'!$S:$S,'HS FEED'!P$2)</f>
        <v>0</v>
      </c>
      <c r="Q15" s="17">
        <f>COUNTIFS('Data Dump'!$P:$P,'HS FEED'!$A15,'Data Dump'!$S:$S,'HS FEED'!Q$2)</f>
        <v>0</v>
      </c>
      <c r="R15" s="20">
        <f t="shared" si="3"/>
        <v>0</v>
      </c>
      <c r="S15" s="20">
        <f t="shared" si="4"/>
        <v>5</v>
      </c>
      <c r="T15" s="17">
        <f>COUNTIFS('Data Dump'!$P:$P,'HS FEED'!$A15,'Data Dump'!$S:$S,'HS FEED'!T$2)</f>
        <v>0</v>
      </c>
      <c r="U15" s="17">
        <f>COUNTIFS('Data Dump'!$P:$P,'HS FEED'!$A15,'Data Dump'!$S:$S,'HS FEED'!U$2)</f>
        <v>0</v>
      </c>
      <c r="V15" s="17">
        <f>COUNTIFS('Data Dump'!$P:$P,'HS FEED'!$A15,'Data Dump'!$S:$S,'HS FEED'!V$2)</f>
        <v>0</v>
      </c>
      <c r="W15" s="20">
        <f t="shared" si="5"/>
        <v>0</v>
      </c>
      <c r="X15" s="17">
        <f>COUNTIFS('Data Dump'!$P:$P,'HS FEED'!$A15,'Data Dump'!$S:$S,'HS FEED'!X$2)</f>
        <v>0</v>
      </c>
      <c r="Y15" s="17">
        <f>COUNTIFS('Data Dump'!$P:$P,'HS FEED'!$A15,'Data Dump'!$S:$S,'HS FEED'!Y$2)</f>
        <v>1</v>
      </c>
      <c r="Z15" s="17">
        <f>COUNTIFS('Data Dump'!$P:$P,'HS FEED'!$A15,'Data Dump'!$S:$S,'HS FEED'!Z$2)</f>
        <v>0</v>
      </c>
      <c r="AA15" s="20">
        <f t="shared" si="6"/>
        <v>1</v>
      </c>
      <c r="AB15" s="17">
        <f>COUNTIFS('Data Dump'!$P:$P,'HS FEED'!$A15,'Data Dump'!$S:$S,'HS FEED'!AB$2)</f>
        <v>0</v>
      </c>
      <c r="AC15" s="17">
        <f>COUNTIFS('Data Dump'!$P:$P,'HS FEED'!$A15,'Data Dump'!$S:$S,'HS FEED'!AC$2)</f>
        <v>0</v>
      </c>
      <c r="AD15" s="17">
        <f>COUNTIFS('Data Dump'!$P:$P,'HS FEED'!$A15,'Data Dump'!$S:$S,'HS FEED'!AD$2)</f>
        <v>0</v>
      </c>
      <c r="AE15" s="20">
        <f t="shared" si="7"/>
        <v>0</v>
      </c>
      <c r="AF15" s="17">
        <f>COUNTIFS('Data Dump'!$P:$P,'HS FEED'!$A15,'Data Dump'!$S:$S,'HS FEED'!AF$2)</f>
        <v>0</v>
      </c>
      <c r="AG15" s="17">
        <f>COUNTIFS('Data Dump'!$P:$P,'HS FEED'!$A15,'Data Dump'!$S:$S,'HS FEED'!AG$2)</f>
        <v>0</v>
      </c>
      <c r="AH15" s="17">
        <f>COUNTIFS('Data Dump'!$P:$P,'HS FEED'!$A15,'Data Dump'!$S:$S,'HS FEED'!AH$2)</f>
        <v>0</v>
      </c>
      <c r="AI15" s="20">
        <f t="shared" si="8"/>
        <v>0</v>
      </c>
      <c r="AJ15" s="20">
        <f t="shared" si="9"/>
        <v>1</v>
      </c>
    </row>
    <row r="16" spans="1:36" x14ac:dyDescent="0.25">
      <c r="A16" s="12" t="s">
        <v>104</v>
      </c>
      <c r="B16" s="13" t="s">
        <v>105</v>
      </c>
      <c r="C16" s="17">
        <f>COUNTIFS('Data Dump'!$P:$P,'HS FEED'!$A16,'Data Dump'!$S:$S,'HS FEED'!C$2)</f>
        <v>0</v>
      </c>
      <c r="D16" s="17">
        <f>COUNTIFS('Data Dump'!$P:$P,'HS FEED'!$A16,'Data Dump'!$S:$S,'HS FEED'!D$2)</f>
        <v>0</v>
      </c>
      <c r="E16" s="17">
        <f>COUNTIFS('Data Dump'!$P:$P,'HS FEED'!$A16,'Data Dump'!$S:$S,'HS FEED'!E$2)</f>
        <v>1</v>
      </c>
      <c r="F16" s="20">
        <f t="shared" si="0"/>
        <v>1</v>
      </c>
      <c r="G16" s="17">
        <f>COUNTIFS('Data Dump'!$P:$P,'HS FEED'!$A16,'Data Dump'!$S:$S,'HS FEED'!G$2)</f>
        <v>0</v>
      </c>
      <c r="H16" s="17">
        <f>COUNTIFS('Data Dump'!$P:$P,'HS FEED'!$A16,'Data Dump'!$S:$S,'HS FEED'!H$2)</f>
        <v>1</v>
      </c>
      <c r="I16" s="17">
        <f>COUNTIFS('Data Dump'!$P:$P,'HS FEED'!$A16,'Data Dump'!$S:$S,'HS FEED'!I$2)</f>
        <v>0</v>
      </c>
      <c r="J16" s="20">
        <f t="shared" si="1"/>
        <v>1</v>
      </c>
      <c r="K16" s="17">
        <f>COUNTIFS('Data Dump'!$P:$P,'HS FEED'!$A16,'Data Dump'!$S:$S,'HS FEED'!K$2)</f>
        <v>0</v>
      </c>
      <c r="L16" s="17">
        <f>COUNTIFS('Data Dump'!$P:$P,'HS FEED'!$A16,'Data Dump'!$S:$S,'HS FEED'!L$2)</f>
        <v>0</v>
      </c>
      <c r="M16" s="17">
        <f>COUNTIFS('Data Dump'!$P:$P,'HS FEED'!$A16,'Data Dump'!$S:$S,'HS FEED'!M$2)</f>
        <v>0</v>
      </c>
      <c r="N16" s="20">
        <f t="shared" si="2"/>
        <v>0</v>
      </c>
      <c r="O16" s="17">
        <f>COUNTIFS('Data Dump'!$P:$P,'HS FEED'!$A16,'Data Dump'!$S:$S,'HS FEED'!O$2)</f>
        <v>0</v>
      </c>
      <c r="P16" s="17">
        <f>COUNTIFS('Data Dump'!$P:$P,'HS FEED'!$A16,'Data Dump'!$S:$S,'HS FEED'!P$2)</f>
        <v>1</v>
      </c>
      <c r="Q16" s="17">
        <f>COUNTIFS('Data Dump'!$P:$P,'HS FEED'!$A16,'Data Dump'!$S:$S,'HS FEED'!Q$2)</f>
        <v>1</v>
      </c>
      <c r="R16" s="20">
        <f t="shared" si="3"/>
        <v>2</v>
      </c>
      <c r="S16" s="20">
        <f t="shared" si="4"/>
        <v>4</v>
      </c>
      <c r="T16" s="17">
        <f>COUNTIFS('Data Dump'!$P:$P,'HS FEED'!$A16,'Data Dump'!$S:$S,'HS FEED'!T$2)</f>
        <v>0</v>
      </c>
      <c r="U16" s="17">
        <f>COUNTIFS('Data Dump'!$P:$P,'HS FEED'!$A16,'Data Dump'!$S:$S,'HS FEED'!U$2)</f>
        <v>0</v>
      </c>
      <c r="V16" s="17">
        <f>COUNTIFS('Data Dump'!$P:$P,'HS FEED'!$A16,'Data Dump'!$S:$S,'HS FEED'!V$2)</f>
        <v>0</v>
      </c>
      <c r="W16" s="20">
        <f t="shared" si="5"/>
        <v>0</v>
      </c>
      <c r="X16" s="17">
        <f>COUNTIFS('Data Dump'!$P:$P,'HS FEED'!$A16,'Data Dump'!$S:$S,'HS FEED'!X$2)</f>
        <v>0</v>
      </c>
      <c r="Y16" s="17">
        <f>COUNTIFS('Data Dump'!$P:$P,'HS FEED'!$A16,'Data Dump'!$S:$S,'HS FEED'!Y$2)</f>
        <v>0</v>
      </c>
      <c r="Z16" s="17">
        <f>COUNTIFS('Data Dump'!$P:$P,'HS FEED'!$A16,'Data Dump'!$S:$S,'HS FEED'!Z$2)</f>
        <v>0</v>
      </c>
      <c r="AA16" s="20">
        <f t="shared" si="6"/>
        <v>0</v>
      </c>
      <c r="AB16" s="17">
        <f>COUNTIFS('Data Dump'!$P:$P,'HS FEED'!$A16,'Data Dump'!$S:$S,'HS FEED'!AB$2)</f>
        <v>0</v>
      </c>
      <c r="AC16" s="17">
        <f>COUNTIFS('Data Dump'!$P:$P,'HS FEED'!$A16,'Data Dump'!$S:$S,'HS FEED'!AC$2)</f>
        <v>0</v>
      </c>
      <c r="AD16" s="17">
        <f>COUNTIFS('Data Dump'!$P:$P,'HS FEED'!$A16,'Data Dump'!$S:$S,'HS FEED'!AD$2)</f>
        <v>0</v>
      </c>
      <c r="AE16" s="20">
        <f t="shared" si="7"/>
        <v>0</v>
      </c>
      <c r="AF16" s="17">
        <f>COUNTIFS('Data Dump'!$P:$P,'HS FEED'!$A16,'Data Dump'!$S:$S,'HS FEED'!AF$2)</f>
        <v>0</v>
      </c>
      <c r="AG16" s="17">
        <f>COUNTIFS('Data Dump'!$P:$P,'HS FEED'!$A16,'Data Dump'!$S:$S,'HS FEED'!AG$2)</f>
        <v>0</v>
      </c>
      <c r="AH16" s="17">
        <f>COUNTIFS('Data Dump'!$P:$P,'HS FEED'!$A16,'Data Dump'!$S:$S,'HS FEED'!AH$2)</f>
        <v>0</v>
      </c>
      <c r="AI16" s="20">
        <f t="shared" si="8"/>
        <v>0</v>
      </c>
      <c r="AJ16" s="20">
        <f t="shared" si="9"/>
        <v>0</v>
      </c>
    </row>
    <row r="17" spans="1:36" x14ac:dyDescent="0.25">
      <c r="A17" s="12" t="s">
        <v>106</v>
      </c>
      <c r="B17" s="13" t="s">
        <v>107</v>
      </c>
      <c r="C17" s="17">
        <f>COUNTIFS('Data Dump'!$P:$P,'HS FEED'!$A17,'Data Dump'!$S:$S,'HS FEED'!C$2)</f>
        <v>0</v>
      </c>
      <c r="D17" s="17">
        <f>COUNTIFS('Data Dump'!$P:$P,'HS FEED'!$A17,'Data Dump'!$S:$S,'HS FEED'!D$2)</f>
        <v>0</v>
      </c>
      <c r="E17" s="17">
        <f>COUNTIFS('Data Dump'!$P:$P,'HS FEED'!$A17,'Data Dump'!$S:$S,'HS FEED'!E$2)</f>
        <v>0</v>
      </c>
      <c r="F17" s="20">
        <f t="shared" si="0"/>
        <v>0</v>
      </c>
      <c r="G17" s="17">
        <f>COUNTIFS('Data Dump'!$P:$P,'HS FEED'!$A17,'Data Dump'!$S:$S,'HS FEED'!G$2)</f>
        <v>1</v>
      </c>
      <c r="H17" s="17">
        <f>COUNTIFS('Data Dump'!$P:$P,'HS FEED'!$A17,'Data Dump'!$S:$S,'HS FEED'!H$2)</f>
        <v>0</v>
      </c>
      <c r="I17" s="17">
        <f>COUNTIFS('Data Dump'!$P:$P,'HS FEED'!$A17,'Data Dump'!$S:$S,'HS FEED'!I$2)</f>
        <v>0</v>
      </c>
      <c r="J17" s="20">
        <f t="shared" si="1"/>
        <v>1</v>
      </c>
      <c r="K17" s="17">
        <f>COUNTIFS('Data Dump'!$P:$P,'HS FEED'!$A17,'Data Dump'!$S:$S,'HS FEED'!K$2)</f>
        <v>0</v>
      </c>
      <c r="L17" s="17">
        <f>COUNTIFS('Data Dump'!$P:$P,'HS FEED'!$A17,'Data Dump'!$S:$S,'HS FEED'!L$2)</f>
        <v>0</v>
      </c>
      <c r="M17" s="17">
        <f>COUNTIFS('Data Dump'!$P:$P,'HS FEED'!$A17,'Data Dump'!$S:$S,'HS FEED'!M$2)</f>
        <v>0</v>
      </c>
      <c r="N17" s="20">
        <f t="shared" si="2"/>
        <v>0</v>
      </c>
      <c r="O17" s="17">
        <f>COUNTIFS('Data Dump'!$P:$P,'HS FEED'!$A17,'Data Dump'!$S:$S,'HS FEED'!O$2)</f>
        <v>0</v>
      </c>
      <c r="P17" s="17">
        <f>COUNTIFS('Data Dump'!$P:$P,'HS FEED'!$A17,'Data Dump'!$S:$S,'HS FEED'!P$2)</f>
        <v>0</v>
      </c>
      <c r="Q17" s="17">
        <f>COUNTIFS('Data Dump'!$P:$P,'HS FEED'!$A17,'Data Dump'!$S:$S,'HS FEED'!Q$2)</f>
        <v>0</v>
      </c>
      <c r="R17" s="20">
        <f t="shared" si="3"/>
        <v>0</v>
      </c>
      <c r="S17" s="20">
        <f t="shared" si="4"/>
        <v>1</v>
      </c>
      <c r="T17" s="17">
        <f>COUNTIFS('Data Dump'!$P:$P,'HS FEED'!$A17,'Data Dump'!$S:$S,'HS FEED'!T$2)</f>
        <v>0</v>
      </c>
      <c r="U17" s="17">
        <f>COUNTIFS('Data Dump'!$P:$P,'HS FEED'!$A17,'Data Dump'!$S:$S,'HS FEED'!U$2)</f>
        <v>0</v>
      </c>
      <c r="V17" s="17">
        <f>COUNTIFS('Data Dump'!$P:$P,'HS FEED'!$A17,'Data Dump'!$S:$S,'HS FEED'!V$2)</f>
        <v>0</v>
      </c>
      <c r="W17" s="20">
        <f t="shared" si="5"/>
        <v>0</v>
      </c>
      <c r="X17" s="17">
        <f>COUNTIFS('Data Dump'!$P:$P,'HS FEED'!$A17,'Data Dump'!$S:$S,'HS FEED'!X$2)</f>
        <v>0</v>
      </c>
      <c r="Y17" s="17">
        <f>COUNTIFS('Data Dump'!$P:$P,'HS FEED'!$A17,'Data Dump'!$S:$S,'HS FEED'!Y$2)</f>
        <v>1</v>
      </c>
      <c r="Z17" s="17">
        <f>COUNTIFS('Data Dump'!$P:$P,'HS FEED'!$A17,'Data Dump'!$S:$S,'HS FEED'!Z$2)</f>
        <v>0</v>
      </c>
      <c r="AA17" s="20">
        <f t="shared" si="6"/>
        <v>1</v>
      </c>
      <c r="AB17" s="17">
        <f>COUNTIFS('Data Dump'!$P:$P,'HS FEED'!$A17,'Data Dump'!$S:$S,'HS FEED'!AB$2)</f>
        <v>0</v>
      </c>
      <c r="AC17" s="17">
        <f>COUNTIFS('Data Dump'!$P:$P,'HS FEED'!$A17,'Data Dump'!$S:$S,'HS FEED'!AC$2)</f>
        <v>0</v>
      </c>
      <c r="AD17" s="17">
        <f>COUNTIFS('Data Dump'!$P:$P,'HS FEED'!$A17,'Data Dump'!$S:$S,'HS FEED'!AD$2)</f>
        <v>0</v>
      </c>
      <c r="AE17" s="20">
        <f t="shared" si="7"/>
        <v>0</v>
      </c>
      <c r="AF17" s="17">
        <f>COUNTIFS('Data Dump'!$P:$P,'HS FEED'!$A17,'Data Dump'!$S:$S,'HS FEED'!AF$2)</f>
        <v>0</v>
      </c>
      <c r="AG17" s="17">
        <f>COUNTIFS('Data Dump'!$P:$P,'HS FEED'!$A17,'Data Dump'!$S:$S,'HS FEED'!AG$2)</f>
        <v>0</v>
      </c>
      <c r="AH17" s="17">
        <f>COUNTIFS('Data Dump'!$P:$P,'HS FEED'!$A17,'Data Dump'!$S:$S,'HS FEED'!AH$2)</f>
        <v>0</v>
      </c>
      <c r="AI17" s="20">
        <f t="shared" si="8"/>
        <v>0</v>
      </c>
      <c r="AJ17" s="20">
        <f t="shared" si="9"/>
        <v>1</v>
      </c>
    </row>
    <row r="18" spans="1:36" x14ac:dyDescent="0.25">
      <c r="A18" s="12" t="s">
        <v>108</v>
      </c>
      <c r="B18" s="13" t="s">
        <v>109</v>
      </c>
      <c r="C18" s="17">
        <f>COUNTIFS('Data Dump'!$P:$P,'HS FEED'!$A18,'Data Dump'!$S:$S,'HS FEED'!C$2)</f>
        <v>0</v>
      </c>
      <c r="D18" s="17">
        <f>COUNTIFS('Data Dump'!$P:$P,'HS FEED'!$A18,'Data Dump'!$S:$S,'HS FEED'!D$2)</f>
        <v>1</v>
      </c>
      <c r="E18" s="17">
        <f>COUNTIFS('Data Dump'!$P:$P,'HS FEED'!$A18,'Data Dump'!$S:$S,'HS FEED'!E$2)</f>
        <v>0</v>
      </c>
      <c r="F18" s="20">
        <f t="shared" si="0"/>
        <v>1</v>
      </c>
      <c r="G18" s="17">
        <f>COUNTIFS('Data Dump'!$P:$P,'HS FEED'!$A18,'Data Dump'!$S:$S,'HS FEED'!G$2)</f>
        <v>1</v>
      </c>
      <c r="H18" s="17">
        <f>COUNTIFS('Data Dump'!$P:$P,'HS FEED'!$A18,'Data Dump'!$S:$S,'HS FEED'!H$2)</f>
        <v>0</v>
      </c>
      <c r="I18" s="17">
        <f>COUNTIFS('Data Dump'!$P:$P,'HS FEED'!$A18,'Data Dump'!$S:$S,'HS FEED'!I$2)</f>
        <v>0</v>
      </c>
      <c r="J18" s="20">
        <f t="shared" si="1"/>
        <v>1</v>
      </c>
      <c r="K18" s="17">
        <f>COUNTIFS('Data Dump'!$P:$P,'HS FEED'!$A18,'Data Dump'!$S:$S,'HS FEED'!K$2)</f>
        <v>0</v>
      </c>
      <c r="L18" s="17">
        <f>COUNTIFS('Data Dump'!$P:$P,'HS FEED'!$A18,'Data Dump'!$S:$S,'HS FEED'!L$2)</f>
        <v>0</v>
      </c>
      <c r="M18" s="17">
        <f>COUNTIFS('Data Dump'!$P:$P,'HS FEED'!$A18,'Data Dump'!$S:$S,'HS FEED'!M$2)</f>
        <v>0</v>
      </c>
      <c r="N18" s="20">
        <f t="shared" si="2"/>
        <v>0</v>
      </c>
      <c r="O18" s="17">
        <f>COUNTIFS('Data Dump'!$P:$P,'HS FEED'!$A18,'Data Dump'!$S:$S,'HS FEED'!O$2)</f>
        <v>0</v>
      </c>
      <c r="P18" s="17">
        <f>COUNTIFS('Data Dump'!$P:$P,'HS FEED'!$A18,'Data Dump'!$S:$S,'HS FEED'!P$2)</f>
        <v>0</v>
      </c>
      <c r="Q18" s="17">
        <f>COUNTIFS('Data Dump'!$P:$P,'HS FEED'!$A18,'Data Dump'!$S:$S,'HS FEED'!Q$2)</f>
        <v>0</v>
      </c>
      <c r="R18" s="20">
        <f t="shared" si="3"/>
        <v>0</v>
      </c>
      <c r="S18" s="20">
        <f t="shared" si="4"/>
        <v>2</v>
      </c>
      <c r="T18" s="17">
        <f>COUNTIFS('Data Dump'!$P:$P,'HS FEED'!$A18,'Data Dump'!$S:$S,'HS FEED'!T$2)</f>
        <v>0</v>
      </c>
      <c r="U18" s="17">
        <f>COUNTIFS('Data Dump'!$P:$P,'HS FEED'!$A18,'Data Dump'!$S:$S,'HS FEED'!U$2)</f>
        <v>0</v>
      </c>
      <c r="V18" s="17">
        <f>COUNTIFS('Data Dump'!$P:$P,'HS FEED'!$A18,'Data Dump'!$S:$S,'HS FEED'!V$2)</f>
        <v>0</v>
      </c>
      <c r="W18" s="20">
        <f t="shared" si="5"/>
        <v>0</v>
      </c>
      <c r="X18" s="17">
        <f>COUNTIFS('Data Dump'!$P:$P,'HS FEED'!$A18,'Data Dump'!$S:$S,'HS FEED'!X$2)</f>
        <v>0</v>
      </c>
      <c r="Y18" s="17">
        <f>COUNTIFS('Data Dump'!$P:$P,'HS FEED'!$A18,'Data Dump'!$S:$S,'HS FEED'!Y$2)</f>
        <v>0</v>
      </c>
      <c r="Z18" s="17">
        <f>COUNTIFS('Data Dump'!$P:$P,'HS FEED'!$A18,'Data Dump'!$S:$S,'HS FEED'!Z$2)</f>
        <v>0</v>
      </c>
      <c r="AA18" s="20">
        <f t="shared" si="6"/>
        <v>0</v>
      </c>
      <c r="AB18" s="17">
        <f>COUNTIFS('Data Dump'!$P:$P,'HS FEED'!$A18,'Data Dump'!$S:$S,'HS FEED'!AB$2)</f>
        <v>0</v>
      </c>
      <c r="AC18" s="17">
        <f>COUNTIFS('Data Dump'!$P:$P,'HS FEED'!$A18,'Data Dump'!$S:$S,'HS FEED'!AC$2)</f>
        <v>0</v>
      </c>
      <c r="AD18" s="17">
        <f>COUNTIFS('Data Dump'!$P:$P,'HS FEED'!$A18,'Data Dump'!$S:$S,'HS FEED'!AD$2)</f>
        <v>0</v>
      </c>
      <c r="AE18" s="20">
        <f t="shared" si="7"/>
        <v>0</v>
      </c>
      <c r="AF18" s="17">
        <f>COUNTIFS('Data Dump'!$P:$P,'HS FEED'!$A18,'Data Dump'!$S:$S,'HS FEED'!AF$2)</f>
        <v>0</v>
      </c>
      <c r="AG18" s="17">
        <f>COUNTIFS('Data Dump'!$P:$P,'HS FEED'!$A18,'Data Dump'!$S:$S,'HS FEED'!AG$2)</f>
        <v>0</v>
      </c>
      <c r="AH18" s="17">
        <f>COUNTIFS('Data Dump'!$P:$P,'HS FEED'!$A18,'Data Dump'!$S:$S,'HS FEED'!AH$2)</f>
        <v>0</v>
      </c>
      <c r="AI18" s="20">
        <f t="shared" si="8"/>
        <v>0</v>
      </c>
      <c r="AJ18" s="20">
        <f t="shared" si="9"/>
        <v>0</v>
      </c>
    </row>
    <row r="19" spans="1:36" x14ac:dyDescent="0.25">
      <c r="A19" s="12" t="s">
        <v>110</v>
      </c>
      <c r="B19" s="13" t="s">
        <v>111</v>
      </c>
      <c r="C19" s="17">
        <f>COUNTIFS('Data Dump'!$P:$P,'HS FEED'!$A19,'Data Dump'!$S:$S,'HS FEED'!C$2)</f>
        <v>0</v>
      </c>
      <c r="D19" s="17">
        <f>COUNTIFS('Data Dump'!$P:$P,'HS FEED'!$A19,'Data Dump'!$S:$S,'HS FEED'!D$2)</f>
        <v>0</v>
      </c>
      <c r="E19" s="17">
        <f>COUNTIFS('Data Dump'!$P:$P,'HS FEED'!$A19,'Data Dump'!$S:$S,'HS FEED'!E$2)</f>
        <v>0</v>
      </c>
      <c r="F19" s="20">
        <f t="shared" si="0"/>
        <v>0</v>
      </c>
      <c r="G19" s="17">
        <f>COUNTIFS('Data Dump'!$P:$P,'HS FEED'!$A19,'Data Dump'!$S:$S,'HS FEED'!G$2)</f>
        <v>0</v>
      </c>
      <c r="H19" s="17">
        <f>COUNTIFS('Data Dump'!$P:$P,'HS FEED'!$A19,'Data Dump'!$S:$S,'HS FEED'!H$2)</f>
        <v>0</v>
      </c>
      <c r="I19" s="17">
        <f>COUNTIFS('Data Dump'!$P:$P,'HS FEED'!$A19,'Data Dump'!$S:$S,'HS FEED'!I$2)</f>
        <v>0</v>
      </c>
      <c r="J19" s="20">
        <f t="shared" si="1"/>
        <v>0</v>
      </c>
      <c r="K19" s="17">
        <f>COUNTIFS('Data Dump'!$P:$P,'HS FEED'!$A19,'Data Dump'!$S:$S,'HS FEED'!K$2)</f>
        <v>0</v>
      </c>
      <c r="L19" s="17">
        <f>COUNTIFS('Data Dump'!$P:$P,'HS FEED'!$A19,'Data Dump'!$S:$S,'HS FEED'!L$2)</f>
        <v>0</v>
      </c>
      <c r="M19" s="17">
        <f>COUNTIFS('Data Dump'!$P:$P,'HS FEED'!$A19,'Data Dump'!$S:$S,'HS FEED'!M$2)</f>
        <v>0</v>
      </c>
      <c r="N19" s="20">
        <f t="shared" si="2"/>
        <v>0</v>
      </c>
      <c r="O19" s="17">
        <f>COUNTIFS('Data Dump'!$P:$P,'HS FEED'!$A19,'Data Dump'!$S:$S,'HS FEED'!O$2)</f>
        <v>0</v>
      </c>
      <c r="P19" s="17">
        <f>COUNTIFS('Data Dump'!$P:$P,'HS FEED'!$A19,'Data Dump'!$S:$S,'HS FEED'!P$2)</f>
        <v>0</v>
      </c>
      <c r="Q19" s="17">
        <f>COUNTIFS('Data Dump'!$P:$P,'HS FEED'!$A19,'Data Dump'!$S:$S,'HS FEED'!Q$2)</f>
        <v>0</v>
      </c>
      <c r="R19" s="20">
        <f t="shared" si="3"/>
        <v>0</v>
      </c>
      <c r="S19" s="20">
        <f t="shared" si="4"/>
        <v>0</v>
      </c>
      <c r="T19" s="17">
        <f>COUNTIFS('Data Dump'!$P:$P,'HS FEED'!$A19,'Data Dump'!$S:$S,'HS FEED'!T$2)</f>
        <v>0</v>
      </c>
      <c r="U19" s="17">
        <f>COUNTIFS('Data Dump'!$P:$P,'HS FEED'!$A19,'Data Dump'!$S:$S,'HS FEED'!U$2)</f>
        <v>0</v>
      </c>
      <c r="V19" s="17">
        <f>COUNTIFS('Data Dump'!$P:$P,'HS FEED'!$A19,'Data Dump'!$S:$S,'HS FEED'!V$2)</f>
        <v>0</v>
      </c>
      <c r="W19" s="20">
        <f t="shared" si="5"/>
        <v>0</v>
      </c>
      <c r="X19" s="17">
        <f>COUNTIFS('Data Dump'!$P:$P,'HS FEED'!$A19,'Data Dump'!$S:$S,'HS FEED'!X$2)</f>
        <v>0</v>
      </c>
      <c r="Y19" s="17">
        <f>COUNTIFS('Data Dump'!$P:$P,'HS FEED'!$A19,'Data Dump'!$S:$S,'HS FEED'!Y$2)</f>
        <v>0</v>
      </c>
      <c r="Z19" s="17">
        <f>COUNTIFS('Data Dump'!$P:$P,'HS FEED'!$A19,'Data Dump'!$S:$S,'HS FEED'!Z$2)</f>
        <v>0</v>
      </c>
      <c r="AA19" s="20">
        <f t="shared" si="6"/>
        <v>0</v>
      </c>
      <c r="AB19" s="17">
        <f>COUNTIFS('Data Dump'!$P:$P,'HS FEED'!$A19,'Data Dump'!$S:$S,'HS FEED'!AB$2)</f>
        <v>0</v>
      </c>
      <c r="AC19" s="17">
        <f>COUNTIFS('Data Dump'!$P:$P,'HS FEED'!$A19,'Data Dump'!$S:$S,'HS FEED'!AC$2)</f>
        <v>0</v>
      </c>
      <c r="AD19" s="17">
        <f>COUNTIFS('Data Dump'!$P:$P,'HS FEED'!$A19,'Data Dump'!$S:$S,'HS FEED'!AD$2)</f>
        <v>0</v>
      </c>
      <c r="AE19" s="20">
        <f t="shared" si="7"/>
        <v>0</v>
      </c>
      <c r="AF19" s="17">
        <f>COUNTIFS('Data Dump'!$P:$P,'HS FEED'!$A19,'Data Dump'!$S:$S,'HS FEED'!AF$2)</f>
        <v>0</v>
      </c>
      <c r="AG19" s="17">
        <f>COUNTIFS('Data Dump'!$P:$P,'HS FEED'!$A19,'Data Dump'!$S:$S,'HS FEED'!AG$2)</f>
        <v>0</v>
      </c>
      <c r="AH19" s="17">
        <f>COUNTIFS('Data Dump'!$P:$P,'HS FEED'!$A19,'Data Dump'!$S:$S,'HS FEED'!AH$2)</f>
        <v>0</v>
      </c>
      <c r="AI19" s="20">
        <f t="shared" si="8"/>
        <v>0</v>
      </c>
      <c r="AJ19" s="20">
        <f t="shared" si="9"/>
        <v>0</v>
      </c>
    </row>
    <row r="20" spans="1:36" x14ac:dyDescent="0.25">
      <c r="A20" s="12" t="s">
        <v>112</v>
      </c>
      <c r="B20" s="13" t="s">
        <v>113</v>
      </c>
      <c r="C20" s="17">
        <f>COUNTIFS('Data Dump'!$P:$P,'HS FEED'!$A20,'Data Dump'!$S:$S,'HS FEED'!C$2)</f>
        <v>0</v>
      </c>
      <c r="D20" s="17">
        <f>COUNTIFS('Data Dump'!$P:$P,'HS FEED'!$A20,'Data Dump'!$S:$S,'HS FEED'!D$2)</f>
        <v>0</v>
      </c>
      <c r="E20" s="17">
        <f>COUNTIFS('Data Dump'!$P:$P,'HS FEED'!$A20,'Data Dump'!$S:$S,'HS FEED'!E$2)</f>
        <v>0</v>
      </c>
      <c r="F20" s="20">
        <f t="shared" si="0"/>
        <v>0</v>
      </c>
      <c r="G20" s="17">
        <f>COUNTIFS('Data Dump'!$P:$P,'HS FEED'!$A20,'Data Dump'!$S:$S,'HS FEED'!G$2)</f>
        <v>2</v>
      </c>
      <c r="H20" s="17">
        <f>COUNTIFS('Data Dump'!$P:$P,'HS FEED'!$A20,'Data Dump'!$S:$S,'HS FEED'!H$2)</f>
        <v>0</v>
      </c>
      <c r="I20" s="17">
        <f>COUNTIFS('Data Dump'!$P:$P,'HS FEED'!$A20,'Data Dump'!$S:$S,'HS FEED'!I$2)</f>
        <v>0</v>
      </c>
      <c r="J20" s="20">
        <f t="shared" si="1"/>
        <v>2</v>
      </c>
      <c r="K20" s="17">
        <f>COUNTIFS('Data Dump'!$P:$P,'HS FEED'!$A20,'Data Dump'!$S:$S,'HS FEED'!K$2)</f>
        <v>0</v>
      </c>
      <c r="L20" s="17">
        <f>COUNTIFS('Data Dump'!$P:$P,'HS FEED'!$A20,'Data Dump'!$S:$S,'HS FEED'!L$2)</f>
        <v>0</v>
      </c>
      <c r="M20" s="17">
        <f>COUNTIFS('Data Dump'!$P:$P,'HS FEED'!$A20,'Data Dump'!$S:$S,'HS FEED'!M$2)</f>
        <v>2</v>
      </c>
      <c r="N20" s="20">
        <f t="shared" si="2"/>
        <v>2</v>
      </c>
      <c r="O20" s="17">
        <f>COUNTIFS('Data Dump'!$P:$P,'HS FEED'!$A20,'Data Dump'!$S:$S,'HS FEED'!O$2)</f>
        <v>1</v>
      </c>
      <c r="P20" s="17">
        <f>COUNTIFS('Data Dump'!$P:$P,'HS FEED'!$A20,'Data Dump'!$S:$S,'HS FEED'!P$2)</f>
        <v>0</v>
      </c>
      <c r="Q20" s="17">
        <f>COUNTIFS('Data Dump'!$P:$P,'HS FEED'!$A20,'Data Dump'!$S:$S,'HS FEED'!Q$2)</f>
        <v>1</v>
      </c>
      <c r="R20" s="20">
        <f t="shared" si="3"/>
        <v>2</v>
      </c>
      <c r="S20" s="20">
        <f t="shared" si="4"/>
        <v>6</v>
      </c>
      <c r="T20" s="17">
        <f>COUNTIFS('Data Dump'!$P:$P,'HS FEED'!$A20,'Data Dump'!$S:$S,'HS FEED'!T$2)</f>
        <v>0</v>
      </c>
      <c r="U20" s="17">
        <f>COUNTIFS('Data Dump'!$P:$P,'HS FEED'!$A20,'Data Dump'!$S:$S,'HS FEED'!U$2)</f>
        <v>0</v>
      </c>
      <c r="V20" s="17">
        <f>COUNTIFS('Data Dump'!$P:$P,'HS FEED'!$A20,'Data Dump'!$S:$S,'HS FEED'!V$2)</f>
        <v>0</v>
      </c>
      <c r="W20" s="20">
        <f t="shared" si="5"/>
        <v>0</v>
      </c>
      <c r="X20" s="17">
        <f>COUNTIFS('Data Dump'!$P:$P,'HS FEED'!$A20,'Data Dump'!$S:$S,'HS FEED'!X$2)</f>
        <v>1</v>
      </c>
      <c r="Y20" s="17">
        <f>COUNTIFS('Data Dump'!$P:$P,'HS FEED'!$A20,'Data Dump'!$S:$S,'HS FEED'!Y$2)</f>
        <v>3</v>
      </c>
      <c r="Z20" s="17">
        <f>COUNTIFS('Data Dump'!$P:$P,'HS FEED'!$A20,'Data Dump'!$S:$S,'HS FEED'!Z$2)</f>
        <v>0</v>
      </c>
      <c r="AA20" s="20">
        <f t="shared" si="6"/>
        <v>4</v>
      </c>
      <c r="AB20" s="17">
        <f>COUNTIFS('Data Dump'!$P:$P,'HS FEED'!$A20,'Data Dump'!$S:$S,'HS FEED'!AB$2)</f>
        <v>0</v>
      </c>
      <c r="AC20" s="17">
        <f>COUNTIFS('Data Dump'!$P:$P,'HS FEED'!$A20,'Data Dump'!$S:$S,'HS FEED'!AC$2)</f>
        <v>3</v>
      </c>
      <c r="AD20" s="17">
        <f>COUNTIFS('Data Dump'!$P:$P,'HS FEED'!$A20,'Data Dump'!$S:$S,'HS FEED'!AD$2)</f>
        <v>0</v>
      </c>
      <c r="AE20" s="20">
        <f t="shared" si="7"/>
        <v>3</v>
      </c>
      <c r="AF20" s="17">
        <f>COUNTIFS('Data Dump'!$P:$P,'HS FEED'!$A20,'Data Dump'!$S:$S,'HS FEED'!AF$2)</f>
        <v>0</v>
      </c>
      <c r="AG20" s="17">
        <f>COUNTIFS('Data Dump'!$P:$P,'HS FEED'!$A20,'Data Dump'!$S:$S,'HS FEED'!AG$2)</f>
        <v>1</v>
      </c>
      <c r="AH20" s="17">
        <f>COUNTIFS('Data Dump'!$P:$P,'HS FEED'!$A20,'Data Dump'!$S:$S,'HS FEED'!AH$2)</f>
        <v>0</v>
      </c>
      <c r="AI20" s="20">
        <f t="shared" si="8"/>
        <v>1</v>
      </c>
      <c r="AJ20" s="20">
        <f t="shared" si="9"/>
        <v>8</v>
      </c>
    </row>
    <row r="21" spans="1:36" x14ac:dyDescent="0.25">
      <c r="A21" s="12" t="s">
        <v>114</v>
      </c>
      <c r="B21" s="13" t="s">
        <v>115</v>
      </c>
      <c r="C21" s="17">
        <f>COUNTIFS('Data Dump'!$P:$P,'HS FEED'!$A21,'Data Dump'!$S:$S,'HS FEED'!C$2)</f>
        <v>0</v>
      </c>
      <c r="D21" s="17">
        <f>COUNTIFS('Data Dump'!$P:$P,'HS FEED'!$A21,'Data Dump'!$S:$S,'HS FEED'!D$2)</f>
        <v>1</v>
      </c>
      <c r="E21" s="17">
        <f>COUNTIFS('Data Dump'!$P:$P,'HS FEED'!$A21,'Data Dump'!$S:$S,'HS FEED'!E$2)</f>
        <v>0</v>
      </c>
      <c r="F21" s="20">
        <f t="shared" si="0"/>
        <v>1</v>
      </c>
      <c r="G21" s="17">
        <f>COUNTIFS('Data Dump'!$P:$P,'HS FEED'!$A21,'Data Dump'!$S:$S,'HS FEED'!G$2)</f>
        <v>0</v>
      </c>
      <c r="H21" s="17">
        <f>COUNTIFS('Data Dump'!$P:$P,'HS FEED'!$A21,'Data Dump'!$S:$S,'HS FEED'!H$2)</f>
        <v>0</v>
      </c>
      <c r="I21" s="17">
        <f>COUNTIFS('Data Dump'!$P:$P,'HS FEED'!$A21,'Data Dump'!$S:$S,'HS FEED'!I$2)</f>
        <v>0</v>
      </c>
      <c r="J21" s="20">
        <f t="shared" si="1"/>
        <v>0</v>
      </c>
      <c r="K21" s="17">
        <f>COUNTIFS('Data Dump'!$P:$P,'HS FEED'!$A21,'Data Dump'!$S:$S,'HS FEED'!K$2)</f>
        <v>0</v>
      </c>
      <c r="L21" s="17">
        <f>COUNTIFS('Data Dump'!$P:$P,'HS FEED'!$A21,'Data Dump'!$S:$S,'HS FEED'!L$2)</f>
        <v>2</v>
      </c>
      <c r="M21" s="17">
        <f>COUNTIFS('Data Dump'!$P:$P,'HS FEED'!$A21,'Data Dump'!$S:$S,'HS FEED'!M$2)</f>
        <v>0</v>
      </c>
      <c r="N21" s="20">
        <f t="shared" si="2"/>
        <v>2</v>
      </c>
      <c r="O21" s="17">
        <f>COUNTIFS('Data Dump'!$P:$P,'HS FEED'!$A21,'Data Dump'!$S:$S,'HS FEED'!O$2)</f>
        <v>0</v>
      </c>
      <c r="P21" s="17">
        <f>COUNTIFS('Data Dump'!$P:$P,'HS FEED'!$A21,'Data Dump'!$S:$S,'HS FEED'!P$2)</f>
        <v>0</v>
      </c>
      <c r="Q21" s="17">
        <f>COUNTIFS('Data Dump'!$P:$P,'HS FEED'!$A21,'Data Dump'!$S:$S,'HS FEED'!Q$2)</f>
        <v>0</v>
      </c>
      <c r="R21" s="20">
        <f t="shared" si="3"/>
        <v>0</v>
      </c>
      <c r="S21" s="20">
        <f t="shared" si="4"/>
        <v>3</v>
      </c>
      <c r="T21" s="17">
        <f>COUNTIFS('Data Dump'!$P:$P,'HS FEED'!$A21,'Data Dump'!$S:$S,'HS FEED'!T$2)</f>
        <v>0</v>
      </c>
      <c r="U21" s="17">
        <f>COUNTIFS('Data Dump'!$P:$P,'HS FEED'!$A21,'Data Dump'!$S:$S,'HS FEED'!U$2)</f>
        <v>0</v>
      </c>
      <c r="V21" s="17">
        <f>COUNTIFS('Data Dump'!$P:$P,'HS FEED'!$A21,'Data Dump'!$S:$S,'HS FEED'!V$2)</f>
        <v>0</v>
      </c>
      <c r="W21" s="20">
        <f t="shared" si="5"/>
        <v>0</v>
      </c>
      <c r="X21" s="17">
        <f>COUNTIFS('Data Dump'!$P:$P,'HS FEED'!$A21,'Data Dump'!$S:$S,'HS FEED'!X$2)</f>
        <v>0</v>
      </c>
      <c r="Y21" s="17">
        <f>COUNTIFS('Data Dump'!$P:$P,'HS FEED'!$A21,'Data Dump'!$S:$S,'HS FEED'!Y$2)</f>
        <v>0</v>
      </c>
      <c r="Z21" s="17">
        <f>COUNTIFS('Data Dump'!$P:$P,'HS FEED'!$A21,'Data Dump'!$S:$S,'HS FEED'!Z$2)</f>
        <v>0</v>
      </c>
      <c r="AA21" s="20">
        <f t="shared" si="6"/>
        <v>0</v>
      </c>
      <c r="AB21" s="17">
        <f>COUNTIFS('Data Dump'!$P:$P,'HS FEED'!$A21,'Data Dump'!$S:$S,'HS FEED'!AB$2)</f>
        <v>0</v>
      </c>
      <c r="AC21" s="17">
        <f>COUNTIFS('Data Dump'!$P:$P,'HS FEED'!$A21,'Data Dump'!$S:$S,'HS FEED'!AC$2)</f>
        <v>0</v>
      </c>
      <c r="AD21" s="17">
        <f>COUNTIFS('Data Dump'!$P:$P,'HS FEED'!$A21,'Data Dump'!$S:$S,'HS FEED'!AD$2)</f>
        <v>0</v>
      </c>
      <c r="AE21" s="20">
        <f t="shared" si="7"/>
        <v>0</v>
      </c>
      <c r="AF21" s="17">
        <f>COUNTIFS('Data Dump'!$P:$P,'HS FEED'!$A21,'Data Dump'!$S:$S,'HS FEED'!AF$2)</f>
        <v>0</v>
      </c>
      <c r="AG21" s="17">
        <f>COUNTIFS('Data Dump'!$P:$P,'HS FEED'!$A21,'Data Dump'!$S:$S,'HS FEED'!AG$2)</f>
        <v>0</v>
      </c>
      <c r="AH21" s="17">
        <f>COUNTIFS('Data Dump'!$P:$P,'HS FEED'!$A21,'Data Dump'!$S:$S,'HS FEED'!AH$2)</f>
        <v>0</v>
      </c>
      <c r="AI21" s="20">
        <f t="shared" si="8"/>
        <v>0</v>
      </c>
      <c r="AJ21" s="20">
        <f t="shared" si="9"/>
        <v>0</v>
      </c>
    </row>
    <row r="22" spans="1:36" x14ac:dyDescent="0.25">
      <c r="A22" s="12" t="s">
        <v>116</v>
      </c>
      <c r="B22" s="12" t="s">
        <v>117</v>
      </c>
      <c r="C22" s="17">
        <f>COUNTIFS('Data Dump'!$P:$P,'HS FEED'!$A22,'Data Dump'!$S:$S,'HS FEED'!C$2)</f>
        <v>0</v>
      </c>
      <c r="D22" s="17">
        <f>COUNTIFS('Data Dump'!$P:$P,'HS FEED'!$A22,'Data Dump'!$S:$S,'HS FEED'!D$2)</f>
        <v>0</v>
      </c>
      <c r="E22" s="17">
        <f>COUNTIFS('Data Dump'!$P:$P,'HS FEED'!$A22,'Data Dump'!$S:$S,'HS FEED'!E$2)</f>
        <v>0</v>
      </c>
      <c r="F22" s="20">
        <f t="shared" si="0"/>
        <v>0</v>
      </c>
      <c r="G22" s="17">
        <f>COUNTIFS('Data Dump'!$P:$P,'HS FEED'!$A22,'Data Dump'!$S:$S,'HS FEED'!G$2)</f>
        <v>0</v>
      </c>
      <c r="H22" s="17">
        <f>COUNTIFS('Data Dump'!$P:$P,'HS FEED'!$A22,'Data Dump'!$S:$S,'HS FEED'!H$2)</f>
        <v>0</v>
      </c>
      <c r="I22" s="17">
        <f>COUNTIFS('Data Dump'!$P:$P,'HS FEED'!$A22,'Data Dump'!$S:$S,'HS FEED'!I$2)</f>
        <v>0</v>
      </c>
      <c r="J22" s="20">
        <f t="shared" si="1"/>
        <v>0</v>
      </c>
      <c r="K22" s="17">
        <f>COUNTIFS('Data Dump'!$P:$P,'HS FEED'!$A22,'Data Dump'!$S:$S,'HS FEED'!K$2)</f>
        <v>0</v>
      </c>
      <c r="L22" s="17">
        <f>COUNTIFS('Data Dump'!$P:$P,'HS FEED'!$A22,'Data Dump'!$S:$S,'HS FEED'!L$2)</f>
        <v>0</v>
      </c>
      <c r="M22" s="17">
        <f>COUNTIFS('Data Dump'!$P:$P,'HS FEED'!$A22,'Data Dump'!$S:$S,'HS FEED'!M$2)</f>
        <v>0</v>
      </c>
      <c r="N22" s="20">
        <f t="shared" si="2"/>
        <v>0</v>
      </c>
      <c r="O22" s="17">
        <f>COUNTIFS('Data Dump'!$P:$P,'HS FEED'!$A22,'Data Dump'!$S:$S,'HS FEED'!O$2)</f>
        <v>0</v>
      </c>
      <c r="P22" s="17">
        <f>COUNTIFS('Data Dump'!$P:$P,'HS FEED'!$A22,'Data Dump'!$S:$S,'HS FEED'!P$2)</f>
        <v>0</v>
      </c>
      <c r="Q22" s="17">
        <f>COUNTIFS('Data Dump'!$P:$P,'HS FEED'!$A22,'Data Dump'!$S:$S,'HS FEED'!Q$2)</f>
        <v>0</v>
      </c>
      <c r="R22" s="20">
        <f t="shared" si="3"/>
        <v>0</v>
      </c>
      <c r="S22" s="20">
        <f t="shared" si="4"/>
        <v>0</v>
      </c>
      <c r="T22" s="17">
        <f>COUNTIFS('Data Dump'!$P:$P,'HS FEED'!$A22,'Data Dump'!$S:$S,'HS FEED'!T$2)</f>
        <v>0</v>
      </c>
      <c r="U22" s="17">
        <f>COUNTIFS('Data Dump'!$P:$P,'HS FEED'!$A22,'Data Dump'!$S:$S,'HS FEED'!U$2)</f>
        <v>0</v>
      </c>
      <c r="V22" s="17">
        <f>COUNTIFS('Data Dump'!$P:$P,'HS FEED'!$A22,'Data Dump'!$S:$S,'HS FEED'!V$2)</f>
        <v>0</v>
      </c>
      <c r="W22" s="20">
        <f t="shared" si="5"/>
        <v>0</v>
      </c>
      <c r="X22" s="17">
        <f>COUNTIFS('Data Dump'!$P:$P,'HS FEED'!$A22,'Data Dump'!$S:$S,'HS FEED'!X$2)</f>
        <v>0</v>
      </c>
      <c r="Y22" s="17">
        <f>COUNTIFS('Data Dump'!$P:$P,'HS FEED'!$A22,'Data Dump'!$S:$S,'HS FEED'!Y$2)</f>
        <v>0</v>
      </c>
      <c r="Z22" s="17">
        <f>COUNTIFS('Data Dump'!$P:$P,'HS FEED'!$A22,'Data Dump'!$S:$S,'HS FEED'!Z$2)</f>
        <v>0</v>
      </c>
      <c r="AA22" s="20">
        <f t="shared" si="6"/>
        <v>0</v>
      </c>
      <c r="AB22" s="17">
        <f>COUNTIFS('Data Dump'!$P:$P,'HS FEED'!$A22,'Data Dump'!$S:$S,'HS FEED'!AB$2)</f>
        <v>0</v>
      </c>
      <c r="AC22" s="17">
        <f>COUNTIFS('Data Dump'!$P:$P,'HS FEED'!$A22,'Data Dump'!$S:$S,'HS FEED'!AC$2)</f>
        <v>0</v>
      </c>
      <c r="AD22" s="17">
        <f>COUNTIFS('Data Dump'!$P:$P,'HS FEED'!$A22,'Data Dump'!$S:$S,'HS FEED'!AD$2)</f>
        <v>0</v>
      </c>
      <c r="AE22" s="20">
        <f t="shared" si="7"/>
        <v>0</v>
      </c>
      <c r="AF22" s="17">
        <f>COUNTIFS('Data Dump'!$P:$P,'HS FEED'!$A22,'Data Dump'!$S:$S,'HS FEED'!AF$2)</f>
        <v>0</v>
      </c>
      <c r="AG22" s="17">
        <f>COUNTIFS('Data Dump'!$P:$P,'HS FEED'!$A22,'Data Dump'!$S:$S,'HS FEED'!AG$2)</f>
        <v>0</v>
      </c>
      <c r="AH22" s="17">
        <f>COUNTIFS('Data Dump'!$P:$P,'HS FEED'!$A22,'Data Dump'!$S:$S,'HS FEED'!AH$2)</f>
        <v>0</v>
      </c>
      <c r="AI22" s="20">
        <f t="shared" si="8"/>
        <v>0</v>
      </c>
      <c r="AJ22" s="20">
        <f t="shared" si="9"/>
        <v>0</v>
      </c>
    </row>
    <row r="23" spans="1:36" x14ac:dyDescent="0.25">
      <c r="A23" s="12" t="s">
        <v>118</v>
      </c>
      <c r="B23" s="12" t="s">
        <v>119</v>
      </c>
      <c r="C23" s="17">
        <f>COUNTIFS('Data Dump'!$P:$P,'HS FEED'!$A23,'Data Dump'!$S:$S,'HS FEED'!C$2)</f>
        <v>0</v>
      </c>
      <c r="D23" s="17">
        <f>COUNTIFS('Data Dump'!$P:$P,'HS FEED'!$A23,'Data Dump'!$S:$S,'HS FEED'!D$2)</f>
        <v>0</v>
      </c>
      <c r="E23" s="17">
        <f>COUNTIFS('Data Dump'!$P:$P,'HS FEED'!$A23,'Data Dump'!$S:$S,'HS FEED'!E$2)</f>
        <v>0</v>
      </c>
      <c r="F23" s="20">
        <f t="shared" si="0"/>
        <v>0</v>
      </c>
      <c r="G23" s="17">
        <f>COUNTIFS('Data Dump'!$P:$P,'HS FEED'!$A23,'Data Dump'!$S:$S,'HS FEED'!G$2)</f>
        <v>0</v>
      </c>
      <c r="H23" s="17">
        <f>COUNTIFS('Data Dump'!$P:$P,'HS FEED'!$A23,'Data Dump'!$S:$S,'HS FEED'!H$2)</f>
        <v>0</v>
      </c>
      <c r="I23" s="17">
        <f>COUNTIFS('Data Dump'!$P:$P,'HS FEED'!$A23,'Data Dump'!$S:$S,'HS FEED'!I$2)</f>
        <v>1</v>
      </c>
      <c r="J23" s="20">
        <f t="shared" si="1"/>
        <v>1</v>
      </c>
      <c r="K23" s="17">
        <f>COUNTIFS('Data Dump'!$P:$P,'HS FEED'!$A23,'Data Dump'!$S:$S,'HS FEED'!K$2)</f>
        <v>0</v>
      </c>
      <c r="L23" s="17">
        <f>COUNTIFS('Data Dump'!$P:$P,'HS FEED'!$A23,'Data Dump'!$S:$S,'HS FEED'!L$2)</f>
        <v>0</v>
      </c>
      <c r="M23" s="17">
        <f>COUNTIFS('Data Dump'!$P:$P,'HS FEED'!$A23,'Data Dump'!$S:$S,'HS FEED'!M$2)</f>
        <v>0</v>
      </c>
      <c r="N23" s="20">
        <f t="shared" si="2"/>
        <v>0</v>
      </c>
      <c r="O23" s="17">
        <f>COUNTIFS('Data Dump'!$P:$P,'HS FEED'!$A23,'Data Dump'!$S:$S,'HS FEED'!O$2)</f>
        <v>0</v>
      </c>
      <c r="P23" s="17">
        <f>COUNTIFS('Data Dump'!$P:$P,'HS FEED'!$A23,'Data Dump'!$S:$S,'HS FEED'!P$2)</f>
        <v>0</v>
      </c>
      <c r="Q23" s="17">
        <f>COUNTIFS('Data Dump'!$P:$P,'HS FEED'!$A23,'Data Dump'!$S:$S,'HS FEED'!Q$2)</f>
        <v>0</v>
      </c>
      <c r="R23" s="20">
        <f t="shared" si="3"/>
        <v>0</v>
      </c>
      <c r="S23" s="20">
        <f t="shared" si="4"/>
        <v>1</v>
      </c>
      <c r="T23" s="17">
        <f>COUNTIFS('Data Dump'!$P:$P,'HS FEED'!$A23,'Data Dump'!$S:$S,'HS FEED'!T$2)</f>
        <v>0</v>
      </c>
      <c r="U23" s="17">
        <f>COUNTIFS('Data Dump'!$P:$P,'HS FEED'!$A23,'Data Dump'!$S:$S,'HS FEED'!U$2)</f>
        <v>0</v>
      </c>
      <c r="V23" s="17">
        <f>COUNTIFS('Data Dump'!$P:$P,'HS FEED'!$A23,'Data Dump'!$S:$S,'HS FEED'!V$2)</f>
        <v>0</v>
      </c>
      <c r="W23" s="20">
        <f t="shared" si="5"/>
        <v>0</v>
      </c>
      <c r="X23" s="17">
        <f>COUNTIFS('Data Dump'!$P:$P,'HS FEED'!$A23,'Data Dump'!$S:$S,'HS FEED'!X$2)</f>
        <v>0</v>
      </c>
      <c r="Y23" s="17">
        <f>COUNTIFS('Data Dump'!$P:$P,'HS FEED'!$A23,'Data Dump'!$S:$S,'HS FEED'!Y$2)</f>
        <v>1</v>
      </c>
      <c r="Z23" s="17">
        <f>COUNTIFS('Data Dump'!$P:$P,'HS FEED'!$A23,'Data Dump'!$S:$S,'HS FEED'!Z$2)</f>
        <v>0</v>
      </c>
      <c r="AA23" s="20">
        <f t="shared" si="6"/>
        <v>1</v>
      </c>
      <c r="AB23" s="17">
        <f>COUNTIFS('Data Dump'!$P:$P,'HS FEED'!$A23,'Data Dump'!$S:$S,'HS FEED'!AB$2)</f>
        <v>0</v>
      </c>
      <c r="AC23" s="17">
        <f>COUNTIFS('Data Dump'!$P:$P,'HS FEED'!$A23,'Data Dump'!$S:$S,'HS FEED'!AC$2)</f>
        <v>0</v>
      </c>
      <c r="AD23" s="17">
        <f>COUNTIFS('Data Dump'!$P:$P,'HS FEED'!$A23,'Data Dump'!$S:$S,'HS FEED'!AD$2)</f>
        <v>0</v>
      </c>
      <c r="AE23" s="20">
        <f t="shared" si="7"/>
        <v>0</v>
      </c>
      <c r="AF23" s="17">
        <f>COUNTIFS('Data Dump'!$P:$P,'HS FEED'!$A23,'Data Dump'!$S:$S,'HS FEED'!AF$2)</f>
        <v>0</v>
      </c>
      <c r="AG23" s="17">
        <f>COUNTIFS('Data Dump'!$P:$P,'HS FEED'!$A23,'Data Dump'!$S:$S,'HS FEED'!AG$2)</f>
        <v>0</v>
      </c>
      <c r="AH23" s="17">
        <f>COUNTIFS('Data Dump'!$P:$P,'HS FEED'!$A23,'Data Dump'!$S:$S,'HS FEED'!AH$2)</f>
        <v>0</v>
      </c>
      <c r="AI23" s="20">
        <f t="shared" si="8"/>
        <v>0</v>
      </c>
      <c r="AJ23" s="20">
        <f t="shared" si="9"/>
        <v>1</v>
      </c>
    </row>
    <row r="24" spans="1:36" x14ac:dyDescent="0.25">
      <c r="A24" s="12" t="s">
        <v>120</v>
      </c>
      <c r="B24" s="12" t="s">
        <v>121</v>
      </c>
      <c r="C24" s="17">
        <f>COUNTIFS('Data Dump'!$P:$P,'HS FEED'!$A24,'Data Dump'!$S:$S,'HS FEED'!C$2)</f>
        <v>0</v>
      </c>
      <c r="D24" s="17">
        <f>COUNTIFS('Data Dump'!$P:$P,'HS FEED'!$A24,'Data Dump'!$S:$S,'HS FEED'!D$2)</f>
        <v>0</v>
      </c>
      <c r="E24" s="17">
        <f>COUNTIFS('Data Dump'!$P:$P,'HS FEED'!$A24,'Data Dump'!$S:$S,'HS FEED'!E$2)</f>
        <v>1</v>
      </c>
      <c r="F24" s="20">
        <f t="shared" si="0"/>
        <v>1</v>
      </c>
      <c r="G24" s="17">
        <f>COUNTIFS('Data Dump'!$P:$P,'HS FEED'!$A24,'Data Dump'!$S:$S,'HS FEED'!G$2)</f>
        <v>0</v>
      </c>
      <c r="H24" s="17">
        <f>COUNTIFS('Data Dump'!$P:$P,'HS FEED'!$A24,'Data Dump'!$S:$S,'HS FEED'!H$2)</f>
        <v>0</v>
      </c>
      <c r="I24" s="17">
        <f>COUNTIFS('Data Dump'!$P:$P,'HS FEED'!$A24,'Data Dump'!$S:$S,'HS FEED'!I$2)</f>
        <v>0</v>
      </c>
      <c r="J24" s="20">
        <f t="shared" si="1"/>
        <v>0</v>
      </c>
      <c r="K24" s="17">
        <f>COUNTIFS('Data Dump'!$P:$P,'HS FEED'!$A24,'Data Dump'!$S:$S,'HS FEED'!K$2)</f>
        <v>0</v>
      </c>
      <c r="L24" s="17">
        <f>COUNTIFS('Data Dump'!$P:$P,'HS FEED'!$A24,'Data Dump'!$S:$S,'HS FEED'!L$2)</f>
        <v>0</v>
      </c>
      <c r="M24" s="17">
        <f>COUNTIFS('Data Dump'!$P:$P,'HS FEED'!$A24,'Data Dump'!$S:$S,'HS FEED'!M$2)</f>
        <v>0</v>
      </c>
      <c r="N24" s="20">
        <f t="shared" si="2"/>
        <v>0</v>
      </c>
      <c r="O24" s="17">
        <f>COUNTIFS('Data Dump'!$P:$P,'HS FEED'!$A24,'Data Dump'!$S:$S,'HS FEED'!O$2)</f>
        <v>0</v>
      </c>
      <c r="P24" s="17">
        <f>COUNTIFS('Data Dump'!$P:$P,'HS FEED'!$A24,'Data Dump'!$S:$S,'HS FEED'!P$2)</f>
        <v>0</v>
      </c>
      <c r="Q24" s="17">
        <f>COUNTIFS('Data Dump'!$P:$P,'HS FEED'!$A24,'Data Dump'!$S:$S,'HS FEED'!Q$2)</f>
        <v>0</v>
      </c>
      <c r="R24" s="20">
        <f t="shared" si="3"/>
        <v>0</v>
      </c>
      <c r="S24" s="20">
        <f t="shared" si="4"/>
        <v>1</v>
      </c>
      <c r="T24" s="17">
        <f>COUNTIFS('Data Dump'!$P:$P,'HS FEED'!$A24,'Data Dump'!$S:$S,'HS FEED'!T$2)</f>
        <v>0</v>
      </c>
      <c r="U24" s="17">
        <f>COUNTIFS('Data Dump'!$P:$P,'HS FEED'!$A24,'Data Dump'!$S:$S,'HS FEED'!U$2)</f>
        <v>0</v>
      </c>
      <c r="V24" s="17">
        <f>COUNTIFS('Data Dump'!$P:$P,'HS FEED'!$A24,'Data Dump'!$S:$S,'HS FEED'!V$2)</f>
        <v>0</v>
      </c>
      <c r="W24" s="20">
        <f t="shared" si="5"/>
        <v>0</v>
      </c>
      <c r="X24" s="17">
        <f>COUNTIFS('Data Dump'!$P:$P,'HS FEED'!$A24,'Data Dump'!$S:$S,'HS FEED'!X$2)</f>
        <v>0</v>
      </c>
      <c r="Y24" s="17">
        <f>COUNTIFS('Data Dump'!$P:$P,'HS FEED'!$A24,'Data Dump'!$S:$S,'HS FEED'!Y$2)</f>
        <v>0</v>
      </c>
      <c r="Z24" s="17">
        <f>COUNTIFS('Data Dump'!$P:$P,'HS FEED'!$A24,'Data Dump'!$S:$S,'HS FEED'!Z$2)</f>
        <v>0</v>
      </c>
      <c r="AA24" s="20">
        <f t="shared" si="6"/>
        <v>0</v>
      </c>
      <c r="AB24" s="17">
        <f>COUNTIFS('Data Dump'!$P:$P,'HS FEED'!$A24,'Data Dump'!$S:$S,'HS FEED'!AB$2)</f>
        <v>0</v>
      </c>
      <c r="AC24" s="17">
        <f>COUNTIFS('Data Dump'!$P:$P,'HS FEED'!$A24,'Data Dump'!$S:$S,'HS FEED'!AC$2)</f>
        <v>0</v>
      </c>
      <c r="AD24" s="17">
        <f>COUNTIFS('Data Dump'!$P:$P,'HS FEED'!$A24,'Data Dump'!$S:$S,'HS FEED'!AD$2)</f>
        <v>0</v>
      </c>
      <c r="AE24" s="20">
        <f t="shared" si="7"/>
        <v>0</v>
      </c>
      <c r="AF24" s="17">
        <f>COUNTIFS('Data Dump'!$P:$P,'HS FEED'!$A24,'Data Dump'!$S:$S,'HS FEED'!AF$2)</f>
        <v>0</v>
      </c>
      <c r="AG24" s="17">
        <f>COUNTIFS('Data Dump'!$P:$P,'HS FEED'!$A24,'Data Dump'!$S:$S,'HS FEED'!AG$2)</f>
        <v>0</v>
      </c>
      <c r="AH24" s="17">
        <f>COUNTIFS('Data Dump'!$P:$P,'HS FEED'!$A24,'Data Dump'!$S:$S,'HS FEED'!AH$2)</f>
        <v>0</v>
      </c>
      <c r="AI24" s="20">
        <f t="shared" si="8"/>
        <v>0</v>
      </c>
      <c r="AJ24" s="20">
        <f t="shared" si="9"/>
        <v>0</v>
      </c>
    </row>
    <row r="25" spans="1:36" x14ac:dyDescent="0.25">
      <c r="A25" s="12" t="s">
        <v>122</v>
      </c>
      <c r="B25" s="12" t="s">
        <v>123</v>
      </c>
      <c r="C25" s="17">
        <f>COUNTIFS('Data Dump'!$P:$P,'HS FEED'!$A25,'Data Dump'!$S:$S,'HS FEED'!C$2)</f>
        <v>0</v>
      </c>
      <c r="D25" s="17">
        <f>COUNTIFS('Data Dump'!$P:$P,'HS FEED'!$A25,'Data Dump'!$S:$S,'HS FEED'!D$2)</f>
        <v>0</v>
      </c>
      <c r="E25" s="17">
        <f>COUNTIFS('Data Dump'!$P:$P,'HS FEED'!$A25,'Data Dump'!$S:$S,'HS FEED'!E$2)</f>
        <v>1</v>
      </c>
      <c r="F25" s="20">
        <f t="shared" si="0"/>
        <v>1</v>
      </c>
      <c r="G25" s="17">
        <f>COUNTIFS('Data Dump'!$P:$P,'HS FEED'!$A25,'Data Dump'!$S:$S,'HS FEED'!G$2)</f>
        <v>0</v>
      </c>
      <c r="H25" s="17">
        <f>COUNTIFS('Data Dump'!$P:$P,'HS FEED'!$A25,'Data Dump'!$S:$S,'HS FEED'!H$2)</f>
        <v>1</v>
      </c>
      <c r="I25" s="17">
        <f>COUNTIFS('Data Dump'!$P:$P,'HS FEED'!$A25,'Data Dump'!$S:$S,'HS FEED'!I$2)</f>
        <v>0</v>
      </c>
      <c r="J25" s="20">
        <f t="shared" si="1"/>
        <v>1</v>
      </c>
      <c r="K25" s="17">
        <f>COUNTIFS('Data Dump'!$P:$P,'HS FEED'!$A25,'Data Dump'!$S:$S,'HS FEED'!K$2)</f>
        <v>0</v>
      </c>
      <c r="L25" s="17">
        <f>COUNTIFS('Data Dump'!$P:$P,'HS FEED'!$A25,'Data Dump'!$S:$S,'HS FEED'!L$2)</f>
        <v>0</v>
      </c>
      <c r="M25" s="17">
        <f>COUNTIFS('Data Dump'!$P:$P,'HS FEED'!$A25,'Data Dump'!$S:$S,'HS FEED'!M$2)</f>
        <v>0</v>
      </c>
      <c r="N25" s="20">
        <f t="shared" si="2"/>
        <v>0</v>
      </c>
      <c r="O25" s="17">
        <f>COUNTIFS('Data Dump'!$P:$P,'HS FEED'!$A25,'Data Dump'!$S:$S,'HS FEED'!O$2)</f>
        <v>0</v>
      </c>
      <c r="P25" s="17">
        <f>COUNTIFS('Data Dump'!$P:$P,'HS FEED'!$A25,'Data Dump'!$S:$S,'HS FEED'!P$2)</f>
        <v>0</v>
      </c>
      <c r="Q25" s="17">
        <f>COUNTIFS('Data Dump'!$P:$P,'HS FEED'!$A25,'Data Dump'!$S:$S,'HS FEED'!Q$2)</f>
        <v>0</v>
      </c>
      <c r="R25" s="20">
        <f t="shared" si="3"/>
        <v>0</v>
      </c>
      <c r="S25" s="20">
        <f t="shared" si="4"/>
        <v>2</v>
      </c>
      <c r="T25" s="17">
        <f>COUNTIFS('Data Dump'!$P:$P,'HS FEED'!$A25,'Data Dump'!$S:$S,'HS FEED'!T$2)</f>
        <v>0</v>
      </c>
      <c r="U25" s="17">
        <f>COUNTIFS('Data Dump'!$P:$P,'HS FEED'!$A25,'Data Dump'!$S:$S,'HS FEED'!U$2)</f>
        <v>0</v>
      </c>
      <c r="V25" s="17">
        <f>COUNTIFS('Data Dump'!$P:$P,'HS FEED'!$A25,'Data Dump'!$S:$S,'HS FEED'!V$2)</f>
        <v>0</v>
      </c>
      <c r="W25" s="20">
        <f t="shared" si="5"/>
        <v>0</v>
      </c>
      <c r="X25" s="17">
        <f>COUNTIFS('Data Dump'!$P:$P,'HS FEED'!$A25,'Data Dump'!$S:$S,'HS FEED'!X$2)</f>
        <v>0</v>
      </c>
      <c r="Y25" s="17">
        <f>COUNTIFS('Data Dump'!$P:$P,'HS FEED'!$A25,'Data Dump'!$S:$S,'HS FEED'!Y$2)</f>
        <v>0</v>
      </c>
      <c r="Z25" s="17">
        <f>COUNTIFS('Data Dump'!$P:$P,'HS FEED'!$A25,'Data Dump'!$S:$S,'HS FEED'!Z$2)</f>
        <v>0</v>
      </c>
      <c r="AA25" s="20">
        <f t="shared" si="6"/>
        <v>0</v>
      </c>
      <c r="AB25" s="17">
        <f>COUNTIFS('Data Dump'!$P:$P,'HS FEED'!$A25,'Data Dump'!$S:$S,'HS FEED'!AB$2)</f>
        <v>0</v>
      </c>
      <c r="AC25" s="17">
        <f>COUNTIFS('Data Dump'!$P:$P,'HS FEED'!$A25,'Data Dump'!$S:$S,'HS FEED'!AC$2)</f>
        <v>0</v>
      </c>
      <c r="AD25" s="17">
        <f>COUNTIFS('Data Dump'!$P:$P,'HS FEED'!$A25,'Data Dump'!$S:$S,'HS FEED'!AD$2)</f>
        <v>0</v>
      </c>
      <c r="AE25" s="20">
        <f t="shared" si="7"/>
        <v>0</v>
      </c>
      <c r="AF25" s="17">
        <f>COUNTIFS('Data Dump'!$P:$P,'HS FEED'!$A25,'Data Dump'!$S:$S,'HS FEED'!AF$2)</f>
        <v>1</v>
      </c>
      <c r="AG25" s="17">
        <f>COUNTIFS('Data Dump'!$P:$P,'HS FEED'!$A25,'Data Dump'!$S:$S,'HS FEED'!AG$2)</f>
        <v>0</v>
      </c>
      <c r="AH25" s="17">
        <f>COUNTIFS('Data Dump'!$P:$P,'HS FEED'!$A25,'Data Dump'!$S:$S,'HS FEED'!AH$2)</f>
        <v>0</v>
      </c>
      <c r="AI25" s="20">
        <f t="shared" si="8"/>
        <v>1</v>
      </c>
      <c r="AJ25" s="20">
        <f t="shared" si="9"/>
        <v>1</v>
      </c>
    </row>
    <row r="26" spans="1:36" x14ac:dyDescent="0.25">
      <c r="A26" s="12" t="s">
        <v>124</v>
      </c>
      <c r="B26" s="12" t="s">
        <v>125</v>
      </c>
      <c r="C26" s="17">
        <f>COUNTIFS('Data Dump'!$P:$P,'HS FEED'!$A26,'Data Dump'!$S:$S,'HS FEED'!C$2)</f>
        <v>0</v>
      </c>
      <c r="D26" s="17">
        <f>COUNTIFS('Data Dump'!$P:$P,'HS FEED'!$A26,'Data Dump'!$S:$S,'HS FEED'!D$2)</f>
        <v>0</v>
      </c>
      <c r="E26" s="17">
        <f>COUNTIFS('Data Dump'!$P:$P,'HS FEED'!$A26,'Data Dump'!$S:$S,'HS FEED'!E$2)</f>
        <v>0</v>
      </c>
      <c r="F26" s="20">
        <f t="shared" si="0"/>
        <v>0</v>
      </c>
      <c r="G26" s="17">
        <f>COUNTIFS('Data Dump'!$P:$P,'HS FEED'!$A26,'Data Dump'!$S:$S,'HS FEED'!G$2)</f>
        <v>0</v>
      </c>
      <c r="H26" s="17">
        <f>COUNTIFS('Data Dump'!$P:$P,'HS FEED'!$A26,'Data Dump'!$S:$S,'HS FEED'!H$2)</f>
        <v>0</v>
      </c>
      <c r="I26" s="17">
        <f>COUNTIFS('Data Dump'!$P:$P,'HS FEED'!$A26,'Data Dump'!$S:$S,'HS FEED'!I$2)</f>
        <v>0</v>
      </c>
      <c r="J26" s="20">
        <f t="shared" si="1"/>
        <v>0</v>
      </c>
      <c r="K26" s="17">
        <f>COUNTIFS('Data Dump'!$P:$P,'HS FEED'!$A26,'Data Dump'!$S:$S,'HS FEED'!K$2)</f>
        <v>0</v>
      </c>
      <c r="L26" s="17">
        <f>COUNTIFS('Data Dump'!$P:$P,'HS FEED'!$A26,'Data Dump'!$S:$S,'HS FEED'!L$2)</f>
        <v>0</v>
      </c>
      <c r="M26" s="17">
        <f>COUNTIFS('Data Dump'!$P:$P,'HS FEED'!$A26,'Data Dump'!$S:$S,'HS FEED'!M$2)</f>
        <v>0</v>
      </c>
      <c r="N26" s="20">
        <f t="shared" si="2"/>
        <v>0</v>
      </c>
      <c r="O26" s="17">
        <f>COUNTIFS('Data Dump'!$P:$P,'HS FEED'!$A26,'Data Dump'!$S:$S,'HS FEED'!O$2)</f>
        <v>0</v>
      </c>
      <c r="P26" s="17">
        <f>COUNTIFS('Data Dump'!$P:$P,'HS FEED'!$A26,'Data Dump'!$S:$S,'HS FEED'!P$2)</f>
        <v>0</v>
      </c>
      <c r="Q26" s="17">
        <f>COUNTIFS('Data Dump'!$P:$P,'HS FEED'!$A26,'Data Dump'!$S:$S,'HS FEED'!Q$2)</f>
        <v>0</v>
      </c>
      <c r="R26" s="20">
        <f t="shared" si="3"/>
        <v>0</v>
      </c>
      <c r="S26" s="20">
        <f t="shared" si="4"/>
        <v>0</v>
      </c>
      <c r="T26" s="17">
        <f>COUNTIFS('Data Dump'!$P:$P,'HS FEED'!$A26,'Data Dump'!$S:$S,'HS FEED'!T$2)</f>
        <v>0</v>
      </c>
      <c r="U26" s="17">
        <f>COUNTIFS('Data Dump'!$P:$P,'HS FEED'!$A26,'Data Dump'!$S:$S,'HS FEED'!U$2)</f>
        <v>0</v>
      </c>
      <c r="V26" s="17">
        <f>COUNTIFS('Data Dump'!$P:$P,'HS FEED'!$A26,'Data Dump'!$S:$S,'HS FEED'!V$2)</f>
        <v>0</v>
      </c>
      <c r="W26" s="20">
        <f t="shared" si="5"/>
        <v>0</v>
      </c>
      <c r="X26" s="17">
        <f>COUNTIFS('Data Dump'!$P:$P,'HS FEED'!$A26,'Data Dump'!$S:$S,'HS FEED'!X$2)</f>
        <v>0</v>
      </c>
      <c r="Y26" s="17">
        <f>COUNTIFS('Data Dump'!$P:$P,'HS FEED'!$A26,'Data Dump'!$S:$S,'HS FEED'!Y$2)</f>
        <v>0</v>
      </c>
      <c r="Z26" s="17">
        <f>COUNTIFS('Data Dump'!$P:$P,'HS FEED'!$A26,'Data Dump'!$S:$S,'HS FEED'!Z$2)</f>
        <v>0</v>
      </c>
      <c r="AA26" s="20">
        <f t="shared" si="6"/>
        <v>0</v>
      </c>
      <c r="AB26" s="17">
        <f>COUNTIFS('Data Dump'!$P:$P,'HS FEED'!$A26,'Data Dump'!$S:$S,'HS FEED'!AB$2)</f>
        <v>1</v>
      </c>
      <c r="AC26" s="17">
        <f>COUNTIFS('Data Dump'!$P:$P,'HS FEED'!$A26,'Data Dump'!$S:$S,'HS FEED'!AC$2)</f>
        <v>0</v>
      </c>
      <c r="AD26" s="17">
        <f>COUNTIFS('Data Dump'!$P:$P,'HS FEED'!$A26,'Data Dump'!$S:$S,'HS FEED'!AD$2)</f>
        <v>0</v>
      </c>
      <c r="AE26" s="20">
        <f t="shared" si="7"/>
        <v>1</v>
      </c>
      <c r="AF26" s="17">
        <f>COUNTIFS('Data Dump'!$P:$P,'HS FEED'!$A26,'Data Dump'!$S:$S,'HS FEED'!AF$2)</f>
        <v>0</v>
      </c>
      <c r="AG26" s="17">
        <f>COUNTIFS('Data Dump'!$P:$P,'HS FEED'!$A26,'Data Dump'!$S:$S,'HS FEED'!AG$2)</f>
        <v>0</v>
      </c>
      <c r="AH26" s="17">
        <f>COUNTIFS('Data Dump'!$P:$P,'HS FEED'!$A26,'Data Dump'!$S:$S,'HS FEED'!AH$2)</f>
        <v>0</v>
      </c>
      <c r="AI26" s="20">
        <f t="shared" si="8"/>
        <v>0</v>
      </c>
      <c r="AJ26" s="20">
        <f t="shared" si="9"/>
        <v>1</v>
      </c>
    </row>
    <row r="27" spans="1:36" x14ac:dyDescent="0.25">
      <c r="A27" s="12" t="s">
        <v>126</v>
      </c>
      <c r="B27" s="12" t="s">
        <v>127</v>
      </c>
      <c r="C27" s="17">
        <f>COUNTIFS('Data Dump'!$P:$P,'HS FEED'!$A27,'Data Dump'!$S:$S,'HS FEED'!C$2)</f>
        <v>1</v>
      </c>
      <c r="D27" s="17">
        <f>COUNTIFS('Data Dump'!$P:$P,'HS FEED'!$A27,'Data Dump'!$S:$S,'HS FEED'!D$2)</f>
        <v>0</v>
      </c>
      <c r="E27" s="17">
        <f>COUNTIFS('Data Dump'!$P:$P,'HS FEED'!$A27,'Data Dump'!$S:$S,'HS FEED'!E$2)</f>
        <v>1</v>
      </c>
      <c r="F27" s="20">
        <f t="shared" si="0"/>
        <v>2</v>
      </c>
      <c r="G27" s="17">
        <f>COUNTIFS('Data Dump'!$P:$P,'HS FEED'!$A27,'Data Dump'!$S:$S,'HS FEED'!G$2)</f>
        <v>2</v>
      </c>
      <c r="H27" s="17">
        <f>COUNTIFS('Data Dump'!$P:$P,'HS FEED'!$A27,'Data Dump'!$S:$S,'HS FEED'!H$2)</f>
        <v>1</v>
      </c>
      <c r="I27" s="17">
        <f>COUNTIFS('Data Dump'!$P:$P,'HS FEED'!$A27,'Data Dump'!$S:$S,'HS FEED'!I$2)</f>
        <v>0</v>
      </c>
      <c r="J27" s="20">
        <f t="shared" si="1"/>
        <v>3</v>
      </c>
      <c r="K27" s="17">
        <f>COUNTIFS('Data Dump'!$P:$P,'HS FEED'!$A27,'Data Dump'!$S:$S,'HS FEED'!K$2)</f>
        <v>0</v>
      </c>
      <c r="L27" s="17">
        <f>COUNTIFS('Data Dump'!$P:$P,'HS FEED'!$A27,'Data Dump'!$S:$S,'HS FEED'!L$2)</f>
        <v>0</v>
      </c>
      <c r="M27" s="17">
        <f>COUNTIFS('Data Dump'!$P:$P,'HS FEED'!$A27,'Data Dump'!$S:$S,'HS FEED'!M$2)</f>
        <v>0</v>
      </c>
      <c r="N27" s="20">
        <f t="shared" si="2"/>
        <v>0</v>
      </c>
      <c r="O27" s="17">
        <f>COUNTIFS('Data Dump'!$P:$P,'HS FEED'!$A27,'Data Dump'!$S:$S,'HS FEED'!O$2)</f>
        <v>0</v>
      </c>
      <c r="P27" s="17">
        <f>COUNTIFS('Data Dump'!$P:$P,'HS FEED'!$A27,'Data Dump'!$S:$S,'HS FEED'!P$2)</f>
        <v>0</v>
      </c>
      <c r="Q27" s="17">
        <f>COUNTIFS('Data Dump'!$P:$P,'HS FEED'!$A27,'Data Dump'!$S:$S,'HS FEED'!Q$2)</f>
        <v>0</v>
      </c>
      <c r="R27" s="20">
        <f t="shared" si="3"/>
        <v>0</v>
      </c>
      <c r="S27" s="20">
        <f t="shared" si="4"/>
        <v>5</v>
      </c>
      <c r="T27" s="17">
        <f>COUNTIFS('Data Dump'!$P:$P,'HS FEED'!$A27,'Data Dump'!$S:$S,'HS FEED'!T$2)</f>
        <v>1</v>
      </c>
      <c r="U27" s="17">
        <f>COUNTIFS('Data Dump'!$P:$P,'HS FEED'!$A27,'Data Dump'!$S:$S,'HS FEED'!U$2)</f>
        <v>0</v>
      </c>
      <c r="V27" s="17">
        <f>COUNTIFS('Data Dump'!$P:$P,'HS FEED'!$A27,'Data Dump'!$S:$S,'HS FEED'!V$2)</f>
        <v>0</v>
      </c>
      <c r="W27" s="20">
        <f t="shared" si="5"/>
        <v>1</v>
      </c>
      <c r="X27" s="17">
        <f>COUNTIFS('Data Dump'!$P:$P,'HS FEED'!$A27,'Data Dump'!$S:$S,'HS FEED'!X$2)</f>
        <v>0</v>
      </c>
      <c r="Y27" s="17">
        <f>COUNTIFS('Data Dump'!$P:$P,'HS FEED'!$A27,'Data Dump'!$S:$S,'HS FEED'!Y$2)</f>
        <v>0</v>
      </c>
      <c r="Z27" s="17">
        <f>COUNTIFS('Data Dump'!$P:$P,'HS FEED'!$A27,'Data Dump'!$S:$S,'HS FEED'!Z$2)</f>
        <v>0</v>
      </c>
      <c r="AA27" s="20">
        <f t="shared" si="6"/>
        <v>0</v>
      </c>
      <c r="AB27" s="17">
        <f>COUNTIFS('Data Dump'!$P:$P,'HS FEED'!$A27,'Data Dump'!$S:$S,'HS FEED'!AB$2)</f>
        <v>0</v>
      </c>
      <c r="AC27" s="17">
        <f>COUNTIFS('Data Dump'!$P:$P,'HS FEED'!$A27,'Data Dump'!$S:$S,'HS FEED'!AC$2)</f>
        <v>0</v>
      </c>
      <c r="AD27" s="17">
        <f>COUNTIFS('Data Dump'!$P:$P,'HS FEED'!$A27,'Data Dump'!$S:$S,'HS FEED'!AD$2)</f>
        <v>0</v>
      </c>
      <c r="AE27" s="20">
        <f t="shared" si="7"/>
        <v>0</v>
      </c>
      <c r="AF27" s="17">
        <f>COUNTIFS('Data Dump'!$P:$P,'HS FEED'!$A27,'Data Dump'!$S:$S,'HS FEED'!AF$2)</f>
        <v>0</v>
      </c>
      <c r="AG27" s="17">
        <f>COUNTIFS('Data Dump'!$P:$P,'HS FEED'!$A27,'Data Dump'!$S:$S,'HS FEED'!AG$2)</f>
        <v>0</v>
      </c>
      <c r="AH27" s="17">
        <f>COUNTIFS('Data Dump'!$P:$P,'HS FEED'!$A27,'Data Dump'!$S:$S,'HS FEED'!AH$2)</f>
        <v>0</v>
      </c>
      <c r="AI27" s="20">
        <f t="shared" si="8"/>
        <v>0</v>
      </c>
      <c r="AJ27" s="20">
        <f t="shared" si="9"/>
        <v>1</v>
      </c>
    </row>
    <row r="28" spans="1:36" x14ac:dyDescent="0.25">
      <c r="A28" s="12" t="s">
        <v>128</v>
      </c>
      <c r="B28" s="12" t="s">
        <v>129</v>
      </c>
      <c r="C28" s="17">
        <f>COUNTIFS('Data Dump'!$P:$P,'HS FEED'!$A28,'Data Dump'!$S:$S,'HS FEED'!C$2)</f>
        <v>0</v>
      </c>
      <c r="D28" s="17">
        <f>COUNTIFS('Data Dump'!$P:$P,'HS FEED'!$A28,'Data Dump'!$S:$S,'HS FEED'!D$2)</f>
        <v>1</v>
      </c>
      <c r="E28" s="17">
        <f>COUNTIFS('Data Dump'!$P:$P,'HS FEED'!$A28,'Data Dump'!$S:$S,'HS FEED'!E$2)</f>
        <v>3</v>
      </c>
      <c r="F28" s="20">
        <f t="shared" si="0"/>
        <v>4</v>
      </c>
      <c r="G28" s="17">
        <f>COUNTIFS('Data Dump'!$P:$P,'HS FEED'!$A28,'Data Dump'!$S:$S,'HS FEED'!G$2)</f>
        <v>5</v>
      </c>
      <c r="H28" s="17">
        <f>COUNTIFS('Data Dump'!$P:$P,'HS FEED'!$A28,'Data Dump'!$S:$S,'HS FEED'!H$2)</f>
        <v>5</v>
      </c>
      <c r="I28" s="17">
        <f>COUNTIFS('Data Dump'!$P:$P,'HS FEED'!$A28,'Data Dump'!$S:$S,'HS FEED'!I$2)</f>
        <v>1</v>
      </c>
      <c r="J28" s="20">
        <f t="shared" si="1"/>
        <v>11</v>
      </c>
      <c r="K28" s="17">
        <f>COUNTIFS('Data Dump'!$P:$P,'HS FEED'!$A28,'Data Dump'!$S:$S,'HS FEED'!K$2)</f>
        <v>0</v>
      </c>
      <c r="L28" s="17">
        <f>COUNTIFS('Data Dump'!$P:$P,'HS FEED'!$A28,'Data Dump'!$S:$S,'HS FEED'!L$2)</f>
        <v>4</v>
      </c>
      <c r="M28" s="17">
        <f>COUNTIFS('Data Dump'!$P:$P,'HS FEED'!$A28,'Data Dump'!$S:$S,'HS FEED'!M$2)</f>
        <v>5</v>
      </c>
      <c r="N28" s="20">
        <f t="shared" si="2"/>
        <v>9</v>
      </c>
      <c r="O28" s="17">
        <f>COUNTIFS('Data Dump'!$P:$P,'HS FEED'!$A28,'Data Dump'!$S:$S,'HS FEED'!O$2)</f>
        <v>0</v>
      </c>
      <c r="P28" s="17">
        <f>COUNTIFS('Data Dump'!$P:$P,'HS FEED'!$A28,'Data Dump'!$S:$S,'HS FEED'!P$2)</f>
        <v>2</v>
      </c>
      <c r="Q28" s="17">
        <f>COUNTIFS('Data Dump'!$P:$P,'HS FEED'!$A28,'Data Dump'!$S:$S,'HS FEED'!Q$2)</f>
        <v>0</v>
      </c>
      <c r="R28" s="20">
        <f t="shared" si="3"/>
        <v>2</v>
      </c>
      <c r="S28" s="20">
        <f t="shared" si="4"/>
        <v>26</v>
      </c>
      <c r="T28" s="17">
        <f>COUNTIFS('Data Dump'!$P:$P,'HS FEED'!$A28,'Data Dump'!$S:$S,'HS FEED'!T$2)</f>
        <v>1</v>
      </c>
      <c r="U28" s="17">
        <f>COUNTIFS('Data Dump'!$P:$P,'HS FEED'!$A28,'Data Dump'!$S:$S,'HS FEED'!U$2)</f>
        <v>0</v>
      </c>
      <c r="V28" s="17">
        <f>COUNTIFS('Data Dump'!$P:$P,'HS FEED'!$A28,'Data Dump'!$S:$S,'HS FEED'!V$2)</f>
        <v>0</v>
      </c>
      <c r="W28" s="20">
        <f t="shared" si="5"/>
        <v>1</v>
      </c>
      <c r="X28" s="17">
        <f>COUNTIFS('Data Dump'!$P:$P,'HS FEED'!$A28,'Data Dump'!$S:$S,'HS FEED'!X$2)</f>
        <v>0</v>
      </c>
      <c r="Y28" s="17">
        <f>COUNTIFS('Data Dump'!$P:$P,'HS FEED'!$A28,'Data Dump'!$S:$S,'HS FEED'!Y$2)</f>
        <v>2</v>
      </c>
      <c r="Z28" s="17">
        <f>COUNTIFS('Data Dump'!$P:$P,'HS FEED'!$A28,'Data Dump'!$S:$S,'HS FEED'!Z$2)</f>
        <v>3</v>
      </c>
      <c r="AA28" s="20">
        <f t="shared" si="6"/>
        <v>5</v>
      </c>
      <c r="AB28" s="17">
        <f>COUNTIFS('Data Dump'!$P:$P,'HS FEED'!$A28,'Data Dump'!$S:$S,'HS FEED'!AB$2)</f>
        <v>0</v>
      </c>
      <c r="AC28" s="17">
        <f>COUNTIFS('Data Dump'!$P:$P,'HS FEED'!$A28,'Data Dump'!$S:$S,'HS FEED'!AC$2)</f>
        <v>0</v>
      </c>
      <c r="AD28" s="17">
        <f>COUNTIFS('Data Dump'!$P:$P,'HS FEED'!$A28,'Data Dump'!$S:$S,'HS FEED'!AD$2)</f>
        <v>1</v>
      </c>
      <c r="AE28" s="20">
        <f t="shared" si="7"/>
        <v>1</v>
      </c>
      <c r="AF28" s="17">
        <f>COUNTIFS('Data Dump'!$P:$P,'HS FEED'!$A28,'Data Dump'!$S:$S,'HS FEED'!AF$2)</f>
        <v>1</v>
      </c>
      <c r="AG28" s="17">
        <f>COUNTIFS('Data Dump'!$P:$P,'HS FEED'!$A28,'Data Dump'!$S:$S,'HS FEED'!AG$2)</f>
        <v>4</v>
      </c>
      <c r="AH28" s="17">
        <f>COUNTIFS('Data Dump'!$P:$P,'HS FEED'!$A28,'Data Dump'!$S:$S,'HS FEED'!AH$2)</f>
        <v>2</v>
      </c>
      <c r="AI28" s="20">
        <f t="shared" si="8"/>
        <v>7</v>
      </c>
      <c r="AJ28" s="20">
        <f t="shared" si="9"/>
        <v>14</v>
      </c>
    </row>
    <row r="29" spans="1:36" x14ac:dyDescent="0.25">
      <c r="A29" s="12" t="s">
        <v>130</v>
      </c>
      <c r="B29" s="12" t="s">
        <v>131</v>
      </c>
      <c r="C29" s="17">
        <f>COUNTIFS('Data Dump'!$P:$P,'HS FEED'!$A29,'Data Dump'!$S:$S,'HS FEED'!C$2)</f>
        <v>0</v>
      </c>
      <c r="D29" s="17">
        <f>COUNTIFS('Data Dump'!$P:$P,'HS FEED'!$A29,'Data Dump'!$S:$S,'HS FEED'!D$2)</f>
        <v>0</v>
      </c>
      <c r="E29" s="17">
        <f>COUNTIFS('Data Dump'!$P:$P,'HS FEED'!$A29,'Data Dump'!$S:$S,'HS FEED'!E$2)</f>
        <v>1</v>
      </c>
      <c r="F29" s="20">
        <f t="shared" si="0"/>
        <v>1</v>
      </c>
      <c r="G29" s="17">
        <f>COUNTIFS('Data Dump'!$P:$P,'HS FEED'!$A29,'Data Dump'!$S:$S,'HS FEED'!G$2)</f>
        <v>0</v>
      </c>
      <c r="H29" s="17">
        <f>COUNTIFS('Data Dump'!$P:$P,'HS FEED'!$A29,'Data Dump'!$S:$S,'HS FEED'!H$2)</f>
        <v>0</v>
      </c>
      <c r="I29" s="17">
        <f>COUNTIFS('Data Dump'!$P:$P,'HS FEED'!$A29,'Data Dump'!$S:$S,'HS FEED'!I$2)</f>
        <v>0</v>
      </c>
      <c r="J29" s="20">
        <f t="shared" si="1"/>
        <v>0</v>
      </c>
      <c r="K29" s="17">
        <f>COUNTIFS('Data Dump'!$P:$P,'HS FEED'!$A29,'Data Dump'!$S:$S,'HS FEED'!K$2)</f>
        <v>0</v>
      </c>
      <c r="L29" s="17">
        <f>COUNTIFS('Data Dump'!$P:$P,'HS FEED'!$A29,'Data Dump'!$S:$S,'HS FEED'!L$2)</f>
        <v>0</v>
      </c>
      <c r="M29" s="17">
        <f>COUNTIFS('Data Dump'!$P:$P,'HS FEED'!$A29,'Data Dump'!$S:$S,'HS FEED'!M$2)</f>
        <v>0</v>
      </c>
      <c r="N29" s="20">
        <f t="shared" si="2"/>
        <v>0</v>
      </c>
      <c r="O29" s="17">
        <f>COUNTIFS('Data Dump'!$P:$P,'HS FEED'!$A29,'Data Dump'!$S:$S,'HS FEED'!O$2)</f>
        <v>0</v>
      </c>
      <c r="P29" s="17">
        <f>COUNTIFS('Data Dump'!$P:$P,'HS FEED'!$A29,'Data Dump'!$S:$S,'HS FEED'!P$2)</f>
        <v>0</v>
      </c>
      <c r="Q29" s="17">
        <f>COUNTIFS('Data Dump'!$P:$P,'HS FEED'!$A29,'Data Dump'!$S:$S,'HS FEED'!Q$2)</f>
        <v>2</v>
      </c>
      <c r="R29" s="20">
        <f t="shared" si="3"/>
        <v>2</v>
      </c>
      <c r="S29" s="20">
        <f t="shared" si="4"/>
        <v>3</v>
      </c>
      <c r="T29" s="17">
        <f>COUNTIFS('Data Dump'!$P:$P,'HS FEED'!$A29,'Data Dump'!$S:$S,'HS FEED'!T$2)</f>
        <v>0</v>
      </c>
      <c r="U29" s="17">
        <f>COUNTIFS('Data Dump'!$P:$P,'HS FEED'!$A29,'Data Dump'!$S:$S,'HS FEED'!U$2)</f>
        <v>0</v>
      </c>
      <c r="V29" s="17">
        <f>COUNTIFS('Data Dump'!$P:$P,'HS FEED'!$A29,'Data Dump'!$S:$S,'HS FEED'!V$2)</f>
        <v>0</v>
      </c>
      <c r="W29" s="20">
        <f t="shared" si="5"/>
        <v>0</v>
      </c>
      <c r="X29" s="17">
        <f>COUNTIFS('Data Dump'!$P:$P,'HS FEED'!$A29,'Data Dump'!$S:$S,'HS FEED'!X$2)</f>
        <v>0</v>
      </c>
      <c r="Y29" s="17">
        <f>COUNTIFS('Data Dump'!$P:$P,'HS FEED'!$A29,'Data Dump'!$S:$S,'HS FEED'!Y$2)</f>
        <v>0</v>
      </c>
      <c r="Z29" s="17">
        <f>COUNTIFS('Data Dump'!$P:$P,'HS FEED'!$A29,'Data Dump'!$S:$S,'HS FEED'!Z$2)</f>
        <v>0</v>
      </c>
      <c r="AA29" s="20">
        <f t="shared" si="6"/>
        <v>0</v>
      </c>
      <c r="AB29" s="17">
        <f>COUNTIFS('Data Dump'!$P:$P,'HS FEED'!$A29,'Data Dump'!$S:$S,'HS FEED'!AB$2)</f>
        <v>0</v>
      </c>
      <c r="AC29" s="17">
        <f>COUNTIFS('Data Dump'!$P:$P,'HS FEED'!$A29,'Data Dump'!$S:$S,'HS FEED'!AC$2)</f>
        <v>0</v>
      </c>
      <c r="AD29" s="17">
        <f>COUNTIFS('Data Dump'!$P:$P,'HS FEED'!$A29,'Data Dump'!$S:$S,'HS FEED'!AD$2)</f>
        <v>0</v>
      </c>
      <c r="AE29" s="20">
        <f t="shared" si="7"/>
        <v>0</v>
      </c>
      <c r="AF29" s="17">
        <f>COUNTIFS('Data Dump'!$P:$P,'HS FEED'!$A29,'Data Dump'!$S:$S,'HS FEED'!AF$2)</f>
        <v>0</v>
      </c>
      <c r="AG29" s="17">
        <f>COUNTIFS('Data Dump'!$P:$P,'HS FEED'!$A29,'Data Dump'!$S:$S,'HS FEED'!AG$2)</f>
        <v>1</v>
      </c>
      <c r="AH29" s="17">
        <f>COUNTIFS('Data Dump'!$P:$P,'HS FEED'!$A29,'Data Dump'!$S:$S,'HS FEED'!AH$2)</f>
        <v>0</v>
      </c>
      <c r="AI29" s="20">
        <f t="shared" si="8"/>
        <v>1</v>
      </c>
      <c r="AJ29" s="20">
        <f t="shared" si="9"/>
        <v>1</v>
      </c>
    </row>
    <row r="30" spans="1:36" x14ac:dyDescent="0.25">
      <c r="A30" s="12" t="s">
        <v>132</v>
      </c>
      <c r="B30" s="12" t="s">
        <v>133</v>
      </c>
      <c r="C30" s="17">
        <f>COUNTIFS('Data Dump'!$P:$P,'HS FEED'!$A30,'Data Dump'!$S:$S,'HS FEED'!C$2)</f>
        <v>0</v>
      </c>
      <c r="D30" s="17">
        <f>COUNTIFS('Data Dump'!$P:$P,'HS FEED'!$A30,'Data Dump'!$S:$S,'HS FEED'!D$2)</f>
        <v>1</v>
      </c>
      <c r="E30" s="17">
        <f>COUNTIFS('Data Dump'!$P:$P,'HS FEED'!$A30,'Data Dump'!$S:$S,'HS FEED'!E$2)</f>
        <v>0</v>
      </c>
      <c r="F30" s="20">
        <f t="shared" si="0"/>
        <v>1</v>
      </c>
      <c r="G30" s="17">
        <f>COUNTIFS('Data Dump'!$P:$P,'HS FEED'!$A30,'Data Dump'!$S:$S,'HS FEED'!G$2)</f>
        <v>3</v>
      </c>
      <c r="H30" s="17">
        <f>COUNTIFS('Data Dump'!$P:$P,'HS FEED'!$A30,'Data Dump'!$S:$S,'HS FEED'!H$2)</f>
        <v>2</v>
      </c>
      <c r="I30" s="17">
        <f>COUNTIFS('Data Dump'!$P:$P,'HS FEED'!$A30,'Data Dump'!$S:$S,'HS FEED'!I$2)</f>
        <v>1</v>
      </c>
      <c r="J30" s="20">
        <f t="shared" si="1"/>
        <v>6</v>
      </c>
      <c r="K30" s="17">
        <f>COUNTIFS('Data Dump'!$P:$P,'HS FEED'!$A30,'Data Dump'!$S:$S,'HS FEED'!K$2)</f>
        <v>0</v>
      </c>
      <c r="L30" s="17">
        <f>COUNTIFS('Data Dump'!$P:$P,'HS FEED'!$A30,'Data Dump'!$S:$S,'HS FEED'!L$2)</f>
        <v>1</v>
      </c>
      <c r="M30" s="17">
        <f>COUNTIFS('Data Dump'!$P:$P,'HS FEED'!$A30,'Data Dump'!$S:$S,'HS FEED'!M$2)</f>
        <v>1</v>
      </c>
      <c r="N30" s="20">
        <f t="shared" si="2"/>
        <v>2</v>
      </c>
      <c r="O30" s="17">
        <f>COUNTIFS('Data Dump'!$P:$P,'HS FEED'!$A30,'Data Dump'!$S:$S,'HS FEED'!O$2)</f>
        <v>0</v>
      </c>
      <c r="P30" s="17">
        <f>COUNTIFS('Data Dump'!$P:$P,'HS FEED'!$A30,'Data Dump'!$S:$S,'HS FEED'!P$2)</f>
        <v>0</v>
      </c>
      <c r="Q30" s="17">
        <f>COUNTIFS('Data Dump'!$P:$P,'HS FEED'!$A30,'Data Dump'!$S:$S,'HS FEED'!Q$2)</f>
        <v>1</v>
      </c>
      <c r="R30" s="20">
        <f t="shared" si="3"/>
        <v>1</v>
      </c>
      <c r="S30" s="20">
        <f t="shared" si="4"/>
        <v>10</v>
      </c>
      <c r="T30" s="17">
        <f>COUNTIFS('Data Dump'!$P:$P,'HS FEED'!$A30,'Data Dump'!$S:$S,'HS FEED'!T$2)</f>
        <v>2</v>
      </c>
      <c r="U30" s="17">
        <f>COUNTIFS('Data Dump'!$P:$P,'HS FEED'!$A30,'Data Dump'!$S:$S,'HS FEED'!U$2)</f>
        <v>2</v>
      </c>
      <c r="V30" s="17">
        <f>COUNTIFS('Data Dump'!$P:$P,'HS FEED'!$A30,'Data Dump'!$S:$S,'HS FEED'!V$2)</f>
        <v>1</v>
      </c>
      <c r="W30" s="20">
        <f t="shared" si="5"/>
        <v>5</v>
      </c>
      <c r="X30" s="17">
        <f>COUNTIFS('Data Dump'!$P:$P,'HS FEED'!$A30,'Data Dump'!$S:$S,'HS FEED'!X$2)</f>
        <v>2</v>
      </c>
      <c r="Y30" s="17">
        <f>COUNTIFS('Data Dump'!$P:$P,'HS FEED'!$A30,'Data Dump'!$S:$S,'HS FEED'!Y$2)</f>
        <v>1</v>
      </c>
      <c r="Z30" s="17">
        <f>COUNTIFS('Data Dump'!$P:$P,'HS FEED'!$A30,'Data Dump'!$S:$S,'HS FEED'!Z$2)</f>
        <v>0</v>
      </c>
      <c r="AA30" s="20">
        <f t="shared" si="6"/>
        <v>3</v>
      </c>
      <c r="AB30" s="17">
        <f>COUNTIFS('Data Dump'!$P:$P,'HS FEED'!$A30,'Data Dump'!$S:$S,'HS FEED'!AB$2)</f>
        <v>0</v>
      </c>
      <c r="AC30" s="17">
        <f>COUNTIFS('Data Dump'!$P:$P,'HS FEED'!$A30,'Data Dump'!$S:$S,'HS FEED'!AC$2)</f>
        <v>1</v>
      </c>
      <c r="AD30" s="17">
        <f>COUNTIFS('Data Dump'!$P:$P,'HS FEED'!$A30,'Data Dump'!$S:$S,'HS FEED'!AD$2)</f>
        <v>0</v>
      </c>
      <c r="AE30" s="20">
        <f t="shared" si="7"/>
        <v>1</v>
      </c>
      <c r="AF30" s="17">
        <f>COUNTIFS('Data Dump'!$P:$P,'HS FEED'!$A30,'Data Dump'!$S:$S,'HS FEED'!AF$2)</f>
        <v>1</v>
      </c>
      <c r="AG30" s="17">
        <f>COUNTIFS('Data Dump'!$P:$P,'HS FEED'!$A30,'Data Dump'!$S:$S,'HS FEED'!AG$2)</f>
        <v>0</v>
      </c>
      <c r="AH30" s="17">
        <f>COUNTIFS('Data Dump'!$P:$P,'HS FEED'!$A30,'Data Dump'!$S:$S,'HS FEED'!AH$2)</f>
        <v>0</v>
      </c>
      <c r="AI30" s="20">
        <f t="shared" si="8"/>
        <v>1</v>
      </c>
      <c r="AJ30" s="20">
        <f t="shared" si="9"/>
        <v>10</v>
      </c>
    </row>
    <row r="31" spans="1:36" x14ac:dyDescent="0.25">
      <c r="A31" s="12" t="s">
        <v>134</v>
      </c>
      <c r="B31" s="12" t="s">
        <v>135</v>
      </c>
      <c r="C31" s="17">
        <f>COUNTIFS('Data Dump'!$P:$P,'HS FEED'!$A31,'Data Dump'!$S:$S,'HS FEED'!C$2)</f>
        <v>0</v>
      </c>
      <c r="D31" s="17">
        <f>COUNTIFS('Data Dump'!$P:$P,'HS FEED'!$A31,'Data Dump'!$S:$S,'HS FEED'!D$2)</f>
        <v>0</v>
      </c>
      <c r="E31" s="17">
        <f>COUNTIFS('Data Dump'!$P:$P,'HS FEED'!$A31,'Data Dump'!$S:$S,'HS FEED'!E$2)</f>
        <v>0</v>
      </c>
      <c r="F31" s="20">
        <f t="shared" si="0"/>
        <v>0</v>
      </c>
      <c r="G31" s="17">
        <f>COUNTIFS('Data Dump'!$P:$P,'HS FEED'!$A31,'Data Dump'!$S:$S,'HS FEED'!G$2)</f>
        <v>0</v>
      </c>
      <c r="H31" s="17">
        <f>COUNTIFS('Data Dump'!$P:$P,'HS FEED'!$A31,'Data Dump'!$S:$S,'HS FEED'!H$2)</f>
        <v>0</v>
      </c>
      <c r="I31" s="17">
        <f>COUNTIFS('Data Dump'!$P:$P,'HS FEED'!$A31,'Data Dump'!$S:$S,'HS FEED'!I$2)</f>
        <v>0</v>
      </c>
      <c r="J31" s="20">
        <f t="shared" si="1"/>
        <v>0</v>
      </c>
      <c r="K31" s="17">
        <f>COUNTIFS('Data Dump'!$P:$P,'HS FEED'!$A31,'Data Dump'!$S:$S,'HS FEED'!K$2)</f>
        <v>0</v>
      </c>
      <c r="L31" s="17">
        <f>COUNTIFS('Data Dump'!$P:$P,'HS FEED'!$A31,'Data Dump'!$S:$S,'HS FEED'!L$2)</f>
        <v>0</v>
      </c>
      <c r="M31" s="17">
        <f>COUNTIFS('Data Dump'!$P:$P,'HS FEED'!$A31,'Data Dump'!$S:$S,'HS FEED'!M$2)</f>
        <v>0</v>
      </c>
      <c r="N31" s="20">
        <f t="shared" si="2"/>
        <v>0</v>
      </c>
      <c r="O31" s="17">
        <f>COUNTIFS('Data Dump'!$P:$P,'HS FEED'!$A31,'Data Dump'!$S:$S,'HS FEED'!O$2)</f>
        <v>0</v>
      </c>
      <c r="P31" s="17">
        <f>COUNTIFS('Data Dump'!$P:$P,'HS FEED'!$A31,'Data Dump'!$S:$S,'HS FEED'!P$2)</f>
        <v>0</v>
      </c>
      <c r="Q31" s="17">
        <f>COUNTIFS('Data Dump'!$P:$P,'HS FEED'!$A31,'Data Dump'!$S:$S,'HS FEED'!Q$2)</f>
        <v>0</v>
      </c>
      <c r="R31" s="20">
        <f t="shared" si="3"/>
        <v>0</v>
      </c>
      <c r="S31" s="20">
        <f t="shared" si="4"/>
        <v>0</v>
      </c>
      <c r="T31" s="17">
        <f>COUNTIFS('Data Dump'!$P:$P,'HS FEED'!$A31,'Data Dump'!$S:$S,'HS FEED'!T$2)</f>
        <v>0</v>
      </c>
      <c r="U31" s="17">
        <f>COUNTIFS('Data Dump'!$P:$P,'HS FEED'!$A31,'Data Dump'!$S:$S,'HS FEED'!U$2)</f>
        <v>0</v>
      </c>
      <c r="V31" s="17">
        <f>COUNTIFS('Data Dump'!$P:$P,'HS FEED'!$A31,'Data Dump'!$S:$S,'HS FEED'!V$2)</f>
        <v>0</v>
      </c>
      <c r="W31" s="20">
        <f t="shared" si="5"/>
        <v>0</v>
      </c>
      <c r="X31" s="17">
        <f>COUNTIFS('Data Dump'!$P:$P,'HS FEED'!$A31,'Data Dump'!$S:$S,'HS FEED'!X$2)</f>
        <v>0</v>
      </c>
      <c r="Y31" s="17">
        <f>COUNTIFS('Data Dump'!$P:$P,'HS FEED'!$A31,'Data Dump'!$S:$S,'HS FEED'!Y$2)</f>
        <v>0</v>
      </c>
      <c r="Z31" s="17">
        <f>COUNTIFS('Data Dump'!$P:$P,'HS FEED'!$A31,'Data Dump'!$S:$S,'HS FEED'!Z$2)</f>
        <v>0</v>
      </c>
      <c r="AA31" s="20">
        <f t="shared" si="6"/>
        <v>0</v>
      </c>
      <c r="AB31" s="17">
        <f>COUNTIFS('Data Dump'!$P:$P,'HS FEED'!$A31,'Data Dump'!$S:$S,'HS FEED'!AB$2)</f>
        <v>0</v>
      </c>
      <c r="AC31" s="17">
        <f>COUNTIFS('Data Dump'!$P:$P,'HS FEED'!$A31,'Data Dump'!$S:$S,'HS FEED'!AC$2)</f>
        <v>0</v>
      </c>
      <c r="AD31" s="17">
        <f>COUNTIFS('Data Dump'!$P:$P,'HS FEED'!$A31,'Data Dump'!$S:$S,'HS FEED'!AD$2)</f>
        <v>0</v>
      </c>
      <c r="AE31" s="20">
        <f t="shared" si="7"/>
        <v>0</v>
      </c>
      <c r="AF31" s="17">
        <f>COUNTIFS('Data Dump'!$P:$P,'HS FEED'!$A31,'Data Dump'!$S:$S,'HS FEED'!AF$2)</f>
        <v>0</v>
      </c>
      <c r="AG31" s="17">
        <f>COUNTIFS('Data Dump'!$P:$P,'HS FEED'!$A31,'Data Dump'!$S:$S,'HS FEED'!AG$2)</f>
        <v>0</v>
      </c>
      <c r="AH31" s="17">
        <f>COUNTIFS('Data Dump'!$P:$P,'HS FEED'!$A31,'Data Dump'!$S:$S,'HS FEED'!AH$2)</f>
        <v>0</v>
      </c>
      <c r="AI31" s="20">
        <f t="shared" si="8"/>
        <v>0</v>
      </c>
      <c r="AJ31" s="20">
        <f t="shared" si="9"/>
        <v>0</v>
      </c>
    </row>
    <row r="32" spans="1:36" x14ac:dyDescent="0.25">
      <c r="A32" s="12" t="s">
        <v>136</v>
      </c>
      <c r="B32" s="12" t="s">
        <v>137</v>
      </c>
      <c r="C32" s="17">
        <f>COUNTIFS('Data Dump'!$P:$P,'HS FEED'!$A32,'Data Dump'!$S:$S,'HS FEED'!C$2)</f>
        <v>0</v>
      </c>
      <c r="D32" s="17">
        <f>COUNTIFS('Data Dump'!$P:$P,'HS FEED'!$A32,'Data Dump'!$S:$S,'HS FEED'!D$2)</f>
        <v>0</v>
      </c>
      <c r="E32" s="17">
        <f>COUNTIFS('Data Dump'!$P:$P,'HS FEED'!$A32,'Data Dump'!$S:$S,'HS FEED'!E$2)</f>
        <v>0</v>
      </c>
      <c r="F32" s="20">
        <f t="shared" si="0"/>
        <v>0</v>
      </c>
      <c r="G32" s="17">
        <f>COUNTIFS('Data Dump'!$P:$P,'HS FEED'!$A32,'Data Dump'!$S:$S,'HS FEED'!G$2)</f>
        <v>0</v>
      </c>
      <c r="H32" s="17">
        <f>COUNTIFS('Data Dump'!$P:$P,'HS FEED'!$A32,'Data Dump'!$S:$S,'HS FEED'!H$2)</f>
        <v>0</v>
      </c>
      <c r="I32" s="17">
        <f>COUNTIFS('Data Dump'!$P:$P,'HS FEED'!$A32,'Data Dump'!$S:$S,'HS FEED'!I$2)</f>
        <v>0</v>
      </c>
      <c r="J32" s="20">
        <f t="shared" si="1"/>
        <v>0</v>
      </c>
      <c r="K32" s="17">
        <f>COUNTIFS('Data Dump'!$P:$P,'HS FEED'!$A32,'Data Dump'!$S:$S,'HS FEED'!K$2)</f>
        <v>0</v>
      </c>
      <c r="L32" s="17">
        <f>COUNTIFS('Data Dump'!$P:$P,'HS FEED'!$A32,'Data Dump'!$S:$S,'HS FEED'!L$2)</f>
        <v>0</v>
      </c>
      <c r="M32" s="17">
        <f>COUNTIFS('Data Dump'!$P:$P,'HS FEED'!$A32,'Data Dump'!$S:$S,'HS FEED'!M$2)</f>
        <v>0</v>
      </c>
      <c r="N32" s="20">
        <f t="shared" si="2"/>
        <v>0</v>
      </c>
      <c r="O32" s="17">
        <f>COUNTIFS('Data Dump'!$P:$P,'HS FEED'!$A32,'Data Dump'!$S:$S,'HS FEED'!O$2)</f>
        <v>0</v>
      </c>
      <c r="P32" s="17">
        <f>COUNTIFS('Data Dump'!$P:$P,'HS FEED'!$A32,'Data Dump'!$S:$S,'HS FEED'!P$2)</f>
        <v>0</v>
      </c>
      <c r="Q32" s="17">
        <f>COUNTIFS('Data Dump'!$P:$P,'HS FEED'!$A32,'Data Dump'!$S:$S,'HS FEED'!Q$2)</f>
        <v>0</v>
      </c>
      <c r="R32" s="20">
        <f t="shared" si="3"/>
        <v>0</v>
      </c>
      <c r="S32" s="20">
        <f t="shared" si="4"/>
        <v>0</v>
      </c>
      <c r="T32" s="17">
        <f>COUNTIFS('Data Dump'!$P:$P,'HS FEED'!$A32,'Data Dump'!$S:$S,'HS FEED'!T$2)</f>
        <v>0</v>
      </c>
      <c r="U32" s="17">
        <f>COUNTIFS('Data Dump'!$P:$P,'HS FEED'!$A32,'Data Dump'!$S:$S,'HS FEED'!U$2)</f>
        <v>0</v>
      </c>
      <c r="V32" s="17">
        <f>COUNTIFS('Data Dump'!$P:$P,'HS FEED'!$A32,'Data Dump'!$S:$S,'HS FEED'!V$2)</f>
        <v>0</v>
      </c>
      <c r="W32" s="20">
        <f t="shared" si="5"/>
        <v>0</v>
      </c>
      <c r="X32" s="17">
        <f>COUNTIFS('Data Dump'!$P:$P,'HS FEED'!$A32,'Data Dump'!$S:$S,'HS FEED'!X$2)</f>
        <v>0</v>
      </c>
      <c r="Y32" s="17">
        <f>COUNTIFS('Data Dump'!$P:$P,'HS FEED'!$A32,'Data Dump'!$S:$S,'HS FEED'!Y$2)</f>
        <v>0</v>
      </c>
      <c r="Z32" s="17">
        <f>COUNTIFS('Data Dump'!$P:$P,'HS FEED'!$A32,'Data Dump'!$S:$S,'HS FEED'!Z$2)</f>
        <v>0</v>
      </c>
      <c r="AA32" s="20">
        <f t="shared" si="6"/>
        <v>0</v>
      </c>
      <c r="AB32" s="17">
        <f>COUNTIFS('Data Dump'!$P:$P,'HS FEED'!$A32,'Data Dump'!$S:$S,'HS FEED'!AB$2)</f>
        <v>0</v>
      </c>
      <c r="AC32" s="17">
        <f>COUNTIFS('Data Dump'!$P:$P,'HS FEED'!$A32,'Data Dump'!$S:$S,'HS FEED'!AC$2)</f>
        <v>0</v>
      </c>
      <c r="AD32" s="17">
        <f>COUNTIFS('Data Dump'!$P:$P,'HS FEED'!$A32,'Data Dump'!$S:$S,'HS FEED'!AD$2)</f>
        <v>0</v>
      </c>
      <c r="AE32" s="20">
        <f t="shared" si="7"/>
        <v>0</v>
      </c>
      <c r="AF32" s="17">
        <f>COUNTIFS('Data Dump'!$P:$P,'HS FEED'!$A32,'Data Dump'!$S:$S,'HS FEED'!AF$2)</f>
        <v>0</v>
      </c>
      <c r="AG32" s="17">
        <f>COUNTIFS('Data Dump'!$P:$P,'HS FEED'!$A32,'Data Dump'!$S:$S,'HS FEED'!AG$2)</f>
        <v>0</v>
      </c>
      <c r="AH32" s="17">
        <f>COUNTIFS('Data Dump'!$P:$P,'HS FEED'!$A32,'Data Dump'!$S:$S,'HS FEED'!AH$2)</f>
        <v>0</v>
      </c>
      <c r="AI32" s="20">
        <f t="shared" si="8"/>
        <v>0</v>
      </c>
      <c r="AJ32" s="20">
        <f t="shared" si="9"/>
        <v>0</v>
      </c>
    </row>
    <row r="33" spans="1:36" x14ac:dyDescent="0.25">
      <c r="A33" s="12" t="s">
        <v>138</v>
      </c>
      <c r="B33" s="12" t="s">
        <v>139</v>
      </c>
      <c r="C33" s="17">
        <f>COUNTIFS('Data Dump'!$P:$P,'HS FEED'!$A33,'Data Dump'!$S:$S,'HS FEED'!C$2)</f>
        <v>0</v>
      </c>
      <c r="D33" s="17">
        <f>COUNTIFS('Data Dump'!$P:$P,'HS FEED'!$A33,'Data Dump'!$S:$S,'HS FEED'!D$2)</f>
        <v>0</v>
      </c>
      <c r="E33" s="17">
        <f>COUNTIFS('Data Dump'!$P:$P,'HS FEED'!$A33,'Data Dump'!$S:$S,'HS FEED'!E$2)</f>
        <v>0</v>
      </c>
      <c r="F33" s="20">
        <f t="shared" si="0"/>
        <v>0</v>
      </c>
      <c r="G33" s="17">
        <f>COUNTIFS('Data Dump'!$P:$P,'HS FEED'!$A33,'Data Dump'!$S:$S,'HS FEED'!G$2)</f>
        <v>0</v>
      </c>
      <c r="H33" s="17">
        <f>COUNTIFS('Data Dump'!$P:$P,'HS FEED'!$A33,'Data Dump'!$S:$S,'HS FEED'!H$2)</f>
        <v>0</v>
      </c>
      <c r="I33" s="17">
        <f>COUNTIFS('Data Dump'!$P:$P,'HS FEED'!$A33,'Data Dump'!$S:$S,'HS FEED'!I$2)</f>
        <v>0</v>
      </c>
      <c r="J33" s="20">
        <f t="shared" si="1"/>
        <v>0</v>
      </c>
      <c r="K33" s="17">
        <f>COUNTIFS('Data Dump'!$P:$P,'HS FEED'!$A33,'Data Dump'!$S:$S,'HS FEED'!K$2)</f>
        <v>0</v>
      </c>
      <c r="L33" s="17">
        <f>COUNTIFS('Data Dump'!$P:$P,'HS FEED'!$A33,'Data Dump'!$S:$S,'HS FEED'!L$2)</f>
        <v>0</v>
      </c>
      <c r="M33" s="17">
        <f>COUNTIFS('Data Dump'!$P:$P,'HS FEED'!$A33,'Data Dump'!$S:$S,'HS FEED'!M$2)</f>
        <v>0</v>
      </c>
      <c r="N33" s="20">
        <f t="shared" si="2"/>
        <v>0</v>
      </c>
      <c r="O33" s="17">
        <f>COUNTIFS('Data Dump'!$P:$P,'HS FEED'!$A33,'Data Dump'!$S:$S,'HS FEED'!O$2)</f>
        <v>0</v>
      </c>
      <c r="P33" s="17">
        <f>COUNTIFS('Data Dump'!$P:$P,'HS FEED'!$A33,'Data Dump'!$S:$S,'HS FEED'!P$2)</f>
        <v>0</v>
      </c>
      <c r="Q33" s="17">
        <f>COUNTIFS('Data Dump'!$P:$P,'HS FEED'!$A33,'Data Dump'!$S:$S,'HS FEED'!Q$2)</f>
        <v>0</v>
      </c>
      <c r="R33" s="20">
        <f t="shared" si="3"/>
        <v>0</v>
      </c>
      <c r="S33" s="20">
        <f t="shared" si="4"/>
        <v>0</v>
      </c>
      <c r="T33" s="17">
        <f>COUNTIFS('Data Dump'!$P:$P,'HS FEED'!$A33,'Data Dump'!$S:$S,'HS FEED'!T$2)</f>
        <v>0</v>
      </c>
      <c r="U33" s="17">
        <f>COUNTIFS('Data Dump'!$P:$P,'HS FEED'!$A33,'Data Dump'!$S:$S,'HS FEED'!U$2)</f>
        <v>0</v>
      </c>
      <c r="V33" s="17">
        <f>COUNTIFS('Data Dump'!$P:$P,'HS FEED'!$A33,'Data Dump'!$S:$S,'HS FEED'!V$2)</f>
        <v>0</v>
      </c>
      <c r="W33" s="20">
        <f t="shared" si="5"/>
        <v>0</v>
      </c>
      <c r="X33" s="17">
        <f>COUNTIFS('Data Dump'!$P:$P,'HS FEED'!$A33,'Data Dump'!$S:$S,'HS FEED'!X$2)</f>
        <v>0</v>
      </c>
      <c r="Y33" s="17">
        <f>COUNTIFS('Data Dump'!$P:$P,'HS FEED'!$A33,'Data Dump'!$S:$S,'HS FEED'!Y$2)</f>
        <v>0</v>
      </c>
      <c r="Z33" s="17">
        <f>COUNTIFS('Data Dump'!$P:$P,'HS FEED'!$A33,'Data Dump'!$S:$S,'HS FEED'!Z$2)</f>
        <v>0</v>
      </c>
      <c r="AA33" s="20">
        <f t="shared" si="6"/>
        <v>0</v>
      </c>
      <c r="AB33" s="17">
        <f>COUNTIFS('Data Dump'!$P:$P,'HS FEED'!$A33,'Data Dump'!$S:$S,'HS FEED'!AB$2)</f>
        <v>0</v>
      </c>
      <c r="AC33" s="17">
        <f>COUNTIFS('Data Dump'!$P:$P,'HS FEED'!$A33,'Data Dump'!$S:$S,'HS FEED'!AC$2)</f>
        <v>0</v>
      </c>
      <c r="AD33" s="17">
        <f>COUNTIFS('Data Dump'!$P:$P,'HS FEED'!$A33,'Data Dump'!$S:$S,'HS FEED'!AD$2)</f>
        <v>0</v>
      </c>
      <c r="AE33" s="20">
        <f t="shared" si="7"/>
        <v>0</v>
      </c>
      <c r="AF33" s="17">
        <f>COUNTIFS('Data Dump'!$P:$P,'HS FEED'!$A33,'Data Dump'!$S:$S,'HS FEED'!AF$2)</f>
        <v>0</v>
      </c>
      <c r="AG33" s="17">
        <f>COUNTIFS('Data Dump'!$P:$P,'HS FEED'!$A33,'Data Dump'!$S:$S,'HS FEED'!AG$2)</f>
        <v>0</v>
      </c>
      <c r="AH33" s="17">
        <f>COUNTIFS('Data Dump'!$P:$P,'HS FEED'!$A33,'Data Dump'!$S:$S,'HS FEED'!AH$2)</f>
        <v>0</v>
      </c>
      <c r="AI33" s="20">
        <f t="shared" si="8"/>
        <v>0</v>
      </c>
      <c r="AJ33" s="20">
        <f t="shared" si="9"/>
        <v>0</v>
      </c>
    </row>
    <row r="34" spans="1:36" x14ac:dyDescent="0.25">
      <c r="A34" s="12" t="s">
        <v>140</v>
      </c>
      <c r="B34" s="12" t="s">
        <v>141</v>
      </c>
      <c r="C34" s="17">
        <f>COUNTIFS('Data Dump'!$P:$P,'HS FEED'!$A34,'Data Dump'!$S:$S,'HS FEED'!C$2)</f>
        <v>1</v>
      </c>
      <c r="D34" s="17">
        <f>COUNTIFS('Data Dump'!$P:$P,'HS FEED'!$A34,'Data Dump'!$S:$S,'HS FEED'!D$2)</f>
        <v>0</v>
      </c>
      <c r="E34" s="17">
        <f>COUNTIFS('Data Dump'!$P:$P,'HS FEED'!$A34,'Data Dump'!$S:$S,'HS FEED'!E$2)</f>
        <v>0</v>
      </c>
      <c r="F34" s="20">
        <f t="shared" si="0"/>
        <v>1</v>
      </c>
      <c r="G34" s="17">
        <f>COUNTIFS('Data Dump'!$P:$P,'HS FEED'!$A34,'Data Dump'!$S:$S,'HS FEED'!G$2)</f>
        <v>0</v>
      </c>
      <c r="H34" s="17">
        <f>COUNTIFS('Data Dump'!$P:$P,'HS FEED'!$A34,'Data Dump'!$S:$S,'HS FEED'!H$2)</f>
        <v>0</v>
      </c>
      <c r="I34" s="17">
        <f>COUNTIFS('Data Dump'!$P:$P,'HS FEED'!$A34,'Data Dump'!$S:$S,'HS FEED'!I$2)</f>
        <v>0</v>
      </c>
      <c r="J34" s="20">
        <f t="shared" si="1"/>
        <v>0</v>
      </c>
      <c r="K34" s="17">
        <f>COUNTIFS('Data Dump'!$P:$P,'HS FEED'!$A34,'Data Dump'!$S:$S,'HS FEED'!K$2)</f>
        <v>0</v>
      </c>
      <c r="L34" s="17">
        <f>COUNTIFS('Data Dump'!$P:$P,'HS FEED'!$A34,'Data Dump'!$S:$S,'HS FEED'!L$2)</f>
        <v>0</v>
      </c>
      <c r="M34" s="17">
        <f>COUNTIFS('Data Dump'!$P:$P,'HS FEED'!$A34,'Data Dump'!$S:$S,'HS FEED'!M$2)</f>
        <v>0</v>
      </c>
      <c r="N34" s="20">
        <f t="shared" si="2"/>
        <v>0</v>
      </c>
      <c r="O34" s="17">
        <f>COUNTIFS('Data Dump'!$P:$P,'HS FEED'!$A34,'Data Dump'!$S:$S,'HS FEED'!O$2)</f>
        <v>0</v>
      </c>
      <c r="P34" s="17">
        <f>COUNTIFS('Data Dump'!$P:$P,'HS FEED'!$A34,'Data Dump'!$S:$S,'HS FEED'!P$2)</f>
        <v>0</v>
      </c>
      <c r="Q34" s="17">
        <f>COUNTIFS('Data Dump'!$P:$P,'HS FEED'!$A34,'Data Dump'!$S:$S,'HS FEED'!Q$2)</f>
        <v>0</v>
      </c>
      <c r="R34" s="20">
        <f t="shared" si="3"/>
        <v>0</v>
      </c>
      <c r="S34" s="20">
        <f t="shared" si="4"/>
        <v>1</v>
      </c>
      <c r="T34" s="17">
        <f>COUNTIFS('Data Dump'!$P:$P,'HS FEED'!$A34,'Data Dump'!$S:$S,'HS FEED'!T$2)</f>
        <v>0</v>
      </c>
      <c r="U34" s="17">
        <f>COUNTIFS('Data Dump'!$P:$P,'HS FEED'!$A34,'Data Dump'!$S:$S,'HS FEED'!U$2)</f>
        <v>0</v>
      </c>
      <c r="V34" s="17">
        <f>COUNTIFS('Data Dump'!$P:$P,'HS FEED'!$A34,'Data Dump'!$S:$S,'HS FEED'!V$2)</f>
        <v>0</v>
      </c>
      <c r="W34" s="20">
        <f t="shared" si="5"/>
        <v>0</v>
      </c>
      <c r="X34" s="17">
        <f>COUNTIFS('Data Dump'!$P:$P,'HS FEED'!$A34,'Data Dump'!$S:$S,'HS FEED'!X$2)</f>
        <v>0</v>
      </c>
      <c r="Y34" s="17">
        <f>COUNTIFS('Data Dump'!$P:$P,'HS FEED'!$A34,'Data Dump'!$S:$S,'HS FEED'!Y$2)</f>
        <v>0</v>
      </c>
      <c r="Z34" s="17">
        <f>COUNTIFS('Data Dump'!$P:$P,'HS FEED'!$A34,'Data Dump'!$S:$S,'HS FEED'!Z$2)</f>
        <v>0</v>
      </c>
      <c r="AA34" s="20">
        <f t="shared" si="6"/>
        <v>0</v>
      </c>
      <c r="AB34" s="17">
        <f>COUNTIFS('Data Dump'!$P:$P,'HS FEED'!$A34,'Data Dump'!$S:$S,'HS FEED'!AB$2)</f>
        <v>0</v>
      </c>
      <c r="AC34" s="17">
        <f>COUNTIFS('Data Dump'!$P:$P,'HS FEED'!$A34,'Data Dump'!$S:$S,'HS FEED'!AC$2)</f>
        <v>0</v>
      </c>
      <c r="AD34" s="17">
        <f>COUNTIFS('Data Dump'!$P:$P,'HS FEED'!$A34,'Data Dump'!$S:$S,'HS FEED'!AD$2)</f>
        <v>0</v>
      </c>
      <c r="AE34" s="20">
        <f t="shared" si="7"/>
        <v>0</v>
      </c>
      <c r="AF34" s="17">
        <f>COUNTIFS('Data Dump'!$P:$P,'HS FEED'!$A34,'Data Dump'!$S:$S,'HS FEED'!AF$2)</f>
        <v>0</v>
      </c>
      <c r="AG34" s="17">
        <f>COUNTIFS('Data Dump'!$P:$P,'HS FEED'!$A34,'Data Dump'!$S:$S,'HS FEED'!AG$2)</f>
        <v>0</v>
      </c>
      <c r="AH34" s="17">
        <f>COUNTIFS('Data Dump'!$P:$P,'HS FEED'!$A34,'Data Dump'!$S:$S,'HS FEED'!AH$2)</f>
        <v>0</v>
      </c>
      <c r="AI34" s="20">
        <f t="shared" si="8"/>
        <v>0</v>
      </c>
      <c r="AJ34" s="20">
        <f t="shared" si="9"/>
        <v>0</v>
      </c>
    </row>
    <row r="35" spans="1:36" x14ac:dyDescent="0.25">
      <c r="A35" s="12" t="s">
        <v>142</v>
      </c>
      <c r="B35" s="12" t="s">
        <v>143</v>
      </c>
      <c r="C35" s="17">
        <f>COUNTIFS('Data Dump'!$P:$P,'HS FEED'!$A35,'Data Dump'!$S:$S,'HS FEED'!C$2)</f>
        <v>0</v>
      </c>
      <c r="D35" s="17">
        <f>COUNTIFS('Data Dump'!$P:$P,'HS FEED'!$A35,'Data Dump'!$S:$S,'HS FEED'!D$2)</f>
        <v>0</v>
      </c>
      <c r="E35" s="17">
        <f>COUNTIFS('Data Dump'!$P:$P,'HS FEED'!$A35,'Data Dump'!$S:$S,'HS FEED'!E$2)</f>
        <v>0</v>
      </c>
      <c r="F35" s="20">
        <f t="shared" si="0"/>
        <v>0</v>
      </c>
      <c r="G35" s="17">
        <f>COUNTIFS('Data Dump'!$P:$P,'HS FEED'!$A35,'Data Dump'!$S:$S,'HS FEED'!G$2)</f>
        <v>0</v>
      </c>
      <c r="H35" s="17">
        <f>COUNTIFS('Data Dump'!$P:$P,'HS FEED'!$A35,'Data Dump'!$S:$S,'HS FEED'!H$2)</f>
        <v>1</v>
      </c>
      <c r="I35" s="17">
        <f>COUNTIFS('Data Dump'!$P:$P,'HS FEED'!$A35,'Data Dump'!$S:$S,'HS FEED'!I$2)</f>
        <v>0</v>
      </c>
      <c r="J35" s="20">
        <f t="shared" si="1"/>
        <v>1</v>
      </c>
      <c r="K35" s="17">
        <f>COUNTIFS('Data Dump'!$P:$P,'HS FEED'!$A35,'Data Dump'!$S:$S,'HS FEED'!K$2)</f>
        <v>0</v>
      </c>
      <c r="L35" s="17">
        <f>COUNTIFS('Data Dump'!$P:$P,'HS FEED'!$A35,'Data Dump'!$S:$S,'HS FEED'!L$2)</f>
        <v>0</v>
      </c>
      <c r="M35" s="17">
        <f>COUNTIFS('Data Dump'!$P:$P,'HS FEED'!$A35,'Data Dump'!$S:$S,'HS FEED'!M$2)</f>
        <v>0</v>
      </c>
      <c r="N35" s="20">
        <f t="shared" si="2"/>
        <v>0</v>
      </c>
      <c r="O35" s="17">
        <f>COUNTIFS('Data Dump'!$P:$P,'HS FEED'!$A35,'Data Dump'!$S:$S,'HS FEED'!O$2)</f>
        <v>0</v>
      </c>
      <c r="P35" s="17">
        <f>COUNTIFS('Data Dump'!$P:$P,'HS FEED'!$A35,'Data Dump'!$S:$S,'HS FEED'!P$2)</f>
        <v>0</v>
      </c>
      <c r="Q35" s="17">
        <f>COUNTIFS('Data Dump'!$P:$P,'HS FEED'!$A35,'Data Dump'!$S:$S,'HS FEED'!Q$2)</f>
        <v>0</v>
      </c>
      <c r="R35" s="20">
        <f t="shared" si="3"/>
        <v>0</v>
      </c>
      <c r="S35" s="20">
        <f t="shared" si="4"/>
        <v>1</v>
      </c>
      <c r="T35" s="17">
        <f>COUNTIFS('Data Dump'!$P:$P,'HS FEED'!$A35,'Data Dump'!$S:$S,'HS FEED'!T$2)</f>
        <v>0</v>
      </c>
      <c r="U35" s="17">
        <f>COUNTIFS('Data Dump'!$P:$P,'HS FEED'!$A35,'Data Dump'!$S:$S,'HS FEED'!U$2)</f>
        <v>0</v>
      </c>
      <c r="V35" s="17">
        <f>COUNTIFS('Data Dump'!$P:$P,'HS FEED'!$A35,'Data Dump'!$S:$S,'HS FEED'!V$2)</f>
        <v>0</v>
      </c>
      <c r="W35" s="20">
        <f t="shared" si="5"/>
        <v>0</v>
      </c>
      <c r="X35" s="17">
        <f>COUNTIFS('Data Dump'!$P:$P,'HS FEED'!$A35,'Data Dump'!$S:$S,'HS FEED'!X$2)</f>
        <v>0</v>
      </c>
      <c r="Y35" s="17">
        <f>COUNTIFS('Data Dump'!$P:$P,'HS FEED'!$A35,'Data Dump'!$S:$S,'HS FEED'!Y$2)</f>
        <v>0</v>
      </c>
      <c r="Z35" s="17">
        <f>COUNTIFS('Data Dump'!$P:$P,'HS FEED'!$A35,'Data Dump'!$S:$S,'HS FEED'!Z$2)</f>
        <v>0</v>
      </c>
      <c r="AA35" s="20">
        <f t="shared" si="6"/>
        <v>0</v>
      </c>
      <c r="AB35" s="17">
        <f>COUNTIFS('Data Dump'!$P:$P,'HS FEED'!$A35,'Data Dump'!$S:$S,'HS FEED'!AB$2)</f>
        <v>0</v>
      </c>
      <c r="AC35" s="17">
        <f>COUNTIFS('Data Dump'!$P:$P,'HS FEED'!$A35,'Data Dump'!$S:$S,'HS FEED'!AC$2)</f>
        <v>0</v>
      </c>
      <c r="AD35" s="17">
        <f>COUNTIFS('Data Dump'!$P:$P,'HS FEED'!$A35,'Data Dump'!$S:$S,'HS FEED'!AD$2)</f>
        <v>0</v>
      </c>
      <c r="AE35" s="20">
        <f t="shared" si="7"/>
        <v>0</v>
      </c>
      <c r="AF35" s="17">
        <f>COUNTIFS('Data Dump'!$P:$P,'HS FEED'!$A35,'Data Dump'!$S:$S,'HS FEED'!AF$2)</f>
        <v>0</v>
      </c>
      <c r="AG35" s="17">
        <f>COUNTIFS('Data Dump'!$P:$P,'HS FEED'!$A35,'Data Dump'!$S:$S,'HS FEED'!AG$2)</f>
        <v>0</v>
      </c>
      <c r="AH35" s="17">
        <f>COUNTIFS('Data Dump'!$P:$P,'HS FEED'!$A35,'Data Dump'!$S:$S,'HS FEED'!AH$2)</f>
        <v>0</v>
      </c>
      <c r="AI35" s="20">
        <f t="shared" si="8"/>
        <v>0</v>
      </c>
      <c r="AJ35" s="20">
        <f t="shared" si="9"/>
        <v>0</v>
      </c>
    </row>
    <row r="36" spans="1:36" x14ac:dyDescent="0.25">
      <c r="A36" s="12" t="s">
        <v>144</v>
      </c>
      <c r="B36" s="12" t="s">
        <v>145</v>
      </c>
      <c r="C36" s="17">
        <f>COUNTIFS('Data Dump'!$P:$P,'HS FEED'!$A36,'Data Dump'!$S:$S,'HS FEED'!C$2)</f>
        <v>0</v>
      </c>
      <c r="D36" s="17">
        <f>COUNTIFS('Data Dump'!$P:$P,'HS FEED'!$A36,'Data Dump'!$S:$S,'HS FEED'!D$2)</f>
        <v>0</v>
      </c>
      <c r="E36" s="17">
        <f>COUNTIFS('Data Dump'!$P:$P,'HS FEED'!$A36,'Data Dump'!$S:$S,'HS FEED'!E$2)</f>
        <v>0</v>
      </c>
      <c r="F36" s="20">
        <f t="shared" si="0"/>
        <v>0</v>
      </c>
      <c r="G36" s="17">
        <f>COUNTIFS('Data Dump'!$P:$P,'HS FEED'!$A36,'Data Dump'!$S:$S,'HS FEED'!G$2)</f>
        <v>0</v>
      </c>
      <c r="H36" s="17">
        <f>COUNTIFS('Data Dump'!$P:$P,'HS FEED'!$A36,'Data Dump'!$S:$S,'HS FEED'!H$2)</f>
        <v>0</v>
      </c>
      <c r="I36" s="17">
        <f>COUNTIFS('Data Dump'!$P:$P,'HS FEED'!$A36,'Data Dump'!$S:$S,'HS FEED'!I$2)</f>
        <v>1</v>
      </c>
      <c r="J36" s="20">
        <f t="shared" si="1"/>
        <v>1</v>
      </c>
      <c r="K36" s="17">
        <f>COUNTIFS('Data Dump'!$P:$P,'HS FEED'!$A36,'Data Dump'!$S:$S,'HS FEED'!K$2)</f>
        <v>0</v>
      </c>
      <c r="L36" s="17">
        <f>COUNTIFS('Data Dump'!$P:$P,'HS FEED'!$A36,'Data Dump'!$S:$S,'HS FEED'!L$2)</f>
        <v>0</v>
      </c>
      <c r="M36" s="17">
        <f>COUNTIFS('Data Dump'!$P:$P,'HS FEED'!$A36,'Data Dump'!$S:$S,'HS FEED'!M$2)</f>
        <v>0</v>
      </c>
      <c r="N36" s="20">
        <f t="shared" si="2"/>
        <v>0</v>
      </c>
      <c r="O36" s="17">
        <f>COUNTIFS('Data Dump'!$P:$P,'HS FEED'!$A36,'Data Dump'!$S:$S,'HS FEED'!O$2)</f>
        <v>0</v>
      </c>
      <c r="P36" s="17">
        <f>COUNTIFS('Data Dump'!$P:$P,'HS FEED'!$A36,'Data Dump'!$S:$S,'HS FEED'!P$2)</f>
        <v>0</v>
      </c>
      <c r="Q36" s="17">
        <f>COUNTIFS('Data Dump'!$P:$P,'HS FEED'!$A36,'Data Dump'!$S:$S,'HS FEED'!Q$2)</f>
        <v>0</v>
      </c>
      <c r="R36" s="20">
        <f t="shared" si="3"/>
        <v>0</v>
      </c>
      <c r="S36" s="20">
        <f t="shared" si="4"/>
        <v>1</v>
      </c>
      <c r="T36" s="17">
        <f>COUNTIFS('Data Dump'!$P:$P,'HS FEED'!$A36,'Data Dump'!$S:$S,'HS FEED'!T$2)</f>
        <v>0</v>
      </c>
      <c r="U36" s="17">
        <f>COUNTIFS('Data Dump'!$P:$P,'HS FEED'!$A36,'Data Dump'!$S:$S,'HS FEED'!U$2)</f>
        <v>1</v>
      </c>
      <c r="V36" s="17">
        <f>COUNTIFS('Data Dump'!$P:$P,'HS FEED'!$A36,'Data Dump'!$S:$S,'HS FEED'!V$2)</f>
        <v>0</v>
      </c>
      <c r="W36" s="20">
        <f t="shared" si="5"/>
        <v>1</v>
      </c>
      <c r="X36" s="17">
        <f>COUNTIFS('Data Dump'!$P:$P,'HS FEED'!$A36,'Data Dump'!$S:$S,'HS FEED'!X$2)</f>
        <v>1</v>
      </c>
      <c r="Y36" s="17">
        <f>COUNTIFS('Data Dump'!$P:$P,'HS FEED'!$A36,'Data Dump'!$S:$S,'HS FEED'!Y$2)</f>
        <v>0</v>
      </c>
      <c r="Z36" s="17">
        <f>COUNTIFS('Data Dump'!$P:$P,'HS FEED'!$A36,'Data Dump'!$S:$S,'HS FEED'!Z$2)</f>
        <v>1</v>
      </c>
      <c r="AA36" s="20">
        <f t="shared" si="6"/>
        <v>2</v>
      </c>
      <c r="AB36" s="17">
        <f>COUNTIFS('Data Dump'!$P:$P,'HS FEED'!$A36,'Data Dump'!$S:$S,'HS FEED'!AB$2)</f>
        <v>1</v>
      </c>
      <c r="AC36" s="17">
        <f>COUNTIFS('Data Dump'!$P:$P,'HS FEED'!$A36,'Data Dump'!$S:$S,'HS FEED'!AC$2)</f>
        <v>0</v>
      </c>
      <c r="AD36" s="17">
        <f>COUNTIFS('Data Dump'!$P:$P,'HS FEED'!$A36,'Data Dump'!$S:$S,'HS FEED'!AD$2)</f>
        <v>0</v>
      </c>
      <c r="AE36" s="20">
        <f t="shared" si="7"/>
        <v>1</v>
      </c>
      <c r="AF36" s="17">
        <f>COUNTIFS('Data Dump'!$P:$P,'HS FEED'!$A36,'Data Dump'!$S:$S,'HS FEED'!AF$2)</f>
        <v>0</v>
      </c>
      <c r="AG36" s="17">
        <f>COUNTIFS('Data Dump'!$P:$P,'HS FEED'!$A36,'Data Dump'!$S:$S,'HS FEED'!AG$2)</f>
        <v>0</v>
      </c>
      <c r="AH36" s="17">
        <f>COUNTIFS('Data Dump'!$P:$P,'HS FEED'!$A36,'Data Dump'!$S:$S,'HS FEED'!AH$2)</f>
        <v>0</v>
      </c>
      <c r="AI36" s="20">
        <f t="shared" si="8"/>
        <v>0</v>
      </c>
      <c r="AJ36" s="20">
        <f t="shared" si="9"/>
        <v>4</v>
      </c>
    </row>
    <row r="37" spans="1:36" x14ac:dyDescent="0.25">
      <c r="A37" s="94" t="s">
        <v>75</v>
      </c>
      <c r="B37" s="94"/>
      <c r="C37" s="81">
        <f>SUM(C3:C36)</f>
        <v>6</v>
      </c>
      <c r="D37" s="81">
        <f t="shared" ref="D37:AJ37" si="10">SUM(D3:D36)</f>
        <v>6</v>
      </c>
      <c r="E37" s="81">
        <f t="shared" si="10"/>
        <v>14</v>
      </c>
      <c r="F37" s="82">
        <f t="shared" si="10"/>
        <v>26</v>
      </c>
      <c r="G37" s="81">
        <f t="shared" si="10"/>
        <v>15</v>
      </c>
      <c r="H37" s="81">
        <f t="shared" si="10"/>
        <v>17</v>
      </c>
      <c r="I37" s="81">
        <f t="shared" si="10"/>
        <v>7</v>
      </c>
      <c r="J37" s="82">
        <f t="shared" si="10"/>
        <v>39</v>
      </c>
      <c r="K37" s="81">
        <f t="shared" si="10"/>
        <v>0</v>
      </c>
      <c r="L37" s="81">
        <f t="shared" si="10"/>
        <v>7</v>
      </c>
      <c r="M37" s="81">
        <f t="shared" si="10"/>
        <v>11</v>
      </c>
      <c r="N37" s="82">
        <f t="shared" si="10"/>
        <v>18</v>
      </c>
      <c r="O37" s="81">
        <f t="shared" si="10"/>
        <v>2</v>
      </c>
      <c r="P37" s="81">
        <f t="shared" si="10"/>
        <v>3</v>
      </c>
      <c r="Q37" s="81">
        <f t="shared" si="10"/>
        <v>6</v>
      </c>
      <c r="R37" s="82">
        <f t="shared" si="10"/>
        <v>11</v>
      </c>
      <c r="S37" s="82">
        <f t="shared" si="10"/>
        <v>94</v>
      </c>
      <c r="T37" s="81">
        <f t="shared" si="10"/>
        <v>4</v>
      </c>
      <c r="U37" s="81">
        <f t="shared" si="10"/>
        <v>3</v>
      </c>
      <c r="V37" s="81">
        <f t="shared" si="10"/>
        <v>3</v>
      </c>
      <c r="W37" s="82">
        <f t="shared" si="10"/>
        <v>10</v>
      </c>
      <c r="X37" s="81">
        <f t="shared" si="10"/>
        <v>4</v>
      </c>
      <c r="Y37" s="81">
        <f t="shared" si="10"/>
        <v>11</v>
      </c>
      <c r="Z37" s="81">
        <f t="shared" si="10"/>
        <v>6</v>
      </c>
      <c r="AA37" s="82">
        <f t="shared" si="10"/>
        <v>21</v>
      </c>
      <c r="AB37" s="81">
        <f t="shared" si="10"/>
        <v>2</v>
      </c>
      <c r="AC37" s="81">
        <f t="shared" si="10"/>
        <v>4</v>
      </c>
      <c r="AD37" s="81">
        <f t="shared" si="10"/>
        <v>4</v>
      </c>
      <c r="AE37" s="82">
        <f t="shared" si="10"/>
        <v>10</v>
      </c>
      <c r="AF37" s="81">
        <f t="shared" si="10"/>
        <v>3</v>
      </c>
      <c r="AG37" s="81">
        <f t="shared" si="10"/>
        <v>7</v>
      </c>
      <c r="AH37" s="81">
        <f t="shared" si="10"/>
        <v>3</v>
      </c>
      <c r="AI37" s="82">
        <f t="shared" si="10"/>
        <v>13</v>
      </c>
      <c r="AJ37" s="82">
        <f t="shared" si="10"/>
        <v>54</v>
      </c>
    </row>
    <row r="38" spans="1:36" ht="15.75" thickBot="1" x14ac:dyDescent="0.3"/>
    <row r="39" spans="1:36" ht="15.75" thickBot="1" x14ac:dyDescent="0.3">
      <c r="A39" s="96" t="s">
        <v>243</v>
      </c>
      <c r="B39" s="96"/>
    </row>
    <row r="40" spans="1:36" x14ac:dyDescent="0.25">
      <c r="A40" s="12" t="s">
        <v>78</v>
      </c>
      <c r="B40" s="12" t="s">
        <v>79</v>
      </c>
      <c r="C40" s="22">
        <f>SUBTOTAL(9,$C3:C3)</f>
        <v>3</v>
      </c>
      <c r="D40" s="22">
        <f>SUBTOTAL(9,$C3:D3)</f>
        <v>3</v>
      </c>
      <c r="E40" s="22">
        <f>SUBTOTAL(9,$C3:E3)</f>
        <v>7</v>
      </c>
      <c r="F40" s="22">
        <f>SUBTOTAL(9,$C3:F3)</f>
        <v>7</v>
      </c>
      <c r="G40" s="22">
        <f>SUBTOTAL(9,$C3:G3)</f>
        <v>7</v>
      </c>
      <c r="H40" s="22">
        <f>SUBTOTAL(9,$C3:H3)</f>
        <v>9</v>
      </c>
      <c r="I40" s="22">
        <f>SUBTOTAL(9,$C3:I3)</f>
        <v>10</v>
      </c>
      <c r="J40" s="22">
        <f>SUBTOTAL(9,$C3:J3)</f>
        <v>10</v>
      </c>
      <c r="K40" s="22">
        <f>SUBTOTAL(9,$C3:K3)</f>
        <v>10</v>
      </c>
      <c r="L40" s="22">
        <f>SUBTOTAL(9,$C3:L3)</f>
        <v>10</v>
      </c>
      <c r="M40" s="22">
        <f>SUBTOTAL(9,$C3:M3)</f>
        <v>11</v>
      </c>
      <c r="N40" s="22">
        <f>SUBTOTAL(9,$C3:N3)</f>
        <v>11</v>
      </c>
      <c r="O40" s="22">
        <f>SUBTOTAL(9,$C3:O3)</f>
        <v>12</v>
      </c>
      <c r="P40" s="22">
        <f>SUBTOTAL(9,$C3:P3)</f>
        <v>12</v>
      </c>
      <c r="Q40" s="22">
        <f>SUBTOTAL(9,$C3:Q3)</f>
        <v>12</v>
      </c>
      <c r="R40" s="22">
        <f>SUBTOTAL(9,$C3:R3)</f>
        <v>12</v>
      </c>
      <c r="S40" s="22">
        <f>SUBTOTAL(9,$C3:S3)</f>
        <v>12</v>
      </c>
      <c r="T40" s="22">
        <f>SUBTOTAL(9,$T3:T3)</f>
        <v>0</v>
      </c>
      <c r="U40" s="22">
        <f>SUBTOTAL(9,$T3:U3)</f>
        <v>0</v>
      </c>
      <c r="V40" s="22">
        <f>SUBTOTAL(9,$T3:V3)</f>
        <v>2</v>
      </c>
      <c r="W40" s="22">
        <f>SUBTOTAL(9,$T3:W3)</f>
        <v>2</v>
      </c>
      <c r="X40" s="22">
        <f>SUBTOTAL(9,$T3:X3)</f>
        <v>2</v>
      </c>
      <c r="Y40" s="22">
        <f>SUBTOTAL(9,$T3:Y3)</f>
        <v>3</v>
      </c>
      <c r="Z40" s="22">
        <f>SUBTOTAL(9,$T3:Z3)</f>
        <v>3</v>
      </c>
      <c r="AA40" s="22">
        <f>SUBTOTAL(9,$T3:AA3)</f>
        <v>3</v>
      </c>
      <c r="AB40" s="22">
        <f>SUBTOTAL(9,$T3:AB3)</f>
        <v>3</v>
      </c>
      <c r="AC40" s="22">
        <f>SUBTOTAL(9,$T3:AC3)</f>
        <v>3</v>
      </c>
      <c r="AD40" s="22">
        <f>SUBTOTAL(9,$T3:AD3)</f>
        <v>4</v>
      </c>
      <c r="AE40" s="22">
        <f>SUBTOTAL(9,$T3:AE3)</f>
        <v>4</v>
      </c>
      <c r="AF40" s="22">
        <f>SUBTOTAL(9,$T3:AF3)</f>
        <v>4</v>
      </c>
      <c r="AG40" s="22">
        <f>SUBTOTAL(9,$T3:AG3)</f>
        <v>5</v>
      </c>
      <c r="AH40" s="22">
        <f>SUBTOTAL(9,$T3:AH3)</f>
        <v>5</v>
      </c>
      <c r="AI40" s="22">
        <f>SUBTOTAL(9,$T3:AI3)</f>
        <v>5</v>
      </c>
      <c r="AJ40" s="22">
        <f>SUBTOTAL(9,$T3:AJ3)</f>
        <v>5</v>
      </c>
    </row>
    <row r="41" spans="1:36" x14ac:dyDescent="0.25">
      <c r="A41" s="12" t="s">
        <v>80</v>
      </c>
      <c r="B41" s="13" t="s">
        <v>81</v>
      </c>
      <c r="C41" s="22">
        <f>SUBTOTAL(9,$C4:C4)</f>
        <v>0</v>
      </c>
      <c r="D41" s="22">
        <f>SUBTOTAL(9,$C4:D4)</f>
        <v>0</v>
      </c>
      <c r="E41" s="22">
        <f>SUBTOTAL(9,$C4:E4)</f>
        <v>0</v>
      </c>
      <c r="F41" s="22">
        <f>SUBTOTAL(9,$C4:F4)</f>
        <v>0</v>
      </c>
      <c r="G41" s="22">
        <f>SUBTOTAL(9,$C4:G4)</f>
        <v>0</v>
      </c>
      <c r="H41" s="22">
        <f>SUBTOTAL(9,$C4:H4)</f>
        <v>0</v>
      </c>
      <c r="I41" s="22">
        <f>SUBTOTAL(9,$C4:I4)</f>
        <v>0</v>
      </c>
      <c r="J41" s="22">
        <f>SUBTOTAL(9,$C4:J4)</f>
        <v>0</v>
      </c>
      <c r="K41" s="22">
        <f>SUBTOTAL(9,$C4:K4)</f>
        <v>0</v>
      </c>
      <c r="L41" s="22">
        <f>SUBTOTAL(9,$C4:L4)</f>
        <v>0</v>
      </c>
      <c r="M41" s="22">
        <f>SUBTOTAL(9,$C4:M4)</f>
        <v>0</v>
      </c>
      <c r="N41" s="22">
        <f>SUBTOTAL(9,$C4:N4)</f>
        <v>0</v>
      </c>
      <c r="O41" s="22">
        <f>SUBTOTAL(9,$C4:O4)</f>
        <v>0</v>
      </c>
      <c r="P41" s="22">
        <f>SUBTOTAL(9,$C4:P4)</f>
        <v>0</v>
      </c>
      <c r="Q41" s="22">
        <f>SUBTOTAL(9,$C4:Q4)</f>
        <v>0</v>
      </c>
      <c r="R41" s="22">
        <f>SUBTOTAL(9,$C4:R4)</f>
        <v>0</v>
      </c>
      <c r="S41" s="22">
        <f>SUBTOTAL(9,$C4:S4)</f>
        <v>0</v>
      </c>
      <c r="T41" s="22">
        <f>SUBTOTAL(9,$T4:T4)</f>
        <v>0</v>
      </c>
      <c r="U41" s="22">
        <f>SUBTOTAL(9,$T4:U4)</f>
        <v>0</v>
      </c>
      <c r="V41" s="22">
        <f>SUBTOTAL(9,$T4:V4)</f>
        <v>0</v>
      </c>
      <c r="W41" s="22">
        <f>SUBTOTAL(9,$T4:W4)</f>
        <v>0</v>
      </c>
      <c r="X41" s="22">
        <f>SUBTOTAL(9,$T4:X4)</f>
        <v>0</v>
      </c>
      <c r="Y41" s="22">
        <f>SUBTOTAL(9,$T4:Y4)</f>
        <v>0</v>
      </c>
      <c r="Z41" s="22">
        <f>SUBTOTAL(9,$T4:Z4)</f>
        <v>0</v>
      </c>
      <c r="AA41" s="22">
        <f>SUBTOTAL(9,$T4:AA4)</f>
        <v>0</v>
      </c>
      <c r="AB41" s="22">
        <f>SUBTOTAL(9,$T4:AB4)</f>
        <v>0</v>
      </c>
      <c r="AC41" s="22">
        <f>SUBTOTAL(9,$T4:AC4)</f>
        <v>0</v>
      </c>
      <c r="AD41" s="22">
        <f>SUBTOTAL(9,$T4:AD4)</f>
        <v>0</v>
      </c>
      <c r="AE41" s="22">
        <f>SUBTOTAL(9,$T4:AE4)</f>
        <v>0</v>
      </c>
      <c r="AF41" s="22">
        <f>SUBTOTAL(9,$T4:AF4)</f>
        <v>0</v>
      </c>
      <c r="AG41" s="22">
        <f>SUBTOTAL(9,$T4:AG4)</f>
        <v>0</v>
      </c>
      <c r="AH41" s="22">
        <f>SUBTOTAL(9,$T4:AH4)</f>
        <v>0</v>
      </c>
      <c r="AI41" s="22">
        <f>SUBTOTAL(9,$T4:AI4)</f>
        <v>0</v>
      </c>
      <c r="AJ41" s="22">
        <f>SUBTOTAL(9,$T4:AJ4)</f>
        <v>0</v>
      </c>
    </row>
    <row r="42" spans="1:36" x14ac:dyDescent="0.25">
      <c r="A42" s="12" t="s">
        <v>82</v>
      </c>
      <c r="B42" s="13" t="s">
        <v>83</v>
      </c>
      <c r="C42" s="22">
        <f>SUBTOTAL(9,$C5:C5)</f>
        <v>0</v>
      </c>
      <c r="D42" s="22">
        <f>SUBTOTAL(9,$C5:D5)</f>
        <v>0</v>
      </c>
      <c r="E42" s="22">
        <f>SUBTOTAL(9,$C5:E5)</f>
        <v>0</v>
      </c>
      <c r="F42" s="22">
        <f>SUBTOTAL(9,$C5:F5)</f>
        <v>0</v>
      </c>
      <c r="G42" s="22">
        <f>SUBTOTAL(9,$C5:G5)</f>
        <v>0</v>
      </c>
      <c r="H42" s="22">
        <f>SUBTOTAL(9,$C5:H5)</f>
        <v>1</v>
      </c>
      <c r="I42" s="22">
        <f>SUBTOTAL(9,$C5:I5)</f>
        <v>1</v>
      </c>
      <c r="J42" s="22">
        <f>SUBTOTAL(9,$C5:J5)</f>
        <v>1</v>
      </c>
      <c r="K42" s="22">
        <f>SUBTOTAL(9,$C5:K5)</f>
        <v>1</v>
      </c>
      <c r="L42" s="22">
        <f>SUBTOTAL(9,$C5:L5)</f>
        <v>1</v>
      </c>
      <c r="M42" s="22">
        <f>SUBTOTAL(9,$C5:M5)</f>
        <v>1</v>
      </c>
      <c r="N42" s="22">
        <f>SUBTOTAL(9,$C5:N5)</f>
        <v>1</v>
      </c>
      <c r="O42" s="22">
        <f>SUBTOTAL(9,$C5:O5)</f>
        <v>1</v>
      </c>
      <c r="P42" s="22">
        <f>SUBTOTAL(9,$C5:P5)</f>
        <v>1</v>
      </c>
      <c r="Q42" s="22">
        <f>SUBTOTAL(9,$C5:Q5)</f>
        <v>1</v>
      </c>
      <c r="R42" s="22">
        <f>SUBTOTAL(9,$C5:R5)</f>
        <v>1</v>
      </c>
      <c r="S42" s="22">
        <f>SUBTOTAL(9,$C5:S5)</f>
        <v>1</v>
      </c>
      <c r="T42" s="22">
        <f>SUBTOTAL(9,$T5:T5)</f>
        <v>0</v>
      </c>
      <c r="U42" s="22">
        <f>SUBTOTAL(9,$T5:U5)</f>
        <v>0</v>
      </c>
      <c r="V42" s="22">
        <f>SUBTOTAL(9,$T5:V5)</f>
        <v>0</v>
      </c>
      <c r="W42" s="22">
        <f>SUBTOTAL(9,$T5:W5)</f>
        <v>0</v>
      </c>
      <c r="X42" s="22">
        <f>SUBTOTAL(9,$T5:X5)</f>
        <v>0</v>
      </c>
      <c r="Y42" s="22">
        <f>SUBTOTAL(9,$T5:Y5)</f>
        <v>0</v>
      </c>
      <c r="Z42" s="22">
        <f>SUBTOTAL(9,$T5:Z5)</f>
        <v>0</v>
      </c>
      <c r="AA42" s="22">
        <f>SUBTOTAL(9,$T5:AA5)</f>
        <v>0</v>
      </c>
      <c r="AB42" s="22">
        <f>SUBTOTAL(9,$T5:AB5)</f>
        <v>0</v>
      </c>
      <c r="AC42" s="22">
        <f>SUBTOTAL(9,$T5:AC5)</f>
        <v>0</v>
      </c>
      <c r="AD42" s="22">
        <f>SUBTOTAL(9,$T5:AD5)</f>
        <v>0</v>
      </c>
      <c r="AE42" s="22">
        <f>SUBTOTAL(9,$T5:AE5)</f>
        <v>0</v>
      </c>
      <c r="AF42" s="22">
        <f>SUBTOTAL(9,$T5:AF5)</f>
        <v>0</v>
      </c>
      <c r="AG42" s="22">
        <f>SUBTOTAL(9,$T5:AG5)</f>
        <v>0</v>
      </c>
      <c r="AH42" s="22">
        <f>SUBTOTAL(9,$T5:AH5)</f>
        <v>0</v>
      </c>
      <c r="AI42" s="22">
        <f>SUBTOTAL(9,$T5:AI5)</f>
        <v>0</v>
      </c>
      <c r="AJ42" s="22">
        <f>SUBTOTAL(9,$T5:AJ5)</f>
        <v>0</v>
      </c>
    </row>
    <row r="43" spans="1:36" x14ac:dyDescent="0.25">
      <c r="A43" s="12" t="s">
        <v>84</v>
      </c>
      <c r="B43" s="13" t="s">
        <v>85</v>
      </c>
      <c r="C43" s="22">
        <f>SUBTOTAL(9,$C6:C6)</f>
        <v>0</v>
      </c>
      <c r="D43" s="22">
        <f>SUBTOTAL(9,$C6:D6)</f>
        <v>0</v>
      </c>
      <c r="E43" s="22">
        <f>SUBTOTAL(9,$C6:E6)</f>
        <v>0</v>
      </c>
      <c r="F43" s="22">
        <f>SUBTOTAL(9,$C6:F6)</f>
        <v>0</v>
      </c>
      <c r="G43" s="22">
        <f>SUBTOTAL(9,$C6:G6)</f>
        <v>0</v>
      </c>
      <c r="H43" s="22">
        <f>SUBTOTAL(9,$C6:H6)</f>
        <v>0</v>
      </c>
      <c r="I43" s="22">
        <f>SUBTOTAL(9,$C6:I6)</f>
        <v>0</v>
      </c>
      <c r="J43" s="22">
        <f>SUBTOTAL(9,$C6:J6)</f>
        <v>0</v>
      </c>
      <c r="K43" s="22">
        <f>SUBTOTAL(9,$C6:K6)</f>
        <v>0</v>
      </c>
      <c r="L43" s="22">
        <f>SUBTOTAL(9,$C6:L6)</f>
        <v>0</v>
      </c>
      <c r="M43" s="22">
        <f>SUBTOTAL(9,$C6:M6)</f>
        <v>0</v>
      </c>
      <c r="N43" s="22">
        <f>SUBTOTAL(9,$C6:N6)</f>
        <v>0</v>
      </c>
      <c r="O43" s="22">
        <f>SUBTOTAL(9,$C6:O6)</f>
        <v>0</v>
      </c>
      <c r="P43" s="22">
        <f>SUBTOTAL(9,$C6:P6)</f>
        <v>0</v>
      </c>
      <c r="Q43" s="22">
        <f>SUBTOTAL(9,$C6:Q6)</f>
        <v>0</v>
      </c>
      <c r="R43" s="22">
        <f>SUBTOTAL(9,$C6:R6)</f>
        <v>0</v>
      </c>
      <c r="S43" s="22">
        <f>SUBTOTAL(9,$C6:S6)</f>
        <v>0</v>
      </c>
      <c r="T43" s="22">
        <f>SUBTOTAL(9,$T6:T6)</f>
        <v>0</v>
      </c>
      <c r="U43" s="22">
        <f>SUBTOTAL(9,$T6:U6)</f>
        <v>0</v>
      </c>
      <c r="V43" s="22">
        <f>SUBTOTAL(9,$T6:V6)</f>
        <v>0</v>
      </c>
      <c r="W43" s="22">
        <f>SUBTOTAL(9,$T6:W6)</f>
        <v>0</v>
      </c>
      <c r="X43" s="22">
        <f>SUBTOTAL(9,$T6:X6)</f>
        <v>0</v>
      </c>
      <c r="Y43" s="22">
        <f>SUBTOTAL(9,$T6:Y6)</f>
        <v>0</v>
      </c>
      <c r="Z43" s="22">
        <f>SUBTOTAL(9,$T6:Z6)</f>
        <v>0</v>
      </c>
      <c r="AA43" s="22">
        <f>SUBTOTAL(9,$T6:AA6)</f>
        <v>0</v>
      </c>
      <c r="AB43" s="22">
        <f>SUBTOTAL(9,$T6:AB6)</f>
        <v>0</v>
      </c>
      <c r="AC43" s="22">
        <f>SUBTOTAL(9,$T6:AC6)</f>
        <v>0</v>
      </c>
      <c r="AD43" s="22">
        <f>SUBTOTAL(9,$T6:AD6)</f>
        <v>0</v>
      </c>
      <c r="AE43" s="22">
        <f>SUBTOTAL(9,$T6:AE6)</f>
        <v>0</v>
      </c>
      <c r="AF43" s="22">
        <f>SUBTOTAL(9,$T6:AF6)</f>
        <v>0</v>
      </c>
      <c r="AG43" s="22">
        <f>SUBTOTAL(9,$T6:AG6)</f>
        <v>0</v>
      </c>
      <c r="AH43" s="22">
        <f>SUBTOTAL(9,$T6:AH6)</f>
        <v>0</v>
      </c>
      <c r="AI43" s="22">
        <f>SUBTOTAL(9,$T6:AI6)</f>
        <v>0</v>
      </c>
      <c r="AJ43" s="22">
        <f>SUBTOTAL(9,$T6:AJ6)</f>
        <v>0</v>
      </c>
    </row>
    <row r="44" spans="1:36" x14ac:dyDescent="0.25">
      <c r="A44" s="12" t="s">
        <v>86</v>
      </c>
      <c r="B44" s="13" t="s">
        <v>87</v>
      </c>
      <c r="C44" s="22">
        <f>SUBTOTAL(9,$C7:C7)</f>
        <v>0</v>
      </c>
      <c r="D44" s="22">
        <f>SUBTOTAL(9,$C7:D7)</f>
        <v>0</v>
      </c>
      <c r="E44" s="22">
        <f>SUBTOTAL(9,$C7:E7)</f>
        <v>1</v>
      </c>
      <c r="F44" s="22">
        <f>SUBTOTAL(9,$C7:F7)</f>
        <v>1</v>
      </c>
      <c r="G44" s="22">
        <f>SUBTOTAL(9,$C7:G7)</f>
        <v>1</v>
      </c>
      <c r="H44" s="22">
        <f>SUBTOTAL(9,$C7:H7)</f>
        <v>1</v>
      </c>
      <c r="I44" s="22">
        <f>SUBTOTAL(9,$C7:I7)</f>
        <v>1</v>
      </c>
      <c r="J44" s="22">
        <f>SUBTOTAL(9,$C7:J7)</f>
        <v>1</v>
      </c>
      <c r="K44" s="22">
        <f>SUBTOTAL(9,$C7:K7)</f>
        <v>1</v>
      </c>
      <c r="L44" s="22">
        <f>SUBTOTAL(9,$C7:L7)</f>
        <v>1</v>
      </c>
      <c r="M44" s="22">
        <f>SUBTOTAL(9,$C7:M7)</f>
        <v>1</v>
      </c>
      <c r="N44" s="22">
        <f>SUBTOTAL(9,$C7:N7)</f>
        <v>1</v>
      </c>
      <c r="O44" s="22">
        <f>SUBTOTAL(9,$C7:O7)</f>
        <v>1</v>
      </c>
      <c r="P44" s="22">
        <f>SUBTOTAL(9,$C7:P7)</f>
        <v>1</v>
      </c>
      <c r="Q44" s="22">
        <f>SUBTOTAL(9,$C7:Q7)</f>
        <v>1</v>
      </c>
      <c r="R44" s="22">
        <f>SUBTOTAL(9,$C7:R7)</f>
        <v>1</v>
      </c>
      <c r="S44" s="22">
        <f>SUBTOTAL(9,$C7:S7)</f>
        <v>1</v>
      </c>
      <c r="T44" s="22">
        <f>SUBTOTAL(9,$T7:T7)</f>
        <v>0</v>
      </c>
      <c r="U44" s="22">
        <f>SUBTOTAL(9,$T7:U7)</f>
        <v>0</v>
      </c>
      <c r="V44" s="22">
        <f>SUBTOTAL(9,$T7:V7)</f>
        <v>0</v>
      </c>
      <c r="W44" s="22">
        <f>SUBTOTAL(9,$T7:W7)</f>
        <v>0</v>
      </c>
      <c r="X44" s="22">
        <f>SUBTOTAL(9,$T7:X7)</f>
        <v>0</v>
      </c>
      <c r="Y44" s="22">
        <f>SUBTOTAL(9,$T7:Y7)</f>
        <v>0</v>
      </c>
      <c r="Z44" s="22">
        <f>SUBTOTAL(9,$T7:Z7)</f>
        <v>0</v>
      </c>
      <c r="AA44" s="22">
        <f>SUBTOTAL(9,$T7:AA7)</f>
        <v>0</v>
      </c>
      <c r="AB44" s="22">
        <f>SUBTOTAL(9,$T7:AB7)</f>
        <v>0</v>
      </c>
      <c r="AC44" s="22">
        <f>SUBTOTAL(9,$T7:AC7)</f>
        <v>0</v>
      </c>
      <c r="AD44" s="22">
        <f>SUBTOTAL(9,$T7:AD7)</f>
        <v>0</v>
      </c>
      <c r="AE44" s="22">
        <f>SUBTOTAL(9,$T7:AE7)</f>
        <v>0</v>
      </c>
      <c r="AF44" s="22">
        <f>SUBTOTAL(9,$T7:AF7)</f>
        <v>0</v>
      </c>
      <c r="AG44" s="22">
        <f>SUBTOTAL(9,$T7:AG7)</f>
        <v>0</v>
      </c>
      <c r="AH44" s="22">
        <f>SUBTOTAL(9,$T7:AH7)</f>
        <v>0</v>
      </c>
      <c r="AI44" s="22">
        <f>SUBTOTAL(9,$T7:AI7)</f>
        <v>0</v>
      </c>
      <c r="AJ44" s="22">
        <f>SUBTOTAL(9,$T7:AJ7)</f>
        <v>0</v>
      </c>
    </row>
    <row r="45" spans="1:36" x14ac:dyDescent="0.25">
      <c r="A45" s="12" t="s">
        <v>88</v>
      </c>
      <c r="B45" s="13" t="s">
        <v>89</v>
      </c>
      <c r="C45" s="22">
        <f>SUBTOTAL(9,$C8:C8)</f>
        <v>0</v>
      </c>
      <c r="D45" s="22">
        <f>SUBTOTAL(9,$C8:D8)</f>
        <v>0</v>
      </c>
      <c r="E45" s="22">
        <f>SUBTOTAL(9,$C8:E8)</f>
        <v>0</v>
      </c>
      <c r="F45" s="22">
        <f>SUBTOTAL(9,$C8:F8)</f>
        <v>0</v>
      </c>
      <c r="G45" s="22">
        <f>SUBTOTAL(9,$C8:G8)</f>
        <v>0</v>
      </c>
      <c r="H45" s="22">
        <f>SUBTOTAL(9,$C8:H8)</f>
        <v>0</v>
      </c>
      <c r="I45" s="22">
        <f>SUBTOTAL(9,$C8:I8)</f>
        <v>0</v>
      </c>
      <c r="J45" s="22">
        <f>SUBTOTAL(9,$C8:J8)</f>
        <v>0</v>
      </c>
      <c r="K45" s="22">
        <f>SUBTOTAL(9,$C8:K8)</f>
        <v>0</v>
      </c>
      <c r="L45" s="22">
        <f>SUBTOTAL(9,$C8:L8)</f>
        <v>0</v>
      </c>
      <c r="M45" s="22">
        <f>SUBTOTAL(9,$C8:M8)</f>
        <v>0</v>
      </c>
      <c r="N45" s="22">
        <f>SUBTOTAL(9,$C8:N8)</f>
        <v>0</v>
      </c>
      <c r="O45" s="22">
        <f>SUBTOTAL(9,$C8:O8)</f>
        <v>0</v>
      </c>
      <c r="P45" s="22">
        <f>SUBTOTAL(9,$C8:P8)</f>
        <v>0</v>
      </c>
      <c r="Q45" s="22">
        <f>SUBTOTAL(9,$C8:Q8)</f>
        <v>0</v>
      </c>
      <c r="R45" s="22">
        <f>SUBTOTAL(9,$C8:R8)</f>
        <v>0</v>
      </c>
      <c r="S45" s="22">
        <f>SUBTOTAL(9,$C8:S8)</f>
        <v>0</v>
      </c>
      <c r="T45" s="22">
        <f>SUBTOTAL(9,$T8:T8)</f>
        <v>0</v>
      </c>
      <c r="U45" s="22">
        <f>SUBTOTAL(9,$T8:U8)</f>
        <v>0</v>
      </c>
      <c r="V45" s="22">
        <f>SUBTOTAL(9,$T8:V8)</f>
        <v>0</v>
      </c>
      <c r="W45" s="22">
        <f>SUBTOTAL(9,$T8:W8)</f>
        <v>0</v>
      </c>
      <c r="X45" s="22">
        <f>SUBTOTAL(9,$T8:X8)</f>
        <v>0</v>
      </c>
      <c r="Y45" s="22">
        <f>SUBTOTAL(9,$T8:Y8)</f>
        <v>0</v>
      </c>
      <c r="Z45" s="22">
        <f>SUBTOTAL(9,$T8:Z8)</f>
        <v>0</v>
      </c>
      <c r="AA45" s="22">
        <f>SUBTOTAL(9,$T8:AA8)</f>
        <v>0</v>
      </c>
      <c r="AB45" s="22">
        <f>SUBTOTAL(9,$T8:AB8)</f>
        <v>0</v>
      </c>
      <c r="AC45" s="22">
        <f>SUBTOTAL(9,$T8:AC8)</f>
        <v>0</v>
      </c>
      <c r="AD45" s="22">
        <f>SUBTOTAL(9,$T8:AD8)</f>
        <v>1</v>
      </c>
      <c r="AE45" s="22">
        <f>SUBTOTAL(9,$T8:AE8)</f>
        <v>1</v>
      </c>
      <c r="AF45" s="22">
        <f>SUBTOTAL(9,$T8:AF8)</f>
        <v>1</v>
      </c>
      <c r="AG45" s="22">
        <f>SUBTOTAL(9,$T8:AG8)</f>
        <v>1</v>
      </c>
      <c r="AH45" s="22">
        <f>SUBTOTAL(9,$T8:AH8)</f>
        <v>1</v>
      </c>
      <c r="AI45" s="22">
        <f>SUBTOTAL(9,$T8:AI8)</f>
        <v>1</v>
      </c>
      <c r="AJ45" s="22">
        <f>SUBTOTAL(9,$T8:AJ8)</f>
        <v>1</v>
      </c>
    </row>
    <row r="46" spans="1:36" x14ac:dyDescent="0.25">
      <c r="A46" s="12" t="s">
        <v>90</v>
      </c>
      <c r="B46" s="13" t="s">
        <v>91</v>
      </c>
      <c r="C46" s="22">
        <f>SUBTOTAL(9,$C9:C9)</f>
        <v>0</v>
      </c>
      <c r="D46" s="22">
        <f>SUBTOTAL(9,$C9:D9)</f>
        <v>0</v>
      </c>
      <c r="E46" s="22">
        <f>SUBTOTAL(9,$C9:E9)</f>
        <v>0</v>
      </c>
      <c r="F46" s="22">
        <f>SUBTOTAL(9,$C9:F9)</f>
        <v>0</v>
      </c>
      <c r="G46" s="22">
        <f>SUBTOTAL(9,$C9:G9)</f>
        <v>0</v>
      </c>
      <c r="H46" s="22">
        <f>SUBTOTAL(9,$C9:H9)</f>
        <v>0</v>
      </c>
      <c r="I46" s="22">
        <f>SUBTOTAL(9,$C9:I9)</f>
        <v>1</v>
      </c>
      <c r="J46" s="22">
        <f>SUBTOTAL(9,$C9:J9)</f>
        <v>1</v>
      </c>
      <c r="K46" s="22">
        <f>SUBTOTAL(9,$C9:K9)</f>
        <v>1</v>
      </c>
      <c r="L46" s="22">
        <f>SUBTOTAL(9,$C9:L9)</f>
        <v>1</v>
      </c>
      <c r="M46" s="22">
        <f>SUBTOTAL(9,$C9:M9)</f>
        <v>1</v>
      </c>
      <c r="N46" s="22">
        <f>SUBTOTAL(9,$C9:N9)</f>
        <v>1</v>
      </c>
      <c r="O46" s="22">
        <f>SUBTOTAL(9,$C9:O9)</f>
        <v>1</v>
      </c>
      <c r="P46" s="22">
        <f>SUBTOTAL(9,$C9:P9)</f>
        <v>1</v>
      </c>
      <c r="Q46" s="22">
        <f>SUBTOTAL(9,$C9:Q9)</f>
        <v>2</v>
      </c>
      <c r="R46" s="22">
        <f>SUBTOTAL(9,$C9:R9)</f>
        <v>2</v>
      </c>
      <c r="S46" s="22">
        <f>SUBTOTAL(9,$C9:S9)</f>
        <v>2</v>
      </c>
      <c r="T46" s="22">
        <f>SUBTOTAL(9,$T9:T9)</f>
        <v>0</v>
      </c>
      <c r="U46" s="22">
        <f>SUBTOTAL(9,$T9:U9)</f>
        <v>0</v>
      </c>
      <c r="V46" s="22">
        <f>SUBTOTAL(9,$T9:V9)</f>
        <v>0</v>
      </c>
      <c r="W46" s="22">
        <f>SUBTOTAL(9,$T9:W9)</f>
        <v>0</v>
      </c>
      <c r="X46" s="22">
        <f>SUBTOTAL(9,$T9:X9)</f>
        <v>0</v>
      </c>
      <c r="Y46" s="22">
        <f>SUBTOTAL(9,$T9:Y9)</f>
        <v>0</v>
      </c>
      <c r="Z46" s="22">
        <f>SUBTOTAL(9,$T9:Z9)</f>
        <v>0</v>
      </c>
      <c r="AA46" s="22">
        <f>SUBTOTAL(9,$T9:AA9)</f>
        <v>0</v>
      </c>
      <c r="AB46" s="22">
        <f>SUBTOTAL(9,$T9:AB9)</f>
        <v>0</v>
      </c>
      <c r="AC46" s="22">
        <f>SUBTOTAL(9,$T9:AC9)</f>
        <v>0</v>
      </c>
      <c r="AD46" s="22">
        <f>SUBTOTAL(9,$T9:AD9)</f>
        <v>0</v>
      </c>
      <c r="AE46" s="22">
        <f>SUBTOTAL(9,$T9:AE9)</f>
        <v>0</v>
      </c>
      <c r="AF46" s="22">
        <f>SUBTOTAL(9,$T9:AF9)</f>
        <v>0</v>
      </c>
      <c r="AG46" s="22">
        <f>SUBTOTAL(9,$T9:AG9)</f>
        <v>0</v>
      </c>
      <c r="AH46" s="22">
        <f>SUBTOTAL(9,$T9:AH9)</f>
        <v>1</v>
      </c>
      <c r="AI46" s="22">
        <f>SUBTOTAL(9,$T9:AI9)</f>
        <v>1</v>
      </c>
      <c r="AJ46" s="22">
        <f>SUBTOTAL(9,$T9:AJ9)</f>
        <v>1</v>
      </c>
    </row>
    <row r="47" spans="1:36" x14ac:dyDescent="0.25">
      <c r="A47" s="12" t="s">
        <v>92</v>
      </c>
      <c r="B47" s="13" t="s">
        <v>93</v>
      </c>
      <c r="C47" s="22">
        <f>SUBTOTAL(9,$C10:C10)</f>
        <v>0</v>
      </c>
      <c r="D47" s="22">
        <f>SUBTOTAL(9,$C10:D10)</f>
        <v>0</v>
      </c>
      <c r="E47" s="22">
        <f>SUBTOTAL(9,$C10:E10)</f>
        <v>0</v>
      </c>
      <c r="F47" s="22">
        <f>SUBTOTAL(9,$C10:F10)</f>
        <v>0</v>
      </c>
      <c r="G47" s="22">
        <f>SUBTOTAL(9,$C10:G10)</f>
        <v>0</v>
      </c>
      <c r="H47" s="22">
        <f>SUBTOTAL(9,$C10:H10)</f>
        <v>0</v>
      </c>
      <c r="I47" s="22">
        <f>SUBTOTAL(9,$C10:I10)</f>
        <v>0</v>
      </c>
      <c r="J47" s="22">
        <f>SUBTOTAL(9,$C10:J10)</f>
        <v>0</v>
      </c>
      <c r="K47" s="22">
        <f>SUBTOTAL(9,$C10:K10)</f>
        <v>0</v>
      </c>
      <c r="L47" s="22">
        <f>SUBTOTAL(9,$C10:L10)</f>
        <v>0</v>
      </c>
      <c r="M47" s="22">
        <f>SUBTOTAL(9,$C10:M10)</f>
        <v>0</v>
      </c>
      <c r="N47" s="22">
        <f>SUBTOTAL(9,$C10:N10)</f>
        <v>0</v>
      </c>
      <c r="O47" s="22">
        <f>SUBTOTAL(9,$C10:O10)</f>
        <v>0</v>
      </c>
      <c r="P47" s="22">
        <f>SUBTOTAL(9,$C10:P10)</f>
        <v>0</v>
      </c>
      <c r="Q47" s="22">
        <f>SUBTOTAL(9,$C10:Q10)</f>
        <v>0</v>
      </c>
      <c r="R47" s="22">
        <f>SUBTOTAL(9,$C10:R10)</f>
        <v>0</v>
      </c>
      <c r="S47" s="22">
        <f>SUBTOTAL(9,$C10:S10)</f>
        <v>0</v>
      </c>
      <c r="T47" s="22">
        <f>SUBTOTAL(9,$T10:T10)</f>
        <v>0</v>
      </c>
      <c r="U47" s="22">
        <f>SUBTOTAL(9,$T10:U10)</f>
        <v>0</v>
      </c>
      <c r="V47" s="22">
        <f>SUBTOTAL(9,$T10:V10)</f>
        <v>0</v>
      </c>
      <c r="W47" s="22">
        <f>SUBTOTAL(9,$T10:W10)</f>
        <v>0</v>
      </c>
      <c r="X47" s="22">
        <f>SUBTOTAL(9,$T10:X10)</f>
        <v>0</v>
      </c>
      <c r="Y47" s="22">
        <f>SUBTOTAL(9,$T10:Y10)</f>
        <v>0</v>
      </c>
      <c r="Z47" s="22">
        <f>SUBTOTAL(9,$T10:Z10)</f>
        <v>0</v>
      </c>
      <c r="AA47" s="22">
        <f>SUBTOTAL(9,$T10:AA10)</f>
        <v>0</v>
      </c>
      <c r="AB47" s="22">
        <f>SUBTOTAL(9,$T10:AB10)</f>
        <v>0</v>
      </c>
      <c r="AC47" s="22">
        <f>SUBTOTAL(9,$T10:AC10)</f>
        <v>0</v>
      </c>
      <c r="AD47" s="22">
        <f>SUBTOTAL(9,$T10:AD10)</f>
        <v>0</v>
      </c>
      <c r="AE47" s="22">
        <f>SUBTOTAL(9,$T10:AE10)</f>
        <v>0</v>
      </c>
      <c r="AF47" s="22">
        <f>SUBTOTAL(9,$T10:AF10)</f>
        <v>0</v>
      </c>
      <c r="AG47" s="22">
        <f>SUBTOTAL(9,$T10:AG10)</f>
        <v>0</v>
      </c>
      <c r="AH47" s="22">
        <f>SUBTOTAL(9,$T10:AH10)</f>
        <v>0</v>
      </c>
      <c r="AI47" s="22">
        <f>SUBTOTAL(9,$T10:AI10)</f>
        <v>0</v>
      </c>
      <c r="AJ47" s="22">
        <f>SUBTOTAL(9,$T10:AJ10)</f>
        <v>0</v>
      </c>
    </row>
    <row r="48" spans="1:36" x14ac:dyDescent="0.25">
      <c r="A48" s="12" t="s">
        <v>94</v>
      </c>
      <c r="B48" s="13" t="s">
        <v>95</v>
      </c>
      <c r="C48" s="22">
        <f>SUBTOTAL(9,$C11:C11)</f>
        <v>0</v>
      </c>
      <c r="D48" s="22">
        <f>SUBTOTAL(9,$C11:D11)</f>
        <v>0</v>
      </c>
      <c r="E48" s="22">
        <f>SUBTOTAL(9,$C11:E11)</f>
        <v>0</v>
      </c>
      <c r="F48" s="22">
        <f>SUBTOTAL(9,$C11:F11)</f>
        <v>0</v>
      </c>
      <c r="G48" s="22">
        <f>SUBTOTAL(9,$C11:G11)</f>
        <v>0</v>
      </c>
      <c r="H48" s="22">
        <f>SUBTOTAL(9,$C11:H11)</f>
        <v>0</v>
      </c>
      <c r="I48" s="22">
        <f>SUBTOTAL(9,$C11:I11)</f>
        <v>0</v>
      </c>
      <c r="J48" s="22">
        <f>SUBTOTAL(9,$C11:J11)</f>
        <v>0</v>
      </c>
      <c r="K48" s="22">
        <f>SUBTOTAL(9,$C11:K11)</f>
        <v>0</v>
      </c>
      <c r="L48" s="22">
        <f>SUBTOTAL(9,$C11:L11)</f>
        <v>0</v>
      </c>
      <c r="M48" s="22">
        <f>SUBTOTAL(9,$C11:M11)</f>
        <v>0</v>
      </c>
      <c r="N48" s="22">
        <f>SUBTOTAL(9,$C11:N11)</f>
        <v>0</v>
      </c>
      <c r="O48" s="22">
        <f>SUBTOTAL(9,$C11:O11)</f>
        <v>0</v>
      </c>
      <c r="P48" s="22">
        <f>SUBTOTAL(9,$C11:P11)</f>
        <v>0</v>
      </c>
      <c r="Q48" s="22">
        <f>SUBTOTAL(9,$C11:Q11)</f>
        <v>0</v>
      </c>
      <c r="R48" s="22">
        <f>SUBTOTAL(9,$C11:R11)</f>
        <v>0</v>
      </c>
      <c r="S48" s="22">
        <f>SUBTOTAL(9,$C11:S11)</f>
        <v>0</v>
      </c>
      <c r="T48" s="22">
        <f>SUBTOTAL(9,$T11:T11)</f>
        <v>0</v>
      </c>
      <c r="U48" s="22">
        <f>SUBTOTAL(9,$T11:U11)</f>
        <v>0</v>
      </c>
      <c r="V48" s="22">
        <f>SUBTOTAL(9,$T11:V11)</f>
        <v>0</v>
      </c>
      <c r="W48" s="22">
        <f>SUBTOTAL(9,$T11:W11)</f>
        <v>0</v>
      </c>
      <c r="X48" s="22">
        <f>SUBTOTAL(9,$T11:X11)</f>
        <v>0</v>
      </c>
      <c r="Y48" s="22">
        <f>SUBTOTAL(9,$T11:Y11)</f>
        <v>0</v>
      </c>
      <c r="Z48" s="22">
        <f>SUBTOTAL(9,$T11:Z11)</f>
        <v>0</v>
      </c>
      <c r="AA48" s="22">
        <f>SUBTOTAL(9,$T11:AA11)</f>
        <v>0</v>
      </c>
      <c r="AB48" s="22">
        <f>SUBTOTAL(9,$T11:AB11)</f>
        <v>0</v>
      </c>
      <c r="AC48" s="22">
        <f>SUBTOTAL(9,$T11:AC11)</f>
        <v>0</v>
      </c>
      <c r="AD48" s="22">
        <f>SUBTOTAL(9,$T11:AD11)</f>
        <v>0</v>
      </c>
      <c r="AE48" s="22">
        <f>SUBTOTAL(9,$T11:AE11)</f>
        <v>0</v>
      </c>
      <c r="AF48" s="22">
        <f>SUBTOTAL(9,$T11:AF11)</f>
        <v>0</v>
      </c>
      <c r="AG48" s="22">
        <f>SUBTOTAL(9,$T11:AG11)</f>
        <v>0</v>
      </c>
      <c r="AH48" s="22">
        <f>SUBTOTAL(9,$T11:AH11)</f>
        <v>0</v>
      </c>
      <c r="AI48" s="22">
        <f>SUBTOTAL(9,$T11:AI11)</f>
        <v>0</v>
      </c>
      <c r="AJ48" s="22">
        <f>SUBTOTAL(9,$T11:AJ11)</f>
        <v>0</v>
      </c>
    </row>
    <row r="49" spans="1:36" x14ac:dyDescent="0.25">
      <c r="A49" s="12" t="s">
        <v>96</v>
      </c>
      <c r="B49" s="13" t="s">
        <v>97</v>
      </c>
      <c r="C49" s="22">
        <f>SUBTOTAL(9,$C12:C12)</f>
        <v>0</v>
      </c>
      <c r="D49" s="22">
        <f>SUBTOTAL(9,$C12:D12)</f>
        <v>0</v>
      </c>
      <c r="E49" s="22">
        <f>SUBTOTAL(9,$C12:E12)</f>
        <v>0</v>
      </c>
      <c r="F49" s="22">
        <f>SUBTOTAL(9,$C12:F12)</f>
        <v>0</v>
      </c>
      <c r="G49" s="22">
        <f>SUBTOTAL(9,$C12:G12)</f>
        <v>0</v>
      </c>
      <c r="H49" s="22">
        <f>SUBTOTAL(9,$C12:H12)</f>
        <v>0</v>
      </c>
      <c r="I49" s="22">
        <f>SUBTOTAL(9,$C12:I12)</f>
        <v>0</v>
      </c>
      <c r="J49" s="22">
        <f>SUBTOTAL(9,$C12:J12)</f>
        <v>0</v>
      </c>
      <c r="K49" s="22">
        <f>SUBTOTAL(9,$C12:K12)</f>
        <v>0</v>
      </c>
      <c r="L49" s="22">
        <f>SUBTOTAL(9,$C12:L12)</f>
        <v>0</v>
      </c>
      <c r="M49" s="22">
        <f>SUBTOTAL(9,$C12:M12)</f>
        <v>0</v>
      </c>
      <c r="N49" s="22">
        <f>SUBTOTAL(9,$C12:N12)</f>
        <v>0</v>
      </c>
      <c r="O49" s="22">
        <f>SUBTOTAL(9,$C12:O12)</f>
        <v>0</v>
      </c>
      <c r="P49" s="22">
        <f>SUBTOTAL(9,$C12:P12)</f>
        <v>0</v>
      </c>
      <c r="Q49" s="22">
        <f>SUBTOTAL(9,$C12:Q12)</f>
        <v>0</v>
      </c>
      <c r="R49" s="22">
        <f>SUBTOTAL(9,$C12:R12)</f>
        <v>0</v>
      </c>
      <c r="S49" s="22">
        <f>SUBTOTAL(9,$C12:S12)</f>
        <v>0</v>
      </c>
      <c r="T49" s="22">
        <f>SUBTOTAL(9,$T12:T12)</f>
        <v>0</v>
      </c>
      <c r="U49" s="22">
        <f>SUBTOTAL(9,$T12:U12)</f>
        <v>0</v>
      </c>
      <c r="V49" s="22">
        <f>SUBTOTAL(9,$T12:V12)</f>
        <v>0</v>
      </c>
      <c r="W49" s="22">
        <f>SUBTOTAL(9,$T12:W12)</f>
        <v>0</v>
      </c>
      <c r="X49" s="22">
        <f>SUBTOTAL(9,$T12:X12)</f>
        <v>0</v>
      </c>
      <c r="Y49" s="22">
        <f>SUBTOTAL(9,$T12:Y12)</f>
        <v>1</v>
      </c>
      <c r="Z49" s="22">
        <f>SUBTOTAL(9,$T12:Z12)</f>
        <v>3</v>
      </c>
      <c r="AA49" s="22">
        <f>SUBTOTAL(9,$T12:AA12)</f>
        <v>3</v>
      </c>
      <c r="AB49" s="22">
        <f>SUBTOTAL(9,$T12:AB12)</f>
        <v>3</v>
      </c>
      <c r="AC49" s="22">
        <f>SUBTOTAL(9,$T12:AC12)</f>
        <v>3</v>
      </c>
      <c r="AD49" s="22">
        <f>SUBTOTAL(9,$T12:AD12)</f>
        <v>3</v>
      </c>
      <c r="AE49" s="22">
        <f>SUBTOTAL(9,$T12:AE12)</f>
        <v>3</v>
      </c>
      <c r="AF49" s="22">
        <f>SUBTOTAL(9,$T12:AF12)</f>
        <v>3</v>
      </c>
      <c r="AG49" s="22">
        <f>SUBTOTAL(9,$T12:AG12)</f>
        <v>3</v>
      </c>
      <c r="AH49" s="22">
        <f>SUBTOTAL(9,$T12:AH12)</f>
        <v>3</v>
      </c>
      <c r="AI49" s="22">
        <f>SUBTOTAL(9,$T12:AI12)</f>
        <v>3</v>
      </c>
      <c r="AJ49" s="22">
        <f>SUBTOTAL(9,$T12:AJ12)</f>
        <v>3</v>
      </c>
    </row>
    <row r="50" spans="1:36" x14ac:dyDescent="0.25">
      <c r="A50" s="12" t="s">
        <v>98</v>
      </c>
      <c r="B50" s="13" t="s">
        <v>99</v>
      </c>
      <c r="C50" s="22">
        <f>SUBTOTAL(9,$C13:C13)</f>
        <v>0</v>
      </c>
      <c r="D50" s="22">
        <f>SUBTOTAL(9,$C13:D13)</f>
        <v>1</v>
      </c>
      <c r="E50" s="22">
        <f>SUBTOTAL(9,$C13:E13)</f>
        <v>2</v>
      </c>
      <c r="F50" s="22">
        <f>SUBTOTAL(9,$C13:F13)</f>
        <v>2</v>
      </c>
      <c r="G50" s="22">
        <f>SUBTOTAL(9,$C13:G13)</f>
        <v>2</v>
      </c>
      <c r="H50" s="22">
        <f>SUBTOTAL(9,$C13:H13)</f>
        <v>2</v>
      </c>
      <c r="I50" s="22">
        <f>SUBTOTAL(9,$C13:I13)</f>
        <v>3</v>
      </c>
      <c r="J50" s="22">
        <f>SUBTOTAL(9,$C13:J13)</f>
        <v>3</v>
      </c>
      <c r="K50" s="22">
        <f>SUBTOTAL(9,$C13:K13)</f>
        <v>3</v>
      </c>
      <c r="L50" s="22">
        <f>SUBTOTAL(9,$C13:L13)</f>
        <v>3</v>
      </c>
      <c r="M50" s="22">
        <f>SUBTOTAL(9,$C13:M13)</f>
        <v>3</v>
      </c>
      <c r="N50" s="22">
        <f>SUBTOTAL(9,$C13:N13)</f>
        <v>3</v>
      </c>
      <c r="O50" s="22">
        <f>SUBTOTAL(9,$C13:O13)</f>
        <v>3</v>
      </c>
      <c r="P50" s="22">
        <f>SUBTOTAL(9,$C13:P13)</f>
        <v>3</v>
      </c>
      <c r="Q50" s="22">
        <f>SUBTOTAL(9,$C13:Q13)</f>
        <v>3</v>
      </c>
      <c r="R50" s="22">
        <f>SUBTOTAL(9,$C13:R13)</f>
        <v>3</v>
      </c>
      <c r="S50" s="22">
        <f>SUBTOTAL(9,$C13:S13)</f>
        <v>3</v>
      </c>
      <c r="T50" s="22">
        <f>SUBTOTAL(9,$T13:T13)</f>
        <v>0</v>
      </c>
      <c r="U50" s="22">
        <f>SUBTOTAL(9,$T13:U13)</f>
        <v>0</v>
      </c>
      <c r="V50" s="22">
        <f>SUBTOTAL(9,$T13:V13)</f>
        <v>0</v>
      </c>
      <c r="W50" s="22">
        <f>SUBTOTAL(9,$T13:W13)</f>
        <v>0</v>
      </c>
      <c r="X50" s="22">
        <f>SUBTOTAL(9,$T13:X13)</f>
        <v>0</v>
      </c>
      <c r="Y50" s="22">
        <f>SUBTOTAL(9,$T13:Y13)</f>
        <v>0</v>
      </c>
      <c r="Z50" s="22">
        <f>SUBTOTAL(9,$T13:Z13)</f>
        <v>0</v>
      </c>
      <c r="AA50" s="22">
        <f>SUBTOTAL(9,$T13:AA13)</f>
        <v>0</v>
      </c>
      <c r="AB50" s="22">
        <f>SUBTOTAL(9,$T13:AB13)</f>
        <v>0</v>
      </c>
      <c r="AC50" s="22">
        <f>SUBTOTAL(9,$T13:AC13)</f>
        <v>0</v>
      </c>
      <c r="AD50" s="22">
        <f>SUBTOTAL(9,$T13:AD13)</f>
        <v>0</v>
      </c>
      <c r="AE50" s="22">
        <f>SUBTOTAL(9,$T13:AE13)</f>
        <v>0</v>
      </c>
      <c r="AF50" s="22">
        <f>SUBTOTAL(9,$T13:AF13)</f>
        <v>0</v>
      </c>
      <c r="AG50" s="22">
        <f>SUBTOTAL(9,$T13:AG13)</f>
        <v>0</v>
      </c>
      <c r="AH50" s="22">
        <f>SUBTOTAL(9,$T13:AH13)</f>
        <v>0</v>
      </c>
      <c r="AI50" s="22">
        <f>SUBTOTAL(9,$T13:AI13)</f>
        <v>0</v>
      </c>
      <c r="AJ50" s="22">
        <f>SUBTOTAL(9,$T13:AJ13)</f>
        <v>0</v>
      </c>
    </row>
    <row r="51" spans="1:36" x14ac:dyDescent="0.25">
      <c r="A51" s="12" t="s">
        <v>100</v>
      </c>
      <c r="B51" s="13" t="s">
        <v>101</v>
      </c>
      <c r="C51" s="22">
        <f>SUBTOTAL(9,$C14:C14)</f>
        <v>1</v>
      </c>
      <c r="D51" s="22">
        <f>SUBTOTAL(9,$C14:D14)</f>
        <v>1</v>
      </c>
      <c r="E51" s="22">
        <f>SUBTOTAL(9,$C14:E14)</f>
        <v>1</v>
      </c>
      <c r="F51" s="22">
        <f>SUBTOTAL(9,$C14:F14)</f>
        <v>1</v>
      </c>
      <c r="G51" s="22">
        <f>SUBTOTAL(9,$C14:G14)</f>
        <v>2</v>
      </c>
      <c r="H51" s="22">
        <f>SUBTOTAL(9,$C14:H14)</f>
        <v>2</v>
      </c>
      <c r="I51" s="22">
        <f>SUBTOTAL(9,$C14:I14)</f>
        <v>2</v>
      </c>
      <c r="J51" s="22">
        <f>SUBTOTAL(9,$C14:J14)</f>
        <v>2</v>
      </c>
      <c r="K51" s="22">
        <f>SUBTOTAL(9,$C14:K14)</f>
        <v>2</v>
      </c>
      <c r="L51" s="22">
        <f>SUBTOTAL(9,$C14:L14)</f>
        <v>2</v>
      </c>
      <c r="M51" s="22">
        <f>SUBTOTAL(9,$C14:M14)</f>
        <v>3</v>
      </c>
      <c r="N51" s="22">
        <f>SUBTOTAL(9,$C14:N14)</f>
        <v>3</v>
      </c>
      <c r="O51" s="22">
        <f>SUBTOTAL(9,$C14:O14)</f>
        <v>3</v>
      </c>
      <c r="P51" s="22">
        <f>SUBTOTAL(9,$C14:P14)</f>
        <v>3</v>
      </c>
      <c r="Q51" s="22">
        <f>SUBTOTAL(9,$C14:Q14)</f>
        <v>3</v>
      </c>
      <c r="R51" s="22">
        <f>SUBTOTAL(9,$C14:R14)</f>
        <v>3</v>
      </c>
      <c r="S51" s="22">
        <f>SUBTOTAL(9,$C14:S14)</f>
        <v>3</v>
      </c>
      <c r="T51" s="22">
        <f>SUBTOTAL(9,$T14:T14)</f>
        <v>0</v>
      </c>
      <c r="U51" s="22">
        <f>SUBTOTAL(9,$T14:U14)</f>
        <v>0</v>
      </c>
      <c r="V51" s="22">
        <f>SUBTOTAL(9,$T14:V14)</f>
        <v>0</v>
      </c>
      <c r="W51" s="22">
        <f>SUBTOTAL(9,$T14:W14)</f>
        <v>0</v>
      </c>
      <c r="X51" s="22">
        <f>SUBTOTAL(9,$T14:X14)</f>
        <v>0</v>
      </c>
      <c r="Y51" s="22">
        <f>SUBTOTAL(9,$T14:Y14)</f>
        <v>0</v>
      </c>
      <c r="Z51" s="22">
        <f>SUBTOTAL(9,$T14:Z14)</f>
        <v>0</v>
      </c>
      <c r="AA51" s="22">
        <f>SUBTOTAL(9,$T14:AA14)</f>
        <v>0</v>
      </c>
      <c r="AB51" s="22">
        <f>SUBTOTAL(9,$T14:AB14)</f>
        <v>0</v>
      </c>
      <c r="AC51" s="22">
        <f>SUBTOTAL(9,$T14:AC14)</f>
        <v>0</v>
      </c>
      <c r="AD51" s="22">
        <f>SUBTOTAL(9,$T14:AD14)</f>
        <v>1</v>
      </c>
      <c r="AE51" s="22">
        <f>SUBTOTAL(9,$T14:AE14)</f>
        <v>1</v>
      </c>
      <c r="AF51" s="22">
        <f>SUBTOTAL(9,$T14:AF14)</f>
        <v>1</v>
      </c>
      <c r="AG51" s="22">
        <f>SUBTOTAL(9,$T14:AG14)</f>
        <v>1</v>
      </c>
      <c r="AH51" s="22">
        <f>SUBTOTAL(9,$T14:AH14)</f>
        <v>1</v>
      </c>
      <c r="AI51" s="22">
        <f>SUBTOTAL(9,$T14:AI14)</f>
        <v>1</v>
      </c>
      <c r="AJ51" s="22">
        <f>SUBTOTAL(9,$T14:AJ14)</f>
        <v>1</v>
      </c>
    </row>
    <row r="52" spans="1:36" x14ac:dyDescent="0.25">
      <c r="A52" s="12" t="s">
        <v>102</v>
      </c>
      <c r="B52" s="13" t="s">
        <v>103</v>
      </c>
      <c r="C52" s="22">
        <f>SUBTOTAL(9,$C15:C15)</f>
        <v>0</v>
      </c>
      <c r="D52" s="22">
        <f>SUBTOTAL(9,$C15:D15)</f>
        <v>1</v>
      </c>
      <c r="E52" s="22">
        <f>SUBTOTAL(9,$C15:E15)</f>
        <v>1</v>
      </c>
      <c r="F52" s="22">
        <f>SUBTOTAL(9,$C15:F15)</f>
        <v>1</v>
      </c>
      <c r="G52" s="22">
        <f>SUBTOTAL(9,$C15:G15)</f>
        <v>1</v>
      </c>
      <c r="H52" s="22">
        <f>SUBTOTAL(9,$C15:H15)</f>
        <v>4</v>
      </c>
      <c r="I52" s="22">
        <f>SUBTOTAL(9,$C15:I15)</f>
        <v>4</v>
      </c>
      <c r="J52" s="22">
        <f>SUBTOTAL(9,$C15:J15)</f>
        <v>4</v>
      </c>
      <c r="K52" s="22">
        <f>SUBTOTAL(9,$C15:K15)</f>
        <v>4</v>
      </c>
      <c r="L52" s="22">
        <f>SUBTOTAL(9,$C15:L15)</f>
        <v>4</v>
      </c>
      <c r="M52" s="22">
        <f>SUBTOTAL(9,$C15:M15)</f>
        <v>5</v>
      </c>
      <c r="N52" s="22">
        <f>SUBTOTAL(9,$C15:N15)</f>
        <v>5</v>
      </c>
      <c r="O52" s="22">
        <f>SUBTOTAL(9,$C15:O15)</f>
        <v>5</v>
      </c>
      <c r="P52" s="22">
        <f>SUBTOTAL(9,$C15:P15)</f>
        <v>5</v>
      </c>
      <c r="Q52" s="22">
        <f>SUBTOTAL(9,$C15:Q15)</f>
        <v>5</v>
      </c>
      <c r="R52" s="22">
        <f>SUBTOTAL(9,$C15:R15)</f>
        <v>5</v>
      </c>
      <c r="S52" s="22">
        <f>SUBTOTAL(9,$C15:S15)</f>
        <v>5</v>
      </c>
      <c r="T52" s="22">
        <f>SUBTOTAL(9,$T15:T15)</f>
        <v>0</v>
      </c>
      <c r="U52" s="22">
        <f>SUBTOTAL(9,$T15:U15)</f>
        <v>0</v>
      </c>
      <c r="V52" s="22">
        <f>SUBTOTAL(9,$T15:V15)</f>
        <v>0</v>
      </c>
      <c r="W52" s="22">
        <f>SUBTOTAL(9,$T15:W15)</f>
        <v>0</v>
      </c>
      <c r="X52" s="22">
        <f>SUBTOTAL(9,$T15:X15)</f>
        <v>0</v>
      </c>
      <c r="Y52" s="22">
        <f>SUBTOTAL(9,$T15:Y15)</f>
        <v>1</v>
      </c>
      <c r="Z52" s="22">
        <f>SUBTOTAL(9,$T15:Z15)</f>
        <v>1</v>
      </c>
      <c r="AA52" s="22">
        <f>SUBTOTAL(9,$T15:AA15)</f>
        <v>1</v>
      </c>
      <c r="AB52" s="22">
        <f>SUBTOTAL(9,$T15:AB15)</f>
        <v>1</v>
      </c>
      <c r="AC52" s="22">
        <f>SUBTOTAL(9,$T15:AC15)</f>
        <v>1</v>
      </c>
      <c r="AD52" s="22">
        <f>SUBTOTAL(9,$T15:AD15)</f>
        <v>1</v>
      </c>
      <c r="AE52" s="22">
        <f>SUBTOTAL(9,$T15:AE15)</f>
        <v>1</v>
      </c>
      <c r="AF52" s="22">
        <f>SUBTOTAL(9,$T15:AF15)</f>
        <v>1</v>
      </c>
      <c r="AG52" s="22">
        <f>SUBTOTAL(9,$T15:AG15)</f>
        <v>1</v>
      </c>
      <c r="AH52" s="22">
        <f>SUBTOTAL(9,$T15:AH15)</f>
        <v>1</v>
      </c>
      <c r="AI52" s="22">
        <f>SUBTOTAL(9,$T15:AI15)</f>
        <v>1</v>
      </c>
      <c r="AJ52" s="22">
        <f>SUBTOTAL(9,$T15:AJ15)</f>
        <v>1</v>
      </c>
    </row>
    <row r="53" spans="1:36" x14ac:dyDescent="0.25">
      <c r="A53" s="12" t="s">
        <v>104</v>
      </c>
      <c r="B53" s="13" t="s">
        <v>105</v>
      </c>
      <c r="C53" s="22">
        <f>SUBTOTAL(9,$C16:C16)</f>
        <v>0</v>
      </c>
      <c r="D53" s="22">
        <f>SUBTOTAL(9,$C16:D16)</f>
        <v>0</v>
      </c>
      <c r="E53" s="22">
        <f>SUBTOTAL(9,$C16:E16)</f>
        <v>1</v>
      </c>
      <c r="F53" s="22">
        <f>SUBTOTAL(9,$C16:F16)</f>
        <v>1</v>
      </c>
      <c r="G53" s="22">
        <f>SUBTOTAL(9,$C16:G16)</f>
        <v>1</v>
      </c>
      <c r="H53" s="22">
        <f>SUBTOTAL(9,$C16:H16)</f>
        <v>2</v>
      </c>
      <c r="I53" s="22">
        <f>SUBTOTAL(9,$C16:I16)</f>
        <v>2</v>
      </c>
      <c r="J53" s="22">
        <f>SUBTOTAL(9,$C16:J16)</f>
        <v>2</v>
      </c>
      <c r="K53" s="22">
        <f>SUBTOTAL(9,$C16:K16)</f>
        <v>2</v>
      </c>
      <c r="L53" s="22">
        <f>SUBTOTAL(9,$C16:L16)</f>
        <v>2</v>
      </c>
      <c r="M53" s="22">
        <f>SUBTOTAL(9,$C16:M16)</f>
        <v>2</v>
      </c>
      <c r="N53" s="22">
        <f>SUBTOTAL(9,$C16:N16)</f>
        <v>2</v>
      </c>
      <c r="O53" s="22">
        <f>SUBTOTAL(9,$C16:O16)</f>
        <v>2</v>
      </c>
      <c r="P53" s="22">
        <f>SUBTOTAL(9,$C16:P16)</f>
        <v>3</v>
      </c>
      <c r="Q53" s="22">
        <f>SUBTOTAL(9,$C16:Q16)</f>
        <v>4</v>
      </c>
      <c r="R53" s="22">
        <f>SUBTOTAL(9,$C16:R16)</f>
        <v>4</v>
      </c>
      <c r="S53" s="22">
        <f>SUBTOTAL(9,$C16:S16)</f>
        <v>4</v>
      </c>
      <c r="T53" s="22">
        <f>SUBTOTAL(9,$T16:T16)</f>
        <v>0</v>
      </c>
      <c r="U53" s="22">
        <f>SUBTOTAL(9,$T16:U16)</f>
        <v>0</v>
      </c>
      <c r="V53" s="22">
        <f>SUBTOTAL(9,$T16:V16)</f>
        <v>0</v>
      </c>
      <c r="W53" s="22">
        <f>SUBTOTAL(9,$T16:W16)</f>
        <v>0</v>
      </c>
      <c r="X53" s="22">
        <f>SUBTOTAL(9,$T16:X16)</f>
        <v>0</v>
      </c>
      <c r="Y53" s="22">
        <f>SUBTOTAL(9,$T16:Y16)</f>
        <v>0</v>
      </c>
      <c r="Z53" s="22">
        <f>SUBTOTAL(9,$T16:Z16)</f>
        <v>0</v>
      </c>
      <c r="AA53" s="22">
        <f>SUBTOTAL(9,$T16:AA16)</f>
        <v>0</v>
      </c>
      <c r="AB53" s="22">
        <f>SUBTOTAL(9,$T16:AB16)</f>
        <v>0</v>
      </c>
      <c r="AC53" s="22">
        <f>SUBTOTAL(9,$T16:AC16)</f>
        <v>0</v>
      </c>
      <c r="AD53" s="22">
        <f>SUBTOTAL(9,$T16:AD16)</f>
        <v>0</v>
      </c>
      <c r="AE53" s="22">
        <f>SUBTOTAL(9,$T16:AE16)</f>
        <v>0</v>
      </c>
      <c r="AF53" s="22">
        <f>SUBTOTAL(9,$T16:AF16)</f>
        <v>0</v>
      </c>
      <c r="AG53" s="22">
        <f>SUBTOTAL(9,$T16:AG16)</f>
        <v>0</v>
      </c>
      <c r="AH53" s="22">
        <f>SUBTOTAL(9,$T16:AH16)</f>
        <v>0</v>
      </c>
      <c r="AI53" s="22">
        <f>SUBTOTAL(9,$T16:AI16)</f>
        <v>0</v>
      </c>
      <c r="AJ53" s="22">
        <f>SUBTOTAL(9,$T16:AJ16)</f>
        <v>0</v>
      </c>
    </row>
    <row r="54" spans="1:36" x14ac:dyDescent="0.25">
      <c r="A54" s="12" t="s">
        <v>106</v>
      </c>
      <c r="B54" s="13" t="s">
        <v>107</v>
      </c>
      <c r="C54" s="22">
        <f>SUBTOTAL(9,$C17:C17)</f>
        <v>0</v>
      </c>
      <c r="D54" s="22">
        <f>SUBTOTAL(9,$C17:D17)</f>
        <v>0</v>
      </c>
      <c r="E54" s="22">
        <f>SUBTOTAL(9,$C17:E17)</f>
        <v>0</v>
      </c>
      <c r="F54" s="22">
        <f>SUBTOTAL(9,$C17:F17)</f>
        <v>0</v>
      </c>
      <c r="G54" s="22">
        <f>SUBTOTAL(9,$C17:G17)</f>
        <v>1</v>
      </c>
      <c r="H54" s="22">
        <f>SUBTOTAL(9,$C17:H17)</f>
        <v>1</v>
      </c>
      <c r="I54" s="22">
        <f>SUBTOTAL(9,$C17:I17)</f>
        <v>1</v>
      </c>
      <c r="J54" s="22">
        <f>SUBTOTAL(9,$C17:J17)</f>
        <v>1</v>
      </c>
      <c r="K54" s="22">
        <f>SUBTOTAL(9,$C17:K17)</f>
        <v>1</v>
      </c>
      <c r="L54" s="22">
        <f>SUBTOTAL(9,$C17:L17)</f>
        <v>1</v>
      </c>
      <c r="M54" s="22">
        <f>SUBTOTAL(9,$C17:M17)</f>
        <v>1</v>
      </c>
      <c r="N54" s="22">
        <f>SUBTOTAL(9,$C17:N17)</f>
        <v>1</v>
      </c>
      <c r="O54" s="22">
        <f>SUBTOTAL(9,$C17:O17)</f>
        <v>1</v>
      </c>
      <c r="P54" s="22">
        <f>SUBTOTAL(9,$C17:P17)</f>
        <v>1</v>
      </c>
      <c r="Q54" s="22">
        <f>SUBTOTAL(9,$C17:Q17)</f>
        <v>1</v>
      </c>
      <c r="R54" s="22">
        <f>SUBTOTAL(9,$C17:R17)</f>
        <v>1</v>
      </c>
      <c r="S54" s="22">
        <f>SUBTOTAL(9,$C17:S17)</f>
        <v>1</v>
      </c>
      <c r="T54" s="22">
        <f>SUBTOTAL(9,$T17:T17)</f>
        <v>0</v>
      </c>
      <c r="U54" s="22">
        <f>SUBTOTAL(9,$T17:U17)</f>
        <v>0</v>
      </c>
      <c r="V54" s="22">
        <f>SUBTOTAL(9,$T17:V17)</f>
        <v>0</v>
      </c>
      <c r="W54" s="22">
        <f>SUBTOTAL(9,$T17:W17)</f>
        <v>0</v>
      </c>
      <c r="X54" s="22">
        <f>SUBTOTAL(9,$T17:X17)</f>
        <v>0</v>
      </c>
      <c r="Y54" s="22">
        <f>SUBTOTAL(9,$T17:Y17)</f>
        <v>1</v>
      </c>
      <c r="Z54" s="22">
        <f>SUBTOTAL(9,$T17:Z17)</f>
        <v>1</v>
      </c>
      <c r="AA54" s="22">
        <f>SUBTOTAL(9,$T17:AA17)</f>
        <v>1</v>
      </c>
      <c r="AB54" s="22">
        <f>SUBTOTAL(9,$T17:AB17)</f>
        <v>1</v>
      </c>
      <c r="AC54" s="22">
        <f>SUBTOTAL(9,$T17:AC17)</f>
        <v>1</v>
      </c>
      <c r="AD54" s="22">
        <f>SUBTOTAL(9,$T17:AD17)</f>
        <v>1</v>
      </c>
      <c r="AE54" s="22">
        <f>SUBTOTAL(9,$T17:AE17)</f>
        <v>1</v>
      </c>
      <c r="AF54" s="22">
        <f>SUBTOTAL(9,$T17:AF17)</f>
        <v>1</v>
      </c>
      <c r="AG54" s="22">
        <f>SUBTOTAL(9,$T17:AG17)</f>
        <v>1</v>
      </c>
      <c r="AH54" s="22">
        <f>SUBTOTAL(9,$T17:AH17)</f>
        <v>1</v>
      </c>
      <c r="AI54" s="22">
        <f>SUBTOTAL(9,$T17:AI17)</f>
        <v>1</v>
      </c>
      <c r="AJ54" s="22">
        <f>SUBTOTAL(9,$T17:AJ17)</f>
        <v>1</v>
      </c>
    </row>
    <row r="55" spans="1:36" x14ac:dyDescent="0.25">
      <c r="A55" s="12" t="s">
        <v>108</v>
      </c>
      <c r="B55" s="13" t="s">
        <v>109</v>
      </c>
      <c r="C55" s="22">
        <f>SUBTOTAL(9,$C18:C18)</f>
        <v>0</v>
      </c>
      <c r="D55" s="22">
        <f>SUBTOTAL(9,$C18:D18)</f>
        <v>1</v>
      </c>
      <c r="E55" s="22">
        <f>SUBTOTAL(9,$C18:E18)</f>
        <v>1</v>
      </c>
      <c r="F55" s="22">
        <f>SUBTOTAL(9,$C18:F18)</f>
        <v>1</v>
      </c>
      <c r="G55" s="22">
        <f>SUBTOTAL(9,$C18:G18)</f>
        <v>2</v>
      </c>
      <c r="H55" s="22">
        <f>SUBTOTAL(9,$C18:H18)</f>
        <v>2</v>
      </c>
      <c r="I55" s="22">
        <f>SUBTOTAL(9,$C18:I18)</f>
        <v>2</v>
      </c>
      <c r="J55" s="22">
        <f>SUBTOTAL(9,$C18:J18)</f>
        <v>2</v>
      </c>
      <c r="K55" s="22">
        <f>SUBTOTAL(9,$C18:K18)</f>
        <v>2</v>
      </c>
      <c r="L55" s="22">
        <f>SUBTOTAL(9,$C18:L18)</f>
        <v>2</v>
      </c>
      <c r="M55" s="22">
        <f>SUBTOTAL(9,$C18:M18)</f>
        <v>2</v>
      </c>
      <c r="N55" s="22">
        <f>SUBTOTAL(9,$C18:N18)</f>
        <v>2</v>
      </c>
      <c r="O55" s="22">
        <f>SUBTOTAL(9,$C18:O18)</f>
        <v>2</v>
      </c>
      <c r="P55" s="22">
        <f>SUBTOTAL(9,$C18:P18)</f>
        <v>2</v>
      </c>
      <c r="Q55" s="22">
        <f>SUBTOTAL(9,$C18:Q18)</f>
        <v>2</v>
      </c>
      <c r="R55" s="22">
        <f>SUBTOTAL(9,$C18:R18)</f>
        <v>2</v>
      </c>
      <c r="S55" s="22">
        <f>SUBTOTAL(9,$C18:S18)</f>
        <v>2</v>
      </c>
      <c r="T55" s="22">
        <f>SUBTOTAL(9,$T18:T18)</f>
        <v>0</v>
      </c>
      <c r="U55" s="22">
        <f>SUBTOTAL(9,$T18:U18)</f>
        <v>0</v>
      </c>
      <c r="V55" s="22">
        <f>SUBTOTAL(9,$T18:V18)</f>
        <v>0</v>
      </c>
      <c r="W55" s="22">
        <f>SUBTOTAL(9,$T18:W18)</f>
        <v>0</v>
      </c>
      <c r="X55" s="22">
        <f>SUBTOTAL(9,$T18:X18)</f>
        <v>0</v>
      </c>
      <c r="Y55" s="22">
        <f>SUBTOTAL(9,$T18:Y18)</f>
        <v>0</v>
      </c>
      <c r="Z55" s="22">
        <f>SUBTOTAL(9,$T18:Z18)</f>
        <v>0</v>
      </c>
      <c r="AA55" s="22">
        <f>SUBTOTAL(9,$T18:AA18)</f>
        <v>0</v>
      </c>
      <c r="AB55" s="22">
        <f>SUBTOTAL(9,$T18:AB18)</f>
        <v>0</v>
      </c>
      <c r="AC55" s="22">
        <f>SUBTOTAL(9,$T18:AC18)</f>
        <v>0</v>
      </c>
      <c r="AD55" s="22">
        <f>SUBTOTAL(9,$T18:AD18)</f>
        <v>0</v>
      </c>
      <c r="AE55" s="22">
        <f>SUBTOTAL(9,$T18:AE18)</f>
        <v>0</v>
      </c>
      <c r="AF55" s="22">
        <f>SUBTOTAL(9,$T18:AF18)</f>
        <v>0</v>
      </c>
      <c r="AG55" s="22">
        <f>SUBTOTAL(9,$T18:AG18)</f>
        <v>0</v>
      </c>
      <c r="AH55" s="22">
        <f>SUBTOTAL(9,$T18:AH18)</f>
        <v>0</v>
      </c>
      <c r="AI55" s="22">
        <f>SUBTOTAL(9,$T18:AI18)</f>
        <v>0</v>
      </c>
      <c r="AJ55" s="22">
        <f>SUBTOTAL(9,$T18:AJ18)</f>
        <v>0</v>
      </c>
    </row>
    <row r="56" spans="1:36" x14ac:dyDescent="0.25">
      <c r="A56" s="12" t="s">
        <v>110</v>
      </c>
      <c r="B56" s="13" t="s">
        <v>111</v>
      </c>
      <c r="C56" s="22">
        <f>SUBTOTAL(9,$C19:C19)</f>
        <v>0</v>
      </c>
      <c r="D56" s="22">
        <f>SUBTOTAL(9,$C19:D19)</f>
        <v>0</v>
      </c>
      <c r="E56" s="22">
        <f>SUBTOTAL(9,$C19:E19)</f>
        <v>0</v>
      </c>
      <c r="F56" s="22">
        <f>SUBTOTAL(9,$C19:F19)</f>
        <v>0</v>
      </c>
      <c r="G56" s="22">
        <f>SUBTOTAL(9,$C19:G19)</f>
        <v>0</v>
      </c>
      <c r="H56" s="22">
        <f>SUBTOTAL(9,$C19:H19)</f>
        <v>0</v>
      </c>
      <c r="I56" s="22">
        <f>SUBTOTAL(9,$C19:I19)</f>
        <v>0</v>
      </c>
      <c r="J56" s="22">
        <f>SUBTOTAL(9,$C19:J19)</f>
        <v>0</v>
      </c>
      <c r="K56" s="22">
        <f>SUBTOTAL(9,$C19:K19)</f>
        <v>0</v>
      </c>
      <c r="L56" s="22">
        <f>SUBTOTAL(9,$C19:L19)</f>
        <v>0</v>
      </c>
      <c r="M56" s="22">
        <f>SUBTOTAL(9,$C19:M19)</f>
        <v>0</v>
      </c>
      <c r="N56" s="22">
        <f>SUBTOTAL(9,$C19:N19)</f>
        <v>0</v>
      </c>
      <c r="O56" s="22">
        <f>SUBTOTAL(9,$C19:O19)</f>
        <v>0</v>
      </c>
      <c r="P56" s="22">
        <f>SUBTOTAL(9,$C19:P19)</f>
        <v>0</v>
      </c>
      <c r="Q56" s="22">
        <f>SUBTOTAL(9,$C19:Q19)</f>
        <v>0</v>
      </c>
      <c r="R56" s="22">
        <f>SUBTOTAL(9,$C19:R19)</f>
        <v>0</v>
      </c>
      <c r="S56" s="22">
        <f>SUBTOTAL(9,$C19:S19)</f>
        <v>0</v>
      </c>
      <c r="T56" s="22">
        <f>SUBTOTAL(9,$T19:T19)</f>
        <v>0</v>
      </c>
      <c r="U56" s="22">
        <f>SUBTOTAL(9,$T19:U19)</f>
        <v>0</v>
      </c>
      <c r="V56" s="22">
        <f>SUBTOTAL(9,$T19:V19)</f>
        <v>0</v>
      </c>
      <c r="W56" s="22">
        <f>SUBTOTAL(9,$T19:W19)</f>
        <v>0</v>
      </c>
      <c r="X56" s="22">
        <f>SUBTOTAL(9,$T19:X19)</f>
        <v>0</v>
      </c>
      <c r="Y56" s="22">
        <f>SUBTOTAL(9,$T19:Y19)</f>
        <v>0</v>
      </c>
      <c r="Z56" s="22">
        <f>SUBTOTAL(9,$T19:Z19)</f>
        <v>0</v>
      </c>
      <c r="AA56" s="22">
        <f>SUBTOTAL(9,$T19:AA19)</f>
        <v>0</v>
      </c>
      <c r="AB56" s="22">
        <f>SUBTOTAL(9,$T19:AB19)</f>
        <v>0</v>
      </c>
      <c r="AC56" s="22">
        <f>SUBTOTAL(9,$T19:AC19)</f>
        <v>0</v>
      </c>
      <c r="AD56" s="22">
        <f>SUBTOTAL(9,$T19:AD19)</f>
        <v>0</v>
      </c>
      <c r="AE56" s="22">
        <f>SUBTOTAL(9,$T19:AE19)</f>
        <v>0</v>
      </c>
      <c r="AF56" s="22">
        <f>SUBTOTAL(9,$T19:AF19)</f>
        <v>0</v>
      </c>
      <c r="AG56" s="22">
        <f>SUBTOTAL(9,$T19:AG19)</f>
        <v>0</v>
      </c>
      <c r="AH56" s="22">
        <f>SUBTOTAL(9,$T19:AH19)</f>
        <v>0</v>
      </c>
      <c r="AI56" s="22">
        <f>SUBTOTAL(9,$T19:AI19)</f>
        <v>0</v>
      </c>
      <c r="AJ56" s="22">
        <f>SUBTOTAL(9,$T19:AJ19)</f>
        <v>0</v>
      </c>
    </row>
    <row r="57" spans="1:36" x14ac:dyDescent="0.25">
      <c r="A57" s="12" t="s">
        <v>112</v>
      </c>
      <c r="B57" s="13" t="s">
        <v>113</v>
      </c>
      <c r="C57" s="22">
        <f>SUBTOTAL(9,$C20:C20)</f>
        <v>0</v>
      </c>
      <c r="D57" s="22">
        <f>SUBTOTAL(9,$C20:D20)</f>
        <v>0</v>
      </c>
      <c r="E57" s="22">
        <f>SUBTOTAL(9,$C20:E20)</f>
        <v>0</v>
      </c>
      <c r="F57" s="22">
        <f>SUBTOTAL(9,$C20:F20)</f>
        <v>0</v>
      </c>
      <c r="G57" s="22">
        <f>SUBTOTAL(9,$C20:G20)</f>
        <v>2</v>
      </c>
      <c r="H57" s="22">
        <f>SUBTOTAL(9,$C20:H20)</f>
        <v>2</v>
      </c>
      <c r="I57" s="22">
        <f>SUBTOTAL(9,$C20:I20)</f>
        <v>2</v>
      </c>
      <c r="J57" s="22">
        <f>SUBTOTAL(9,$C20:J20)</f>
        <v>2</v>
      </c>
      <c r="K57" s="22">
        <f>SUBTOTAL(9,$C20:K20)</f>
        <v>2</v>
      </c>
      <c r="L57" s="22">
        <f>SUBTOTAL(9,$C20:L20)</f>
        <v>2</v>
      </c>
      <c r="M57" s="22">
        <f>SUBTOTAL(9,$C20:M20)</f>
        <v>4</v>
      </c>
      <c r="N57" s="22">
        <f>SUBTOTAL(9,$C20:N20)</f>
        <v>4</v>
      </c>
      <c r="O57" s="22">
        <f>SUBTOTAL(9,$C20:O20)</f>
        <v>5</v>
      </c>
      <c r="P57" s="22">
        <f>SUBTOTAL(9,$C20:P20)</f>
        <v>5</v>
      </c>
      <c r="Q57" s="22">
        <f>SUBTOTAL(9,$C20:Q20)</f>
        <v>6</v>
      </c>
      <c r="R57" s="22">
        <f>SUBTOTAL(9,$C20:R20)</f>
        <v>6</v>
      </c>
      <c r="S57" s="22">
        <f>SUBTOTAL(9,$C20:S20)</f>
        <v>6</v>
      </c>
      <c r="T57" s="22">
        <f>SUBTOTAL(9,$T20:T20)</f>
        <v>0</v>
      </c>
      <c r="U57" s="22">
        <f>SUBTOTAL(9,$T20:U20)</f>
        <v>0</v>
      </c>
      <c r="V57" s="22">
        <f>SUBTOTAL(9,$T20:V20)</f>
        <v>0</v>
      </c>
      <c r="W57" s="22">
        <f>SUBTOTAL(9,$T20:W20)</f>
        <v>0</v>
      </c>
      <c r="X57" s="22">
        <f>SUBTOTAL(9,$T20:X20)</f>
        <v>1</v>
      </c>
      <c r="Y57" s="22">
        <f>SUBTOTAL(9,$T20:Y20)</f>
        <v>4</v>
      </c>
      <c r="Z57" s="22">
        <f>SUBTOTAL(9,$T20:Z20)</f>
        <v>4</v>
      </c>
      <c r="AA57" s="22">
        <f>SUBTOTAL(9,$T20:AA20)</f>
        <v>4</v>
      </c>
      <c r="AB57" s="22">
        <f>SUBTOTAL(9,$T20:AB20)</f>
        <v>4</v>
      </c>
      <c r="AC57" s="22">
        <f>SUBTOTAL(9,$T20:AC20)</f>
        <v>7</v>
      </c>
      <c r="AD57" s="22">
        <f>SUBTOTAL(9,$T20:AD20)</f>
        <v>7</v>
      </c>
      <c r="AE57" s="22">
        <f>SUBTOTAL(9,$T20:AE20)</f>
        <v>7</v>
      </c>
      <c r="AF57" s="22">
        <f>SUBTOTAL(9,$T20:AF20)</f>
        <v>7</v>
      </c>
      <c r="AG57" s="22">
        <f>SUBTOTAL(9,$T20:AG20)</f>
        <v>8</v>
      </c>
      <c r="AH57" s="22">
        <f>SUBTOTAL(9,$T20:AH20)</f>
        <v>8</v>
      </c>
      <c r="AI57" s="22">
        <f>SUBTOTAL(9,$T20:AI20)</f>
        <v>8</v>
      </c>
      <c r="AJ57" s="22">
        <f>SUBTOTAL(9,$T20:AJ20)</f>
        <v>8</v>
      </c>
    </row>
    <row r="58" spans="1:36" x14ac:dyDescent="0.25">
      <c r="A58" s="12" t="s">
        <v>114</v>
      </c>
      <c r="B58" s="13" t="s">
        <v>115</v>
      </c>
      <c r="C58" s="22">
        <f>SUBTOTAL(9,$C21:C21)</f>
        <v>0</v>
      </c>
      <c r="D58" s="22">
        <f>SUBTOTAL(9,$C21:D21)</f>
        <v>1</v>
      </c>
      <c r="E58" s="22">
        <f>SUBTOTAL(9,$C21:E21)</f>
        <v>1</v>
      </c>
      <c r="F58" s="22">
        <f>SUBTOTAL(9,$C21:F21)</f>
        <v>1</v>
      </c>
      <c r="G58" s="22">
        <f>SUBTOTAL(9,$C21:G21)</f>
        <v>1</v>
      </c>
      <c r="H58" s="22">
        <f>SUBTOTAL(9,$C21:H21)</f>
        <v>1</v>
      </c>
      <c r="I58" s="22">
        <f>SUBTOTAL(9,$C21:I21)</f>
        <v>1</v>
      </c>
      <c r="J58" s="22">
        <f>SUBTOTAL(9,$C21:J21)</f>
        <v>1</v>
      </c>
      <c r="K58" s="22">
        <f>SUBTOTAL(9,$C21:K21)</f>
        <v>1</v>
      </c>
      <c r="L58" s="22">
        <f>SUBTOTAL(9,$C21:L21)</f>
        <v>3</v>
      </c>
      <c r="M58" s="22">
        <f>SUBTOTAL(9,$C21:M21)</f>
        <v>3</v>
      </c>
      <c r="N58" s="22">
        <f>SUBTOTAL(9,$C21:N21)</f>
        <v>3</v>
      </c>
      <c r="O58" s="22">
        <f>SUBTOTAL(9,$C21:O21)</f>
        <v>3</v>
      </c>
      <c r="P58" s="22">
        <f>SUBTOTAL(9,$C21:P21)</f>
        <v>3</v>
      </c>
      <c r="Q58" s="22">
        <f>SUBTOTAL(9,$C21:Q21)</f>
        <v>3</v>
      </c>
      <c r="R58" s="22">
        <f>SUBTOTAL(9,$C21:R21)</f>
        <v>3</v>
      </c>
      <c r="S58" s="22">
        <f>SUBTOTAL(9,$C21:S21)</f>
        <v>3</v>
      </c>
      <c r="T58" s="22">
        <f>SUBTOTAL(9,$T21:T21)</f>
        <v>0</v>
      </c>
      <c r="U58" s="22">
        <f>SUBTOTAL(9,$T21:U21)</f>
        <v>0</v>
      </c>
      <c r="V58" s="22">
        <f>SUBTOTAL(9,$T21:V21)</f>
        <v>0</v>
      </c>
      <c r="W58" s="22">
        <f>SUBTOTAL(9,$T21:W21)</f>
        <v>0</v>
      </c>
      <c r="X58" s="22">
        <f>SUBTOTAL(9,$T21:X21)</f>
        <v>0</v>
      </c>
      <c r="Y58" s="22">
        <f>SUBTOTAL(9,$T21:Y21)</f>
        <v>0</v>
      </c>
      <c r="Z58" s="22">
        <f>SUBTOTAL(9,$T21:Z21)</f>
        <v>0</v>
      </c>
      <c r="AA58" s="22">
        <f>SUBTOTAL(9,$T21:AA21)</f>
        <v>0</v>
      </c>
      <c r="AB58" s="22">
        <f>SUBTOTAL(9,$T21:AB21)</f>
        <v>0</v>
      </c>
      <c r="AC58" s="22">
        <f>SUBTOTAL(9,$T21:AC21)</f>
        <v>0</v>
      </c>
      <c r="AD58" s="22">
        <f>SUBTOTAL(9,$T21:AD21)</f>
        <v>0</v>
      </c>
      <c r="AE58" s="22">
        <f>SUBTOTAL(9,$T21:AE21)</f>
        <v>0</v>
      </c>
      <c r="AF58" s="22">
        <f>SUBTOTAL(9,$T21:AF21)</f>
        <v>0</v>
      </c>
      <c r="AG58" s="22">
        <f>SUBTOTAL(9,$T21:AG21)</f>
        <v>0</v>
      </c>
      <c r="AH58" s="22">
        <f>SUBTOTAL(9,$T21:AH21)</f>
        <v>0</v>
      </c>
      <c r="AI58" s="22">
        <f>SUBTOTAL(9,$T21:AI21)</f>
        <v>0</v>
      </c>
      <c r="AJ58" s="22">
        <f>SUBTOTAL(9,$T21:AJ21)</f>
        <v>0</v>
      </c>
    </row>
    <row r="59" spans="1:36" x14ac:dyDescent="0.25">
      <c r="A59" s="12" t="s">
        <v>116</v>
      </c>
      <c r="B59" s="12" t="s">
        <v>117</v>
      </c>
      <c r="C59" s="22">
        <f>SUBTOTAL(9,$C22:C22)</f>
        <v>0</v>
      </c>
      <c r="D59" s="22">
        <f>SUBTOTAL(9,$C22:D22)</f>
        <v>0</v>
      </c>
      <c r="E59" s="22">
        <f>SUBTOTAL(9,$C22:E22)</f>
        <v>0</v>
      </c>
      <c r="F59" s="22">
        <f>SUBTOTAL(9,$C22:F22)</f>
        <v>0</v>
      </c>
      <c r="G59" s="22">
        <f>SUBTOTAL(9,$C22:G22)</f>
        <v>0</v>
      </c>
      <c r="H59" s="22">
        <f>SUBTOTAL(9,$C22:H22)</f>
        <v>0</v>
      </c>
      <c r="I59" s="22">
        <f>SUBTOTAL(9,$C22:I22)</f>
        <v>0</v>
      </c>
      <c r="J59" s="22">
        <f>SUBTOTAL(9,$C22:J22)</f>
        <v>0</v>
      </c>
      <c r="K59" s="22">
        <f>SUBTOTAL(9,$C22:K22)</f>
        <v>0</v>
      </c>
      <c r="L59" s="22">
        <f>SUBTOTAL(9,$C22:L22)</f>
        <v>0</v>
      </c>
      <c r="M59" s="22">
        <f>SUBTOTAL(9,$C22:M22)</f>
        <v>0</v>
      </c>
      <c r="N59" s="22">
        <f>SUBTOTAL(9,$C22:N22)</f>
        <v>0</v>
      </c>
      <c r="O59" s="22">
        <f>SUBTOTAL(9,$C22:O22)</f>
        <v>0</v>
      </c>
      <c r="P59" s="22">
        <f>SUBTOTAL(9,$C22:P22)</f>
        <v>0</v>
      </c>
      <c r="Q59" s="22">
        <f>SUBTOTAL(9,$C22:Q22)</f>
        <v>0</v>
      </c>
      <c r="R59" s="22">
        <f>SUBTOTAL(9,$C22:R22)</f>
        <v>0</v>
      </c>
      <c r="S59" s="22">
        <f>SUBTOTAL(9,$C22:S22)</f>
        <v>0</v>
      </c>
      <c r="T59" s="22">
        <f>SUBTOTAL(9,$T22:T22)</f>
        <v>0</v>
      </c>
      <c r="U59" s="22">
        <f>SUBTOTAL(9,$T22:U22)</f>
        <v>0</v>
      </c>
      <c r="V59" s="22">
        <f>SUBTOTAL(9,$T22:V22)</f>
        <v>0</v>
      </c>
      <c r="W59" s="22">
        <f>SUBTOTAL(9,$T22:W22)</f>
        <v>0</v>
      </c>
      <c r="X59" s="22">
        <f>SUBTOTAL(9,$T22:X22)</f>
        <v>0</v>
      </c>
      <c r="Y59" s="22">
        <f>SUBTOTAL(9,$T22:Y22)</f>
        <v>0</v>
      </c>
      <c r="Z59" s="22">
        <f>SUBTOTAL(9,$T22:Z22)</f>
        <v>0</v>
      </c>
      <c r="AA59" s="22">
        <f>SUBTOTAL(9,$T22:AA22)</f>
        <v>0</v>
      </c>
      <c r="AB59" s="22">
        <f>SUBTOTAL(9,$T22:AB22)</f>
        <v>0</v>
      </c>
      <c r="AC59" s="22">
        <f>SUBTOTAL(9,$T22:AC22)</f>
        <v>0</v>
      </c>
      <c r="AD59" s="22">
        <f>SUBTOTAL(9,$T22:AD22)</f>
        <v>0</v>
      </c>
      <c r="AE59" s="22">
        <f>SUBTOTAL(9,$T22:AE22)</f>
        <v>0</v>
      </c>
      <c r="AF59" s="22">
        <f>SUBTOTAL(9,$T22:AF22)</f>
        <v>0</v>
      </c>
      <c r="AG59" s="22">
        <f>SUBTOTAL(9,$T22:AG22)</f>
        <v>0</v>
      </c>
      <c r="AH59" s="22">
        <f>SUBTOTAL(9,$T22:AH22)</f>
        <v>0</v>
      </c>
      <c r="AI59" s="22">
        <f>SUBTOTAL(9,$T22:AI22)</f>
        <v>0</v>
      </c>
      <c r="AJ59" s="22">
        <f>SUBTOTAL(9,$T22:AJ22)</f>
        <v>0</v>
      </c>
    </row>
    <row r="60" spans="1:36" x14ac:dyDescent="0.25">
      <c r="A60" s="12" t="s">
        <v>118</v>
      </c>
      <c r="B60" s="12" t="s">
        <v>119</v>
      </c>
      <c r="C60" s="22">
        <f>SUBTOTAL(9,$C23:C23)</f>
        <v>0</v>
      </c>
      <c r="D60" s="22">
        <f>SUBTOTAL(9,$C23:D23)</f>
        <v>0</v>
      </c>
      <c r="E60" s="22">
        <f>SUBTOTAL(9,$C23:E23)</f>
        <v>0</v>
      </c>
      <c r="F60" s="22">
        <f>SUBTOTAL(9,$C23:F23)</f>
        <v>0</v>
      </c>
      <c r="G60" s="22">
        <f>SUBTOTAL(9,$C23:G23)</f>
        <v>0</v>
      </c>
      <c r="H60" s="22">
        <f>SUBTOTAL(9,$C23:H23)</f>
        <v>0</v>
      </c>
      <c r="I60" s="22">
        <f>SUBTOTAL(9,$C23:I23)</f>
        <v>1</v>
      </c>
      <c r="J60" s="22">
        <f>SUBTOTAL(9,$C23:J23)</f>
        <v>1</v>
      </c>
      <c r="K60" s="22">
        <f>SUBTOTAL(9,$C23:K23)</f>
        <v>1</v>
      </c>
      <c r="L60" s="22">
        <f>SUBTOTAL(9,$C23:L23)</f>
        <v>1</v>
      </c>
      <c r="M60" s="22">
        <f>SUBTOTAL(9,$C23:M23)</f>
        <v>1</v>
      </c>
      <c r="N60" s="22">
        <f>SUBTOTAL(9,$C23:N23)</f>
        <v>1</v>
      </c>
      <c r="O60" s="22">
        <f>SUBTOTAL(9,$C23:O23)</f>
        <v>1</v>
      </c>
      <c r="P60" s="22">
        <f>SUBTOTAL(9,$C23:P23)</f>
        <v>1</v>
      </c>
      <c r="Q60" s="22">
        <f>SUBTOTAL(9,$C23:Q23)</f>
        <v>1</v>
      </c>
      <c r="R60" s="22">
        <f>SUBTOTAL(9,$C23:R23)</f>
        <v>1</v>
      </c>
      <c r="S60" s="22">
        <f>SUBTOTAL(9,$C23:S23)</f>
        <v>1</v>
      </c>
      <c r="T60" s="22">
        <f>SUBTOTAL(9,$T23:T23)</f>
        <v>0</v>
      </c>
      <c r="U60" s="22">
        <f>SUBTOTAL(9,$T23:U23)</f>
        <v>0</v>
      </c>
      <c r="V60" s="22">
        <f>SUBTOTAL(9,$T23:V23)</f>
        <v>0</v>
      </c>
      <c r="W60" s="22">
        <f>SUBTOTAL(9,$T23:W23)</f>
        <v>0</v>
      </c>
      <c r="X60" s="22">
        <f>SUBTOTAL(9,$T23:X23)</f>
        <v>0</v>
      </c>
      <c r="Y60" s="22">
        <f>SUBTOTAL(9,$T23:Y23)</f>
        <v>1</v>
      </c>
      <c r="Z60" s="22">
        <f>SUBTOTAL(9,$T23:Z23)</f>
        <v>1</v>
      </c>
      <c r="AA60" s="22">
        <f>SUBTOTAL(9,$T23:AA23)</f>
        <v>1</v>
      </c>
      <c r="AB60" s="22">
        <f>SUBTOTAL(9,$T23:AB23)</f>
        <v>1</v>
      </c>
      <c r="AC60" s="22">
        <f>SUBTOTAL(9,$T23:AC23)</f>
        <v>1</v>
      </c>
      <c r="AD60" s="22">
        <f>SUBTOTAL(9,$T23:AD23)</f>
        <v>1</v>
      </c>
      <c r="AE60" s="22">
        <f>SUBTOTAL(9,$T23:AE23)</f>
        <v>1</v>
      </c>
      <c r="AF60" s="22">
        <f>SUBTOTAL(9,$T23:AF23)</f>
        <v>1</v>
      </c>
      <c r="AG60" s="22">
        <f>SUBTOTAL(9,$T23:AG23)</f>
        <v>1</v>
      </c>
      <c r="AH60" s="22">
        <f>SUBTOTAL(9,$T23:AH23)</f>
        <v>1</v>
      </c>
      <c r="AI60" s="22">
        <f>SUBTOTAL(9,$T23:AI23)</f>
        <v>1</v>
      </c>
      <c r="AJ60" s="22">
        <f>SUBTOTAL(9,$T23:AJ23)</f>
        <v>1</v>
      </c>
    </row>
    <row r="61" spans="1:36" x14ac:dyDescent="0.25">
      <c r="A61" s="12" t="s">
        <v>120</v>
      </c>
      <c r="B61" s="12" t="s">
        <v>121</v>
      </c>
      <c r="C61" s="22">
        <f>SUBTOTAL(9,$C24:C24)</f>
        <v>0</v>
      </c>
      <c r="D61" s="22">
        <f>SUBTOTAL(9,$C24:D24)</f>
        <v>0</v>
      </c>
      <c r="E61" s="22">
        <f>SUBTOTAL(9,$C24:E24)</f>
        <v>1</v>
      </c>
      <c r="F61" s="22">
        <f>SUBTOTAL(9,$C24:F24)</f>
        <v>1</v>
      </c>
      <c r="G61" s="22">
        <f>SUBTOTAL(9,$C24:G24)</f>
        <v>1</v>
      </c>
      <c r="H61" s="22">
        <f>SUBTOTAL(9,$C24:H24)</f>
        <v>1</v>
      </c>
      <c r="I61" s="22">
        <f>SUBTOTAL(9,$C24:I24)</f>
        <v>1</v>
      </c>
      <c r="J61" s="22">
        <f>SUBTOTAL(9,$C24:J24)</f>
        <v>1</v>
      </c>
      <c r="K61" s="22">
        <f>SUBTOTAL(9,$C24:K24)</f>
        <v>1</v>
      </c>
      <c r="L61" s="22">
        <f>SUBTOTAL(9,$C24:L24)</f>
        <v>1</v>
      </c>
      <c r="M61" s="22">
        <f>SUBTOTAL(9,$C24:M24)</f>
        <v>1</v>
      </c>
      <c r="N61" s="22">
        <f>SUBTOTAL(9,$C24:N24)</f>
        <v>1</v>
      </c>
      <c r="O61" s="22">
        <f>SUBTOTAL(9,$C24:O24)</f>
        <v>1</v>
      </c>
      <c r="P61" s="22">
        <f>SUBTOTAL(9,$C24:P24)</f>
        <v>1</v>
      </c>
      <c r="Q61" s="22">
        <f>SUBTOTAL(9,$C24:Q24)</f>
        <v>1</v>
      </c>
      <c r="R61" s="22">
        <f>SUBTOTAL(9,$C24:R24)</f>
        <v>1</v>
      </c>
      <c r="S61" s="22">
        <f>SUBTOTAL(9,$C24:S24)</f>
        <v>1</v>
      </c>
      <c r="T61" s="22">
        <f>SUBTOTAL(9,$T24:T24)</f>
        <v>0</v>
      </c>
      <c r="U61" s="22">
        <f>SUBTOTAL(9,$T24:U24)</f>
        <v>0</v>
      </c>
      <c r="V61" s="22">
        <f>SUBTOTAL(9,$T24:V24)</f>
        <v>0</v>
      </c>
      <c r="W61" s="22">
        <f>SUBTOTAL(9,$T24:W24)</f>
        <v>0</v>
      </c>
      <c r="X61" s="22">
        <f>SUBTOTAL(9,$T24:X24)</f>
        <v>0</v>
      </c>
      <c r="Y61" s="22">
        <f>SUBTOTAL(9,$T24:Y24)</f>
        <v>0</v>
      </c>
      <c r="Z61" s="22">
        <f>SUBTOTAL(9,$T24:Z24)</f>
        <v>0</v>
      </c>
      <c r="AA61" s="22">
        <f>SUBTOTAL(9,$T24:AA24)</f>
        <v>0</v>
      </c>
      <c r="AB61" s="22">
        <f>SUBTOTAL(9,$T24:AB24)</f>
        <v>0</v>
      </c>
      <c r="AC61" s="22">
        <f>SUBTOTAL(9,$T24:AC24)</f>
        <v>0</v>
      </c>
      <c r="AD61" s="22">
        <f>SUBTOTAL(9,$T24:AD24)</f>
        <v>0</v>
      </c>
      <c r="AE61" s="22">
        <f>SUBTOTAL(9,$T24:AE24)</f>
        <v>0</v>
      </c>
      <c r="AF61" s="22">
        <f>SUBTOTAL(9,$T24:AF24)</f>
        <v>0</v>
      </c>
      <c r="AG61" s="22">
        <f>SUBTOTAL(9,$T24:AG24)</f>
        <v>0</v>
      </c>
      <c r="AH61" s="22">
        <f>SUBTOTAL(9,$T24:AH24)</f>
        <v>0</v>
      </c>
      <c r="AI61" s="22">
        <f>SUBTOTAL(9,$T24:AI24)</f>
        <v>0</v>
      </c>
      <c r="AJ61" s="22">
        <f>SUBTOTAL(9,$T24:AJ24)</f>
        <v>0</v>
      </c>
    </row>
    <row r="62" spans="1:36" x14ac:dyDescent="0.25">
      <c r="A62" s="12" t="s">
        <v>122</v>
      </c>
      <c r="B62" s="12" t="s">
        <v>123</v>
      </c>
      <c r="C62" s="22">
        <f>SUBTOTAL(9,$C25:C25)</f>
        <v>0</v>
      </c>
      <c r="D62" s="22">
        <f>SUBTOTAL(9,$C25:D25)</f>
        <v>0</v>
      </c>
      <c r="E62" s="22">
        <f>SUBTOTAL(9,$C25:E25)</f>
        <v>1</v>
      </c>
      <c r="F62" s="22">
        <f>SUBTOTAL(9,$C25:F25)</f>
        <v>1</v>
      </c>
      <c r="G62" s="22">
        <f>SUBTOTAL(9,$C25:G25)</f>
        <v>1</v>
      </c>
      <c r="H62" s="22">
        <f>SUBTOTAL(9,$C25:H25)</f>
        <v>2</v>
      </c>
      <c r="I62" s="22">
        <f>SUBTOTAL(9,$C25:I25)</f>
        <v>2</v>
      </c>
      <c r="J62" s="22">
        <f>SUBTOTAL(9,$C25:J25)</f>
        <v>2</v>
      </c>
      <c r="K62" s="22">
        <f>SUBTOTAL(9,$C25:K25)</f>
        <v>2</v>
      </c>
      <c r="L62" s="22">
        <f>SUBTOTAL(9,$C25:L25)</f>
        <v>2</v>
      </c>
      <c r="M62" s="22">
        <f>SUBTOTAL(9,$C25:M25)</f>
        <v>2</v>
      </c>
      <c r="N62" s="22">
        <f>SUBTOTAL(9,$C25:N25)</f>
        <v>2</v>
      </c>
      <c r="O62" s="22">
        <f>SUBTOTAL(9,$C25:O25)</f>
        <v>2</v>
      </c>
      <c r="P62" s="22">
        <f>SUBTOTAL(9,$C25:P25)</f>
        <v>2</v>
      </c>
      <c r="Q62" s="22">
        <f>SUBTOTAL(9,$C25:Q25)</f>
        <v>2</v>
      </c>
      <c r="R62" s="22">
        <f>SUBTOTAL(9,$C25:R25)</f>
        <v>2</v>
      </c>
      <c r="S62" s="22">
        <f>SUBTOTAL(9,$C25:S25)</f>
        <v>2</v>
      </c>
      <c r="T62" s="22">
        <f>SUBTOTAL(9,$T25:T25)</f>
        <v>0</v>
      </c>
      <c r="U62" s="22">
        <f>SUBTOTAL(9,$T25:U25)</f>
        <v>0</v>
      </c>
      <c r="V62" s="22">
        <f>SUBTOTAL(9,$T25:V25)</f>
        <v>0</v>
      </c>
      <c r="W62" s="22">
        <f>SUBTOTAL(9,$T25:W25)</f>
        <v>0</v>
      </c>
      <c r="X62" s="22">
        <f>SUBTOTAL(9,$T25:X25)</f>
        <v>0</v>
      </c>
      <c r="Y62" s="22">
        <f>SUBTOTAL(9,$T25:Y25)</f>
        <v>0</v>
      </c>
      <c r="Z62" s="22">
        <f>SUBTOTAL(9,$T25:Z25)</f>
        <v>0</v>
      </c>
      <c r="AA62" s="22">
        <f>SUBTOTAL(9,$T25:AA25)</f>
        <v>0</v>
      </c>
      <c r="AB62" s="22">
        <f>SUBTOTAL(9,$T25:AB25)</f>
        <v>0</v>
      </c>
      <c r="AC62" s="22">
        <f>SUBTOTAL(9,$T25:AC25)</f>
        <v>0</v>
      </c>
      <c r="AD62" s="22">
        <f>SUBTOTAL(9,$T25:AD25)</f>
        <v>0</v>
      </c>
      <c r="AE62" s="22">
        <f>SUBTOTAL(9,$T25:AE25)</f>
        <v>0</v>
      </c>
      <c r="AF62" s="22">
        <f>SUBTOTAL(9,$T25:AF25)</f>
        <v>1</v>
      </c>
      <c r="AG62" s="22">
        <f>SUBTOTAL(9,$T25:AG25)</f>
        <v>1</v>
      </c>
      <c r="AH62" s="22">
        <f>SUBTOTAL(9,$T25:AH25)</f>
        <v>1</v>
      </c>
      <c r="AI62" s="22">
        <f>SUBTOTAL(9,$T25:AI25)</f>
        <v>1</v>
      </c>
      <c r="AJ62" s="22">
        <f>SUBTOTAL(9,$T25:AJ25)</f>
        <v>1</v>
      </c>
    </row>
    <row r="63" spans="1:36" x14ac:dyDescent="0.25">
      <c r="A63" s="12" t="s">
        <v>124</v>
      </c>
      <c r="B63" s="12" t="s">
        <v>125</v>
      </c>
      <c r="C63" s="22">
        <f>SUBTOTAL(9,$C26:C26)</f>
        <v>0</v>
      </c>
      <c r="D63" s="22">
        <f>SUBTOTAL(9,$C26:D26)</f>
        <v>0</v>
      </c>
      <c r="E63" s="22">
        <f>SUBTOTAL(9,$C26:E26)</f>
        <v>0</v>
      </c>
      <c r="F63" s="22">
        <f>SUBTOTAL(9,$C26:F26)</f>
        <v>0</v>
      </c>
      <c r="G63" s="22">
        <f>SUBTOTAL(9,$C26:G26)</f>
        <v>0</v>
      </c>
      <c r="H63" s="22">
        <f>SUBTOTAL(9,$C26:H26)</f>
        <v>0</v>
      </c>
      <c r="I63" s="22">
        <f>SUBTOTAL(9,$C26:I26)</f>
        <v>0</v>
      </c>
      <c r="J63" s="22">
        <f>SUBTOTAL(9,$C26:J26)</f>
        <v>0</v>
      </c>
      <c r="K63" s="22">
        <f>SUBTOTAL(9,$C26:K26)</f>
        <v>0</v>
      </c>
      <c r="L63" s="22">
        <f>SUBTOTAL(9,$C26:L26)</f>
        <v>0</v>
      </c>
      <c r="M63" s="22">
        <f>SUBTOTAL(9,$C26:M26)</f>
        <v>0</v>
      </c>
      <c r="N63" s="22">
        <f>SUBTOTAL(9,$C26:N26)</f>
        <v>0</v>
      </c>
      <c r="O63" s="22">
        <f>SUBTOTAL(9,$C26:O26)</f>
        <v>0</v>
      </c>
      <c r="P63" s="22">
        <f>SUBTOTAL(9,$C26:P26)</f>
        <v>0</v>
      </c>
      <c r="Q63" s="22">
        <f>SUBTOTAL(9,$C26:Q26)</f>
        <v>0</v>
      </c>
      <c r="R63" s="22">
        <f>SUBTOTAL(9,$C26:R26)</f>
        <v>0</v>
      </c>
      <c r="S63" s="22">
        <f>SUBTOTAL(9,$C26:S26)</f>
        <v>0</v>
      </c>
      <c r="T63" s="22">
        <f>SUBTOTAL(9,$T26:T26)</f>
        <v>0</v>
      </c>
      <c r="U63" s="22">
        <f>SUBTOTAL(9,$T26:U26)</f>
        <v>0</v>
      </c>
      <c r="V63" s="22">
        <f>SUBTOTAL(9,$T26:V26)</f>
        <v>0</v>
      </c>
      <c r="W63" s="22">
        <f>SUBTOTAL(9,$T26:W26)</f>
        <v>0</v>
      </c>
      <c r="X63" s="22">
        <f>SUBTOTAL(9,$T26:X26)</f>
        <v>0</v>
      </c>
      <c r="Y63" s="22">
        <f>SUBTOTAL(9,$T26:Y26)</f>
        <v>0</v>
      </c>
      <c r="Z63" s="22">
        <f>SUBTOTAL(9,$T26:Z26)</f>
        <v>0</v>
      </c>
      <c r="AA63" s="22">
        <f>SUBTOTAL(9,$T26:AA26)</f>
        <v>0</v>
      </c>
      <c r="AB63" s="22">
        <f>SUBTOTAL(9,$T26:AB26)</f>
        <v>1</v>
      </c>
      <c r="AC63" s="22">
        <f>SUBTOTAL(9,$T26:AC26)</f>
        <v>1</v>
      </c>
      <c r="AD63" s="22">
        <f>SUBTOTAL(9,$T26:AD26)</f>
        <v>1</v>
      </c>
      <c r="AE63" s="22">
        <f>SUBTOTAL(9,$T26:AE26)</f>
        <v>1</v>
      </c>
      <c r="AF63" s="22">
        <f>SUBTOTAL(9,$T26:AF26)</f>
        <v>1</v>
      </c>
      <c r="AG63" s="22">
        <f>SUBTOTAL(9,$T26:AG26)</f>
        <v>1</v>
      </c>
      <c r="AH63" s="22">
        <f>SUBTOTAL(9,$T26:AH26)</f>
        <v>1</v>
      </c>
      <c r="AI63" s="22">
        <f>SUBTOTAL(9,$T26:AI26)</f>
        <v>1</v>
      </c>
      <c r="AJ63" s="22">
        <f>SUBTOTAL(9,$T26:AJ26)</f>
        <v>1</v>
      </c>
    </row>
    <row r="64" spans="1:36" x14ac:dyDescent="0.25">
      <c r="A64" s="12" t="s">
        <v>126</v>
      </c>
      <c r="B64" s="12" t="s">
        <v>127</v>
      </c>
      <c r="C64" s="22">
        <f>SUBTOTAL(9,$C27:C27)</f>
        <v>1</v>
      </c>
      <c r="D64" s="22">
        <f>SUBTOTAL(9,$C27:D27)</f>
        <v>1</v>
      </c>
      <c r="E64" s="22">
        <f>SUBTOTAL(9,$C27:E27)</f>
        <v>2</v>
      </c>
      <c r="F64" s="22">
        <f>SUBTOTAL(9,$C27:F27)</f>
        <v>2</v>
      </c>
      <c r="G64" s="22">
        <f>SUBTOTAL(9,$C27:G27)</f>
        <v>4</v>
      </c>
      <c r="H64" s="22">
        <f>SUBTOTAL(9,$C27:H27)</f>
        <v>5</v>
      </c>
      <c r="I64" s="22">
        <f>SUBTOTAL(9,$C27:I27)</f>
        <v>5</v>
      </c>
      <c r="J64" s="22">
        <f>SUBTOTAL(9,$C27:J27)</f>
        <v>5</v>
      </c>
      <c r="K64" s="22">
        <f>SUBTOTAL(9,$C27:K27)</f>
        <v>5</v>
      </c>
      <c r="L64" s="22">
        <f>SUBTOTAL(9,$C27:L27)</f>
        <v>5</v>
      </c>
      <c r="M64" s="22">
        <f>SUBTOTAL(9,$C27:M27)</f>
        <v>5</v>
      </c>
      <c r="N64" s="22">
        <f>SUBTOTAL(9,$C27:N27)</f>
        <v>5</v>
      </c>
      <c r="O64" s="22">
        <f>SUBTOTAL(9,$C27:O27)</f>
        <v>5</v>
      </c>
      <c r="P64" s="22">
        <f>SUBTOTAL(9,$C27:P27)</f>
        <v>5</v>
      </c>
      <c r="Q64" s="22">
        <f>SUBTOTAL(9,$C27:Q27)</f>
        <v>5</v>
      </c>
      <c r="R64" s="22">
        <f>SUBTOTAL(9,$C27:R27)</f>
        <v>5</v>
      </c>
      <c r="S64" s="22">
        <f>SUBTOTAL(9,$C27:S27)</f>
        <v>5</v>
      </c>
      <c r="T64" s="22">
        <f>SUBTOTAL(9,$T27:T27)</f>
        <v>1</v>
      </c>
      <c r="U64" s="22">
        <f>SUBTOTAL(9,$T27:U27)</f>
        <v>1</v>
      </c>
      <c r="V64" s="22">
        <f>SUBTOTAL(9,$T27:V27)</f>
        <v>1</v>
      </c>
      <c r="W64" s="22">
        <f>SUBTOTAL(9,$T27:W27)</f>
        <v>1</v>
      </c>
      <c r="X64" s="22">
        <f>SUBTOTAL(9,$T27:X27)</f>
        <v>1</v>
      </c>
      <c r="Y64" s="22">
        <f>SUBTOTAL(9,$T27:Y27)</f>
        <v>1</v>
      </c>
      <c r="Z64" s="22">
        <f>SUBTOTAL(9,$T27:Z27)</f>
        <v>1</v>
      </c>
      <c r="AA64" s="22">
        <f>SUBTOTAL(9,$T27:AA27)</f>
        <v>1</v>
      </c>
      <c r="AB64" s="22">
        <f>SUBTOTAL(9,$T27:AB27)</f>
        <v>1</v>
      </c>
      <c r="AC64" s="22">
        <f>SUBTOTAL(9,$T27:AC27)</f>
        <v>1</v>
      </c>
      <c r="AD64" s="22">
        <f>SUBTOTAL(9,$T27:AD27)</f>
        <v>1</v>
      </c>
      <c r="AE64" s="22">
        <f>SUBTOTAL(9,$T27:AE27)</f>
        <v>1</v>
      </c>
      <c r="AF64" s="22">
        <f>SUBTOTAL(9,$T27:AF27)</f>
        <v>1</v>
      </c>
      <c r="AG64" s="22">
        <f>SUBTOTAL(9,$T27:AG27)</f>
        <v>1</v>
      </c>
      <c r="AH64" s="22">
        <f>SUBTOTAL(9,$T27:AH27)</f>
        <v>1</v>
      </c>
      <c r="AI64" s="22">
        <f>SUBTOTAL(9,$T27:AI27)</f>
        <v>1</v>
      </c>
      <c r="AJ64" s="22">
        <f>SUBTOTAL(9,$T27:AJ27)</f>
        <v>1</v>
      </c>
    </row>
    <row r="65" spans="1:36" x14ac:dyDescent="0.25">
      <c r="A65" s="12" t="s">
        <v>128</v>
      </c>
      <c r="B65" s="12" t="s">
        <v>129</v>
      </c>
      <c r="C65" s="22">
        <f>SUBTOTAL(9,$C28:C28)</f>
        <v>0</v>
      </c>
      <c r="D65" s="22">
        <f>SUBTOTAL(9,$C28:D28)</f>
        <v>1</v>
      </c>
      <c r="E65" s="22">
        <f>SUBTOTAL(9,$C28:E28)</f>
        <v>4</v>
      </c>
      <c r="F65" s="22">
        <f>SUBTOTAL(9,$C28:F28)</f>
        <v>4</v>
      </c>
      <c r="G65" s="22">
        <f>SUBTOTAL(9,$C28:G28)</f>
        <v>9</v>
      </c>
      <c r="H65" s="22">
        <f>SUBTOTAL(9,$C28:H28)</f>
        <v>14</v>
      </c>
      <c r="I65" s="22">
        <f>SUBTOTAL(9,$C28:I28)</f>
        <v>15</v>
      </c>
      <c r="J65" s="22">
        <f>SUBTOTAL(9,$C28:J28)</f>
        <v>15</v>
      </c>
      <c r="K65" s="22">
        <f>SUBTOTAL(9,$C28:K28)</f>
        <v>15</v>
      </c>
      <c r="L65" s="22">
        <f>SUBTOTAL(9,$C28:L28)</f>
        <v>19</v>
      </c>
      <c r="M65" s="22">
        <f>SUBTOTAL(9,$C28:M28)</f>
        <v>24</v>
      </c>
      <c r="N65" s="22">
        <f>SUBTOTAL(9,$C28:N28)</f>
        <v>24</v>
      </c>
      <c r="O65" s="22">
        <f>SUBTOTAL(9,$C28:O28)</f>
        <v>24</v>
      </c>
      <c r="P65" s="22">
        <f>SUBTOTAL(9,$C28:P28)</f>
        <v>26</v>
      </c>
      <c r="Q65" s="22">
        <f>SUBTOTAL(9,$C28:Q28)</f>
        <v>26</v>
      </c>
      <c r="R65" s="22">
        <f>SUBTOTAL(9,$C28:R28)</f>
        <v>26</v>
      </c>
      <c r="S65" s="22">
        <f>SUBTOTAL(9,$C28:S28)</f>
        <v>26</v>
      </c>
      <c r="T65" s="22">
        <f>SUBTOTAL(9,$T28:T28)</f>
        <v>1</v>
      </c>
      <c r="U65" s="22">
        <f>SUBTOTAL(9,$T28:U28)</f>
        <v>1</v>
      </c>
      <c r="V65" s="22">
        <f>SUBTOTAL(9,$T28:V28)</f>
        <v>1</v>
      </c>
      <c r="W65" s="22">
        <f>SUBTOTAL(9,$T28:W28)</f>
        <v>1</v>
      </c>
      <c r="X65" s="22">
        <f>SUBTOTAL(9,$T28:X28)</f>
        <v>1</v>
      </c>
      <c r="Y65" s="22">
        <f>SUBTOTAL(9,$T28:Y28)</f>
        <v>3</v>
      </c>
      <c r="Z65" s="22">
        <f>SUBTOTAL(9,$T28:Z28)</f>
        <v>6</v>
      </c>
      <c r="AA65" s="22">
        <f>SUBTOTAL(9,$T28:AA28)</f>
        <v>6</v>
      </c>
      <c r="AB65" s="22">
        <f>SUBTOTAL(9,$T28:AB28)</f>
        <v>6</v>
      </c>
      <c r="AC65" s="22">
        <f>SUBTOTAL(9,$T28:AC28)</f>
        <v>6</v>
      </c>
      <c r="AD65" s="22">
        <f>SUBTOTAL(9,$T28:AD28)</f>
        <v>7</v>
      </c>
      <c r="AE65" s="22">
        <f>SUBTOTAL(9,$T28:AE28)</f>
        <v>7</v>
      </c>
      <c r="AF65" s="22">
        <f>SUBTOTAL(9,$T28:AF28)</f>
        <v>8</v>
      </c>
      <c r="AG65" s="22">
        <f>SUBTOTAL(9,$T28:AG28)</f>
        <v>12</v>
      </c>
      <c r="AH65" s="22">
        <f>SUBTOTAL(9,$T28:AH28)</f>
        <v>14</v>
      </c>
      <c r="AI65" s="22">
        <f>SUBTOTAL(9,$T28:AI28)</f>
        <v>14</v>
      </c>
      <c r="AJ65" s="22">
        <f>SUBTOTAL(9,$T28:AJ28)</f>
        <v>14</v>
      </c>
    </row>
    <row r="66" spans="1:36" x14ac:dyDescent="0.25">
      <c r="A66" s="12" t="s">
        <v>130</v>
      </c>
      <c r="B66" s="12" t="s">
        <v>131</v>
      </c>
      <c r="C66" s="22">
        <f>SUBTOTAL(9,$C29:C29)</f>
        <v>0</v>
      </c>
      <c r="D66" s="22">
        <f>SUBTOTAL(9,$C29:D29)</f>
        <v>0</v>
      </c>
      <c r="E66" s="22">
        <f>SUBTOTAL(9,$C29:E29)</f>
        <v>1</v>
      </c>
      <c r="F66" s="22">
        <f>SUBTOTAL(9,$C29:F29)</f>
        <v>1</v>
      </c>
      <c r="G66" s="22">
        <f>SUBTOTAL(9,$C29:G29)</f>
        <v>1</v>
      </c>
      <c r="H66" s="22">
        <f>SUBTOTAL(9,$C29:H29)</f>
        <v>1</v>
      </c>
      <c r="I66" s="22">
        <f>SUBTOTAL(9,$C29:I29)</f>
        <v>1</v>
      </c>
      <c r="J66" s="22">
        <f>SUBTOTAL(9,$C29:J29)</f>
        <v>1</v>
      </c>
      <c r="K66" s="22">
        <f>SUBTOTAL(9,$C29:K29)</f>
        <v>1</v>
      </c>
      <c r="L66" s="22">
        <f>SUBTOTAL(9,$C29:L29)</f>
        <v>1</v>
      </c>
      <c r="M66" s="22">
        <f>SUBTOTAL(9,$C29:M29)</f>
        <v>1</v>
      </c>
      <c r="N66" s="22">
        <f>SUBTOTAL(9,$C29:N29)</f>
        <v>1</v>
      </c>
      <c r="O66" s="22">
        <f>SUBTOTAL(9,$C29:O29)</f>
        <v>1</v>
      </c>
      <c r="P66" s="22">
        <f>SUBTOTAL(9,$C29:P29)</f>
        <v>1</v>
      </c>
      <c r="Q66" s="22">
        <f>SUBTOTAL(9,$C29:Q29)</f>
        <v>3</v>
      </c>
      <c r="R66" s="22">
        <f>SUBTOTAL(9,$C29:R29)</f>
        <v>3</v>
      </c>
      <c r="S66" s="22">
        <f>SUBTOTAL(9,$C29:S29)</f>
        <v>3</v>
      </c>
      <c r="T66" s="22">
        <f>SUBTOTAL(9,$T29:T29)</f>
        <v>0</v>
      </c>
      <c r="U66" s="22">
        <f>SUBTOTAL(9,$T29:U29)</f>
        <v>0</v>
      </c>
      <c r="V66" s="22">
        <f>SUBTOTAL(9,$T29:V29)</f>
        <v>0</v>
      </c>
      <c r="W66" s="22">
        <f>SUBTOTAL(9,$T29:W29)</f>
        <v>0</v>
      </c>
      <c r="X66" s="22">
        <f>SUBTOTAL(9,$T29:X29)</f>
        <v>0</v>
      </c>
      <c r="Y66" s="22">
        <f>SUBTOTAL(9,$T29:Y29)</f>
        <v>0</v>
      </c>
      <c r="Z66" s="22">
        <f>SUBTOTAL(9,$T29:Z29)</f>
        <v>0</v>
      </c>
      <c r="AA66" s="22">
        <f>SUBTOTAL(9,$T29:AA29)</f>
        <v>0</v>
      </c>
      <c r="AB66" s="22">
        <f>SUBTOTAL(9,$T29:AB29)</f>
        <v>0</v>
      </c>
      <c r="AC66" s="22">
        <f>SUBTOTAL(9,$T29:AC29)</f>
        <v>0</v>
      </c>
      <c r="AD66" s="22">
        <f>SUBTOTAL(9,$T29:AD29)</f>
        <v>0</v>
      </c>
      <c r="AE66" s="22">
        <f>SUBTOTAL(9,$T29:AE29)</f>
        <v>0</v>
      </c>
      <c r="AF66" s="22">
        <f>SUBTOTAL(9,$T29:AF29)</f>
        <v>0</v>
      </c>
      <c r="AG66" s="22">
        <f>SUBTOTAL(9,$T29:AG29)</f>
        <v>1</v>
      </c>
      <c r="AH66" s="22">
        <f>SUBTOTAL(9,$T29:AH29)</f>
        <v>1</v>
      </c>
      <c r="AI66" s="22">
        <f>SUBTOTAL(9,$T29:AI29)</f>
        <v>1</v>
      </c>
      <c r="AJ66" s="22">
        <f>SUBTOTAL(9,$T29:AJ29)</f>
        <v>1</v>
      </c>
    </row>
    <row r="67" spans="1:36" x14ac:dyDescent="0.25">
      <c r="A67" s="12" t="s">
        <v>132</v>
      </c>
      <c r="B67" s="12" t="s">
        <v>133</v>
      </c>
      <c r="C67" s="22">
        <f>SUBTOTAL(9,$C30:C30)</f>
        <v>0</v>
      </c>
      <c r="D67" s="22">
        <f>SUBTOTAL(9,$C30:D30)</f>
        <v>1</v>
      </c>
      <c r="E67" s="22">
        <f>SUBTOTAL(9,$C30:E30)</f>
        <v>1</v>
      </c>
      <c r="F67" s="22">
        <f>SUBTOTAL(9,$C30:F30)</f>
        <v>1</v>
      </c>
      <c r="G67" s="22">
        <f>SUBTOTAL(9,$C30:G30)</f>
        <v>4</v>
      </c>
      <c r="H67" s="22">
        <f>SUBTOTAL(9,$C30:H30)</f>
        <v>6</v>
      </c>
      <c r="I67" s="22">
        <f>SUBTOTAL(9,$C30:I30)</f>
        <v>7</v>
      </c>
      <c r="J67" s="22">
        <f>SUBTOTAL(9,$C30:J30)</f>
        <v>7</v>
      </c>
      <c r="K67" s="22">
        <f>SUBTOTAL(9,$C30:K30)</f>
        <v>7</v>
      </c>
      <c r="L67" s="22">
        <f>SUBTOTAL(9,$C30:L30)</f>
        <v>8</v>
      </c>
      <c r="M67" s="22">
        <f>SUBTOTAL(9,$C30:M30)</f>
        <v>9</v>
      </c>
      <c r="N67" s="22">
        <f>SUBTOTAL(9,$C30:N30)</f>
        <v>9</v>
      </c>
      <c r="O67" s="22">
        <f>SUBTOTAL(9,$C30:O30)</f>
        <v>9</v>
      </c>
      <c r="P67" s="22">
        <f>SUBTOTAL(9,$C30:P30)</f>
        <v>9</v>
      </c>
      <c r="Q67" s="22">
        <f>SUBTOTAL(9,$C30:Q30)</f>
        <v>10</v>
      </c>
      <c r="R67" s="22">
        <f>SUBTOTAL(9,$C30:R30)</f>
        <v>10</v>
      </c>
      <c r="S67" s="22">
        <f>SUBTOTAL(9,$C30:S30)</f>
        <v>10</v>
      </c>
      <c r="T67" s="22">
        <f>SUBTOTAL(9,$T30:T30)</f>
        <v>2</v>
      </c>
      <c r="U67" s="22">
        <f>SUBTOTAL(9,$T30:U30)</f>
        <v>4</v>
      </c>
      <c r="V67" s="22">
        <f>SUBTOTAL(9,$T30:V30)</f>
        <v>5</v>
      </c>
      <c r="W67" s="22">
        <f>SUBTOTAL(9,$T30:W30)</f>
        <v>5</v>
      </c>
      <c r="X67" s="22">
        <f>SUBTOTAL(9,$T30:X30)</f>
        <v>7</v>
      </c>
      <c r="Y67" s="22">
        <f>SUBTOTAL(9,$T30:Y30)</f>
        <v>8</v>
      </c>
      <c r="Z67" s="22">
        <f>SUBTOTAL(9,$T30:Z30)</f>
        <v>8</v>
      </c>
      <c r="AA67" s="22">
        <f>SUBTOTAL(9,$T30:AA30)</f>
        <v>8</v>
      </c>
      <c r="AB67" s="22">
        <f>SUBTOTAL(9,$T30:AB30)</f>
        <v>8</v>
      </c>
      <c r="AC67" s="22">
        <f>SUBTOTAL(9,$T30:AC30)</f>
        <v>9</v>
      </c>
      <c r="AD67" s="22">
        <f>SUBTOTAL(9,$T30:AD30)</f>
        <v>9</v>
      </c>
      <c r="AE67" s="22">
        <f>SUBTOTAL(9,$T30:AE30)</f>
        <v>9</v>
      </c>
      <c r="AF67" s="22">
        <f>SUBTOTAL(9,$T30:AF30)</f>
        <v>10</v>
      </c>
      <c r="AG67" s="22">
        <f>SUBTOTAL(9,$T30:AG30)</f>
        <v>10</v>
      </c>
      <c r="AH67" s="22">
        <f>SUBTOTAL(9,$T30:AH30)</f>
        <v>10</v>
      </c>
      <c r="AI67" s="22">
        <f>SUBTOTAL(9,$T30:AI30)</f>
        <v>10</v>
      </c>
      <c r="AJ67" s="22">
        <f>SUBTOTAL(9,$T30:AJ30)</f>
        <v>10</v>
      </c>
    </row>
    <row r="68" spans="1:36" x14ac:dyDescent="0.25">
      <c r="A68" s="12" t="s">
        <v>134</v>
      </c>
      <c r="B68" s="12" t="s">
        <v>135</v>
      </c>
      <c r="C68" s="22">
        <f>SUBTOTAL(9,$C31:C31)</f>
        <v>0</v>
      </c>
      <c r="D68" s="22">
        <f>SUBTOTAL(9,$C31:D31)</f>
        <v>0</v>
      </c>
      <c r="E68" s="22">
        <f>SUBTOTAL(9,$C31:E31)</f>
        <v>0</v>
      </c>
      <c r="F68" s="22">
        <f>SUBTOTAL(9,$C31:F31)</f>
        <v>0</v>
      </c>
      <c r="G68" s="22">
        <f>SUBTOTAL(9,$C31:G31)</f>
        <v>0</v>
      </c>
      <c r="H68" s="22">
        <f>SUBTOTAL(9,$C31:H31)</f>
        <v>0</v>
      </c>
      <c r="I68" s="22">
        <f>SUBTOTAL(9,$C31:I31)</f>
        <v>0</v>
      </c>
      <c r="J68" s="22">
        <f>SUBTOTAL(9,$C31:J31)</f>
        <v>0</v>
      </c>
      <c r="K68" s="22">
        <f>SUBTOTAL(9,$C31:K31)</f>
        <v>0</v>
      </c>
      <c r="L68" s="22">
        <f>SUBTOTAL(9,$C31:L31)</f>
        <v>0</v>
      </c>
      <c r="M68" s="22">
        <f>SUBTOTAL(9,$C31:M31)</f>
        <v>0</v>
      </c>
      <c r="N68" s="22">
        <f>SUBTOTAL(9,$C31:N31)</f>
        <v>0</v>
      </c>
      <c r="O68" s="22">
        <f>SUBTOTAL(9,$C31:O31)</f>
        <v>0</v>
      </c>
      <c r="P68" s="22">
        <f>SUBTOTAL(9,$C31:P31)</f>
        <v>0</v>
      </c>
      <c r="Q68" s="22">
        <f>SUBTOTAL(9,$C31:Q31)</f>
        <v>0</v>
      </c>
      <c r="R68" s="22">
        <f>SUBTOTAL(9,$C31:R31)</f>
        <v>0</v>
      </c>
      <c r="S68" s="22">
        <f>SUBTOTAL(9,$C31:S31)</f>
        <v>0</v>
      </c>
      <c r="T68" s="22">
        <f>SUBTOTAL(9,$T31:T31)</f>
        <v>0</v>
      </c>
      <c r="U68" s="22">
        <f>SUBTOTAL(9,$T31:U31)</f>
        <v>0</v>
      </c>
      <c r="V68" s="22">
        <f>SUBTOTAL(9,$T31:V31)</f>
        <v>0</v>
      </c>
      <c r="W68" s="22">
        <f>SUBTOTAL(9,$T31:W31)</f>
        <v>0</v>
      </c>
      <c r="X68" s="22">
        <f>SUBTOTAL(9,$T31:X31)</f>
        <v>0</v>
      </c>
      <c r="Y68" s="22">
        <f>SUBTOTAL(9,$T31:Y31)</f>
        <v>0</v>
      </c>
      <c r="Z68" s="22">
        <f>SUBTOTAL(9,$T31:Z31)</f>
        <v>0</v>
      </c>
      <c r="AA68" s="22">
        <f>SUBTOTAL(9,$T31:AA31)</f>
        <v>0</v>
      </c>
      <c r="AB68" s="22">
        <f>SUBTOTAL(9,$T31:AB31)</f>
        <v>0</v>
      </c>
      <c r="AC68" s="22">
        <f>SUBTOTAL(9,$T31:AC31)</f>
        <v>0</v>
      </c>
      <c r="AD68" s="22">
        <f>SUBTOTAL(9,$T31:AD31)</f>
        <v>0</v>
      </c>
      <c r="AE68" s="22">
        <f>SUBTOTAL(9,$T31:AE31)</f>
        <v>0</v>
      </c>
      <c r="AF68" s="22">
        <f>SUBTOTAL(9,$T31:AF31)</f>
        <v>0</v>
      </c>
      <c r="AG68" s="22">
        <f>SUBTOTAL(9,$T31:AG31)</f>
        <v>0</v>
      </c>
      <c r="AH68" s="22">
        <f>SUBTOTAL(9,$T31:AH31)</f>
        <v>0</v>
      </c>
      <c r="AI68" s="22">
        <f>SUBTOTAL(9,$T31:AI31)</f>
        <v>0</v>
      </c>
      <c r="AJ68" s="22">
        <f>SUBTOTAL(9,$T31:AJ31)</f>
        <v>0</v>
      </c>
    </row>
    <row r="69" spans="1:36" x14ac:dyDescent="0.25">
      <c r="A69" s="12" t="s">
        <v>136</v>
      </c>
      <c r="B69" s="12" t="s">
        <v>137</v>
      </c>
      <c r="C69" s="22">
        <f>SUBTOTAL(9,$C32:C32)</f>
        <v>0</v>
      </c>
      <c r="D69" s="22">
        <f>SUBTOTAL(9,$C32:D32)</f>
        <v>0</v>
      </c>
      <c r="E69" s="22">
        <f>SUBTOTAL(9,$C32:E32)</f>
        <v>0</v>
      </c>
      <c r="F69" s="22">
        <f>SUBTOTAL(9,$C32:F32)</f>
        <v>0</v>
      </c>
      <c r="G69" s="22">
        <f>SUBTOTAL(9,$C32:G32)</f>
        <v>0</v>
      </c>
      <c r="H69" s="22">
        <f>SUBTOTAL(9,$C32:H32)</f>
        <v>0</v>
      </c>
      <c r="I69" s="22">
        <f>SUBTOTAL(9,$C32:I32)</f>
        <v>0</v>
      </c>
      <c r="J69" s="22">
        <f>SUBTOTAL(9,$C32:J32)</f>
        <v>0</v>
      </c>
      <c r="K69" s="22">
        <f>SUBTOTAL(9,$C32:K32)</f>
        <v>0</v>
      </c>
      <c r="L69" s="22">
        <f>SUBTOTAL(9,$C32:L32)</f>
        <v>0</v>
      </c>
      <c r="M69" s="22">
        <f>SUBTOTAL(9,$C32:M32)</f>
        <v>0</v>
      </c>
      <c r="N69" s="22">
        <f>SUBTOTAL(9,$C32:N32)</f>
        <v>0</v>
      </c>
      <c r="O69" s="22">
        <f>SUBTOTAL(9,$C32:O32)</f>
        <v>0</v>
      </c>
      <c r="P69" s="22">
        <f>SUBTOTAL(9,$C32:P32)</f>
        <v>0</v>
      </c>
      <c r="Q69" s="22">
        <f>SUBTOTAL(9,$C32:Q32)</f>
        <v>0</v>
      </c>
      <c r="R69" s="22">
        <f>SUBTOTAL(9,$C32:R32)</f>
        <v>0</v>
      </c>
      <c r="S69" s="22">
        <f>SUBTOTAL(9,$C32:S32)</f>
        <v>0</v>
      </c>
      <c r="T69" s="22">
        <f>SUBTOTAL(9,$T32:T32)</f>
        <v>0</v>
      </c>
      <c r="U69" s="22">
        <f>SUBTOTAL(9,$T32:U32)</f>
        <v>0</v>
      </c>
      <c r="V69" s="22">
        <f>SUBTOTAL(9,$T32:V32)</f>
        <v>0</v>
      </c>
      <c r="W69" s="22">
        <f>SUBTOTAL(9,$T32:W32)</f>
        <v>0</v>
      </c>
      <c r="X69" s="22">
        <f>SUBTOTAL(9,$T32:X32)</f>
        <v>0</v>
      </c>
      <c r="Y69" s="22">
        <f>SUBTOTAL(9,$T32:Y32)</f>
        <v>0</v>
      </c>
      <c r="Z69" s="22">
        <f>SUBTOTAL(9,$T32:Z32)</f>
        <v>0</v>
      </c>
      <c r="AA69" s="22">
        <f>SUBTOTAL(9,$T32:AA32)</f>
        <v>0</v>
      </c>
      <c r="AB69" s="22">
        <f>SUBTOTAL(9,$T32:AB32)</f>
        <v>0</v>
      </c>
      <c r="AC69" s="22">
        <f>SUBTOTAL(9,$T32:AC32)</f>
        <v>0</v>
      </c>
      <c r="AD69" s="22">
        <f>SUBTOTAL(9,$T32:AD32)</f>
        <v>0</v>
      </c>
      <c r="AE69" s="22">
        <f>SUBTOTAL(9,$T32:AE32)</f>
        <v>0</v>
      </c>
      <c r="AF69" s="22">
        <f>SUBTOTAL(9,$T32:AF32)</f>
        <v>0</v>
      </c>
      <c r="AG69" s="22">
        <f>SUBTOTAL(9,$T32:AG32)</f>
        <v>0</v>
      </c>
      <c r="AH69" s="22">
        <f>SUBTOTAL(9,$T32:AH32)</f>
        <v>0</v>
      </c>
      <c r="AI69" s="22">
        <f>SUBTOTAL(9,$T32:AI32)</f>
        <v>0</v>
      </c>
      <c r="AJ69" s="22">
        <f>SUBTOTAL(9,$T32:AJ32)</f>
        <v>0</v>
      </c>
    </row>
    <row r="70" spans="1:36" x14ac:dyDescent="0.25">
      <c r="A70" s="12" t="s">
        <v>138</v>
      </c>
      <c r="B70" s="12" t="s">
        <v>139</v>
      </c>
      <c r="C70" s="22">
        <f>SUBTOTAL(9,$C33:C33)</f>
        <v>0</v>
      </c>
      <c r="D70" s="22">
        <f>SUBTOTAL(9,$C33:D33)</f>
        <v>0</v>
      </c>
      <c r="E70" s="22">
        <f>SUBTOTAL(9,$C33:E33)</f>
        <v>0</v>
      </c>
      <c r="F70" s="22">
        <f>SUBTOTAL(9,$C33:F33)</f>
        <v>0</v>
      </c>
      <c r="G70" s="22">
        <f>SUBTOTAL(9,$C33:G33)</f>
        <v>0</v>
      </c>
      <c r="H70" s="22">
        <f>SUBTOTAL(9,$C33:H33)</f>
        <v>0</v>
      </c>
      <c r="I70" s="22">
        <f>SUBTOTAL(9,$C33:I33)</f>
        <v>0</v>
      </c>
      <c r="J70" s="22">
        <f>SUBTOTAL(9,$C33:J33)</f>
        <v>0</v>
      </c>
      <c r="K70" s="22">
        <f>SUBTOTAL(9,$C33:K33)</f>
        <v>0</v>
      </c>
      <c r="L70" s="22">
        <f>SUBTOTAL(9,$C33:L33)</f>
        <v>0</v>
      </c>
      <c r="M70" s="22">
        <f>SUBTOTAL(9,$C33:M33)</f>
        <v>0</v>
      </c>
      <c r="N70" s="22">
        <f>SUBTOTAL(9,$C33:N33)</f>
        <v>0</v>
      </c>
      <c r="O70" s="22">
        <f>SUBTOTAL(9,$C33:O33)</f>
        <v>0</v>
      </c>
      <c r="P70" s="22">
        <f>SUBTOTAL(9,$C33:P33)</f>
        <v>0</v>
      </c>
      <c r="Q70" s="22">
        <f>SUBTOTAL(9,$C33:Q33)</f>
        <v>0</v>
      </c>
      <c r="R70" s="22">
        <f>SUBTOTAL(9,$C33:R33)</f>
        <v>0</v>
      </c>
      <c r="S70" s="22">
        <f>SUBTOTAL(9,$C33:S33)</f>
        <v>0</v>
      </c>
      <c r="T70" s="22">
        <f>SUBTOTAL(9,$T33:T33)</f>
        <v>0</v>
      </c>
      <c r="U70" s="22">
        <f>SUBTOTAL(9,$T33:U33)</f>
        <v>0</v>
      </c>
      <c r="V70" s="22">
        <f>SUBTOTAL(9,$T33:V33)</f>
        <v>0</v>
      </c>
      <c r="W70" s="22">
        <f>SUBTOTAL(9,$T33:W33)</f>
        <v>0</v>
      </c>
      <c r="X70" s="22">
        <f>SUBTOTAL(9,$T33:X33)</f>
        <v>0</v>
      </c>
      <c r="Y70" s="22">
        <f>SUBTOTAL(9,$T33:Y33)</f>
        <v>0</v>
      </c>
      <c r="Z70" s="22">
        <f>SUBTOTAL(9,$T33:Z33)</f>
        <v>0</v>
      </c>
      <c r="AA70" s="22">
        <f>SUBTOTAL(9,$T33:AA33)</f>
        <v>0</v>
      </c>
      <c r="AB70" s="22">
        <f>SUBTOTAL(9,$T33:AB33)</f>
        <v>0</v>
      </c>
      <c r="AC70" s="22">
        <f>SUBTOTAL(9,$T33:AC33)</f>
        <v>0</v>
      </c>
      <c r="AD70" s="22">
        <f>SUBTOTAL(9,$T33:AD33)</f>
        <v>0</v>
      </c>
      <c r="AE70" s="22">
        <f>SUBTOTAL(9,$T33:AE33)</f>
        <v>0</v>
      </c>
      <c r="AF70" s="22">
        <f>SUBTOTAL(9,$T33:AF33)</f>
        <v>0</v>
      </c>
      <c r="AG70" s="22">
        <f>SUBTOTAL(9,$T33:AG33)</f>
        <v>0</v>
      </c>
      <c r="AH70" s="22">
        <f>SUBTOTAL(9,$T33:AH33)</f>
        <v>0</v>
      </c>
      <c r="AI70" s="22">
        <f>SUBTOTAL(9,$T33:AI33)</f>
        <v>0</v>
      </c>
      <c r="AJ70" s="22">
        <f>SUBTOTAL(9,$T33:AJ33)</f>
        <v>0</v>
      </c>
    </row>
    <row r="71" spans="1:36" x14ac:dyDescent="0.25">
      <c r="A71" s="12" t="s">
        <v>140</v>
      </c>
      <c r="B71" s="12" t="s">
        <v>141</v>
      </c>
      <c r="C71" s="22">
        <f>SUBTOTAL(9,$C34:C34)</f>
        <v>1</v>
      </c>
      <c r="D71" s="22">
        <f>SUBTOTAL(9,$C34:D34)</f>
        <v>1</v>
      </c>
      <c r="E71" s="22">
        <f>SUBTOTAL(9,$C34:E34)</f>
        <v>1</v>
      </c>
      <c r="F71" s="22">
        <f>SUBTOTAL(9,$C34:F34)</f>
        <v>1</v>
      </c>
      <c r="G71" s="22">
        <f>SUBTOTAL(9,$C34:G34)</f>
        <v>1</v>
      </c>
      <c r="H71" s="22">
        <f>SUBTOTAL(9,$C34:H34)</f>
        <v>1</v>
      </c>
      <c r="I71" s="22">
        <f>SUBTOTAL(9,$C34:I34)</f>
        <v>1</v>
      </c>
      <c r="J71" s="22">
        <f>SUBTOTAL(9,$C34:J34)</f>
        <v>1</v>
      </c>
      <c r="K71" s="22">
        <f>SUBTOTAL(9,$C34:K34)</f>
        <v>1</v>
      </c>
      <c r="L71" s="22">
        <f>SUBTOTAL(9,$C34:L34)</f>
        <v>1</v>
      </c>
      <c r="M71" s="22">
        <f>SUBTOTAL(9,$C34:M34)</f>
        <v>1</v>
      </c>
      <c r="N71" s="22">
        <f>SUBTOTAL(9,$C34:N34)</f>
        <v>1</v>
      </c>
      <c r="O71" s="22">
        <f>SUBTOTAL(9,$C34:O34)</f>
        <v>1</v>
      </c>
      <c r="P71" s="22">
        <f>SUBTOTAL(9,$C34:P34)</f>
        <v>1</v>
      </c>
      <c r="Q71" s="22">
        <f>SUBTOTAL(9,$C34:Q34)</f>
        <v>1</v>
      </c>
      <c r="R71" s="22">
        <f>SUBTOTAL(9,$C34:R34)</f>
        <v>1</v>
      </c>
      <c r="S71" s="22">
        <f>SUBTOTAL(9,$C34:S34)</f>
        <v>1</v>
      </c>
      <c r="T71" s="22">
        <f>SUBTOTAL(9,$T34:T34)</f>
        <v>0</v>
      </c>
      <c r="U71" s="22">
        <f>SUBTOTAL(9,$T34:U34)</f>
        <v>0</v>
      </c>
      <c r="V71" s="22">
        <f>SUBTOTAL(9,$T34:V34)</f>
        <v>0</v>
      </c>
      <c r="W71" s="22">
        <f>SUBTOTAL(9,$T34:W34)</f>
        <v>0</v>
      </c>
      <c r="X71" s="22">
        <f>SUBTOTAL(9,$T34:X34)</f>
        <v>0</v>
      </c>
      <c r="Y71" s="22">
        <f>SUBTOTAL(9,$T34:Y34)</f>
        <v>0</v>
      </c>
      <c r="Z71" s="22">
        <f>SUBTOTAL(9,$T34:Z34)</f>
        <v>0</v>
      </c>
      <c r="AA71" s="22">
        <f>SUBTOTAL(9,$T34:AA34)</f>
        <v>0</v>
      </c>
      <c r="AB71" s="22">
        <f>SUBTOTAL(9,$T34:AB34)</f>
        <v>0</v>
      </c>
      <c r="AC71" s="22">
        <f>SUBTOTAL(9,$T34:AC34)</f>
        <v>0</v>
      </c>
      <c r="AD71" s="22">
        <f>SUBTOTAL(9,$T34:AD34)</f>
        <v>0</v>
      </c>
      <c r="AE71" s="22">
        <f>SUBTOTAL(9,$T34:AE34)</f>
        <v>0</v>
      </c>
      <c r="AF71" s="22">
        <f>SUBTOTAL(9,$T34:AF34)</f>
        <v>0</v>
      </c>
      <c r="AG71" s="22">
        <f>SUBTOTAL(9,$T34:AG34)</f>
        <v>0</v>
      </c>
      <c r="AH71" s="22">
        <f>SUBTOTAL(9,$T34:AH34)</f>
        <v>0</v>
      </c>
      <c r="AI71" s="22">
        <f>SUBTOTAL(9,$T34:AI34)</f>
        <v>0</v>
      </c>
      <c r="AJ71" s="22">
        <f>SUBTOTAL(9,$T34:AJ34)</f>
        <v>0</v>
      </c>
    </row>
    <row r="72" spans="1:36" x14ac:dyDescent="0.25">
      <c r="A72" s="12" t="s">
        <v>142</v>
      </c>
      <c r="B72" s="12" t="s">
        <v>143</v>
      </c>
      <c r="C72" s="22">
        <f>SUBTOTAL(9,$C35:C35)</f>
        <v>0</v>
      </c>
      <c r="D72" s="22">
        <f>SUBTOTAL(9,$C35:D35)</f>
        <v>0</v>
      </c>
      <c r="E72" s="22">
        <f>SUBTOTAL(9,$C35:E35)</f>
        <v>0</v>
      </c>
      <c r="F72" s="22">
        <f>SUBTOTAL(9,$C35:F35)</f>
        <v>0</v>
      </c>
      <c r="G72" s="22">
        <f>SUBTOTAL(9,$C35:G35)</f>
        <v>0</v>
      </c>
      <c r="H72" s="22">
        <f>SUBTOTAL(9,$C35:H35)</f>
        <v>1</v>
      </c>
      <c r="I72" s="22">
        <f>SUBTOTAL(9,$C35:I35)</f>
        <v>1</v>
      </c>
      <c r="J72" s="22">
        <f>SUBTOTAL(9,$C35:J35)</f>
        <v>1</v>
      </c>
      <c r="K72" s="22">
        <f>SUBTOTAL(9,$C35:K35)</f>
        <v>1</v>
      </c>
      <c r="L72" s="22">
        <f>SUBTOTAL(9,$C35:L35)</f>
        <v>1</v>
      </c>
      <c r="M72" s="22">
        <f>SUBTOTAL(9,$C35:M35)</f>
        <v>1</v>
      </c>
      <c r="N72" s="22">
        <f>SUBTOTAL(9,$C35:N35)</f>
        <v>1</v>
      </c>
      <c r="O72" s="22">
        <f>SUBTOTAL(9,$C35:O35)</f>
        <v>1</v>
      </c>
      <c r="P72" s="22">
        <f>SUBTOTAL(9,$C35:P35)</f>
        <v>1</v>
      </c>
      <c r="Q72" s="22">
        <f>SUBTOTAL(9,$C35:Q35)</f>
        <v>1</v>
      </c>
      <c r="R72" s="22">
        <f>SUBTOTAL(9,$C35:R35)</f>
        <v>1</v>
      </c>
      <c r="S72" s="22">
        <f>SUBTOTAL(9,$C35:S35)</f>
        <v>1</v>
      </c>
      <c r="T72" s="22">
        <f>SUBTOTAL(9,$T35:T35)</f>
        <v>0</v>
      </c>
      <c r="U72" s="22">
        <f>SUBTOTAL(9,$T35:U35)</f>
        <v>0</v>
      </c>
      <c r="V72" s="22">
        <f>SUBTOTAL(9,$T35:V35)</f>
        <v>0</v>
      </c>
      <c r="W72" s="22">
        <f>SUBTOTAL(9,$T35:W35)</f>
        <v>0</v>
      </c>
      <c r="X72" s="22">
        <f>SUBTOTAL(9,$T35:X35)</f>
        <v>0</v>
      </c>
      <c r="Y72" s="22">
        <f>SUBTOTAL(9,$T35:Y35)</f>
        <v>0</v>
      </c>
      <c r="Z72" s="22">
        <f>SUBTOTAL(9,$T35:Z35)</f>
        <v>0</v>
      </c>
      <c r="AA72" s="22">
        <f>SUBTOTAL(9,$T35:AA35)</f>
        <v>0</v>
      </c>
      <c r="AB72" s="22">
        <f>SUBTOTAL(9,$T35:AB35)</f>
        <v>0</v>
      </c>
      <c r="AC72" s="22">
        <f>SUBTOTAL(9,$T35:AC35)</f>
        <v>0</v>
      </c>
      <c r="AD72" s="22">
        <f>SUBTOTAL(9,$T35:AD35)</f>
        <v>0</v>
      </c>
      <c r="AE72" s="22">
        <f>SUBTOTAL(9,$T35:AE35)</f>
        <v>0</v>
      </c>
      <c r="AF72" s="22">
        <f>SUBTOTAL(9,$T35:AF35)</f>
        <v>0</v>
      </c>
      <c r="AG72" s="22">
        <f>SUBTOTAL(9,$T35:AG35)</f>
        <v>0</v>
      </c>
      <c r="AH72" s="22">
        <f>SUBTOTAL(9,$T35:AH35)</f>
        <v>0</v>
      </c>
      <c r="AI72" s="22">
        <f>SUBTOTAL(9,$T35:AI35)</f>
        <v>0</v>
      </c>
      <c r="AJ72" s="22">
        <f>SUBTOTAL(9,$T35:AJ35)</f>
        <v>0</v>
      </c>
    </row>
    <row r="73" spans="1:36" x14ac:dyDescent="0.25">
      <c r="A73" s="12" t="s">
        <v>144</v>
      </c>
      <c r="B73" s="12" t="s">
        <v>145</v>
      </c>
      <c r="C73" s="22">
        <f>SUBTOTAL(9,$C36:C36)</f>
        <v>0</v>
      </c>
      <c r="D73" s="22">
        <f>SUBTOTAL(9,$C36:D36)</f>
        <v>0</v>
      </c>
      <c r="E73" s="22">
        <f>SUBTOTAL(9,$C36:E36)</f>
        <v>0</v>
      </c>
      <c r="F73" s="22">
        <f>SUBTOTAL(9,$C36:F36)</f>
        <v>0</v>
      </c>
      <c r="G73" s="22">
        <f>SUBTOTAL(9,$C36:G36)</f>
        <v>0</v>
      </c>
      <c r="H73" s="22">
        <f>SUBTOTAL(9,$C36:H36)</f>
        <v>0</v>
      </c>
      <c r="I73" s="22">
        <f>SUBTOTAL(9,$C36:I36)</f>
        <v>1</v>
      </c>
      <c r="J73" s="22">
        <f>SUBTOTAL(9,$C36:J36)</f>
        <v>1</v>
      </c>
      <c r="K73" s="22">
        <f>SUBTOTAL(9,$C36:K36)</f>
        <v>1</v>
      </c>
      <c r="L73" s="22">
        <f>SUBTOTAL(9,$C36:L36)</f>
        <v>1</v>
      </c>
      <c r="M73" s="22">
        <f>SUBTOTAL(9,$C36:M36)</f>
        <v>1</v>
      </c>
      <c r="N73" s="22">
        <f>SUBTOTAL(9,$C36:N36)</f>
        <v>1</v>
      </c>
      <c r="O73" s="22">
        <f>SUBTOTAL(9,$C36:O36)</f>
        <v>1</v>
      </c>
      <c r="P73" s="22">
        <f>SUBTOTAL(9,$C36:P36)</f>
        <v>1</v>
      </c>
      <c r="Q73" s="22">
        <f>SUBTOTAL(9,$C36:Q36)</f>
        <v>1</v>
      </c>
      <c r="R73" s="22">
        <f>SUBTOTAL(9,$C36:R36)</f>
        <v>1</v>
      </c>
      <c r="S73" s="22">
        <f>SUBTOTAL(9,$C36:S36)</f>
        <v>1</v>
      </c>
      <c r="T73" s="22">
        <f>SUBTOTAL(9,$T36:T36)</f>
        <v>0</v>
      </c>
      <c r="U73" s="22">
        <f>SUBTOTAL(9,$T36:U36)</f>
        <v>1</v>
      </c>
      <c r="V73" s="22">
        <f>SUBTOTAL(9,$T36:V36)</f>
        <v>1</v>
      </c>
      <c r="W73" s="22">
        <f>SUBTOTAL(9,$T36:W36)</f>
        <v>1</v>
      </c>
      <c r="X73" s="22">
        <f>SUBTOTAL(9,$T36:X36)</f>
        <v>2</v>
      </c>
      <c r="Y73" s="22">
        <f>SUBTOTAL(9,$T36:Y36)</f>
        <v>2</v>
      </c>
      <c r="Z73" s="22">
        <f>SUBTOTAL(9,$T36:Z36)</f>
        <v>3</v>
      </c>
      <c r="AA73" s="22">
        <f>SUBTOTAL(9,$T36:AA36)</f>
        <v>3</v>
      </c>
      <c r="AB73" s="22">
        <f>SUBTOTAL(9,$T36:AB36)</f>
        <v>4</v>
      </c>
      <c r="AC73" s="22">
        <f>SUBTOTAL(9,$T36:AC36)</f>
        <v>4</v>
      </c>
      <c r="AD73" s="22">
        <f>SUBTOTAL(9,$T36:AD36)</f>
        <v>4</v>
      </c>
      <c r="AE73" s="22">
        <f>SUBTOTAL(9,$T36:AE36)</f>
        <v>4</v>
      </c>
      <c r="AF73" s="22">
        <f>SUBTOTAL(9,$T36:AF36)</f>
        <v>4</v>
      </c>
      <c r="AG73" s="22">
        <f>SUBTOTAL(9,$T36:AG36)</f>
        <v>4</v>
      </c>
      <c r="AH73" s="22">
        <f>SUBTOTAL(9,$T36:AH36)</f>
        <v>4</v>
      </c>
      <c r="AI73" s="22">
        <f>SUBTOTAL(9,$T36:AI36)</f>
        <v>4</v>
      </c>
      <c r="AJ73" s="22">
        <f>SUBTOTAL(9,$T36:AJ36)</f>
        <v>4</v>
      </c>
    </row>
  </sheetData>
  <mergeCells count="4">
    <mergeCell ref="C1:S1"/>
    <mergeCell ref="T1:AJ1"/>
    <mergeCell ref="A39:B39"/>
    <mergeCell ref="A37:B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68F4-94D8-44D3-8967-7CD7E14B6EF4}">
  <sheetPr>
    <tabColor rgb="FF00B0F0"/>
  </sheetPr>
  <dimension ref="A1:AJ89"/>
  <sheetViews>
    <sheetView workbookViewId="0"/>
  </sheetViews>
  <sheetFormatPr defaultRowHeight="15" outlineLevelCol="1" x14ac:dyDescent="0.25"/>
  <cols>
    <col min="1" max="1" width="11.140625" bestFit="1" customWidth="1"/>
    <col min="2" max="2" width="25.140625" bestFit="1" customWidth="1"/>
    <col min="3" max="17" width="9.140625" customWidth="1" outlineLevel="1"/>
    <col min="18" max="19" width="9.140625" hidden="1" customWidth="1" outlineLevel="1"/>
    <col min="21" max="21" width="9.7109375" customWidth="1"/>
    <col min="23" max="23" width="0" hidden="1" customWidth="1"/>
    <col min="27" max="27" width="0" hidden="1" customWidth="1"/>
    <col min="31" max="31" width="0" hidden="1" customWidth="1"/>
  </cols>
  <sheetData>
    <row r="1" spans="1:36" ht="15.75" thickBot="1" x14ac:dyDescent="0.3">
      <c r="C1" s="95" t="s">
        <v>2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 t="s">
        <v>3</v>
      </c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2"/>
    </row>
    <row r="2" spans="1:36" x14ac:dyDescent="0.25">
      <c r="A2" s="14" t="s">
        <v>4</v>
      </c>
      <c r="B2" s="14" t="s">
        <v>5</v>
      </c>
      <c r="C2" s="16" t="str">
        <f>"JUL, "&amp;C1</f>
        <v>JUL, FY24</v>
      </c>
      <c r="D2" s="8" t="str">
        <f>"AUG, "&amp;C1</f>
        <v>AUG, FY24</v>
      </c>
      <c r="E2" s="8" t="str">
        <f>"SEP, "&amp;C1</f>
        <v>SEP, FY24</v>
      </c>
      <c r="F2" s="8" t="str">
        <f>"Q1, "&amp;C1</f>
        <v>Q1, FY24</v>
      </c>
      <c r="G2" s="8" t="str">
        <f>"OCT, "&amp;C1</f>
        <v>OCT, FY24</v>
      </c>
      <c r="H2" s="8" t="str">
        <f>"NOV, "&amp;C1</f>
        <v>NOV, FY24</v>
      </c>
      <c r="I2" s="8" t="str">
        <f>"DEC, "&amp;C1</f>
        <v>DEC, FY24</v>
      </c>
      <c r="J2" s="8" t="str">
        <f>"Q2, "&amp;C1</f>
        <v>Q2, FY24</v>
      </c>
      <c r="K2" s="8" t="str">
        <f>"JAN, "&amp;C1</f>
        <v>JAN, FY24</v>
      </c>
      <c r="L2" s="8" t="str">
        <f>"FEB, "&amp;C1</f>
        <v>FEB, FY24</v>
      </c>
      <c r="M2" s="8" t="str">
        <f>"MAR, "&amp;C1</f>
        <v>MAR, FY24</v>
      </c>
      <c r="N2" s="8" t="str">
        <f>"Q3, "&amp;C1</f>
        <v>Q3, FY24</v>
      </c>
      <c r="O2" s="8" t="str">
        <f>"APR, "&amp;C1</f>
        <v>APR, FY24</v>
      </c>
      <c r="P2" s="8" t="str">
        <f>"MAY, "&amp;C1</f>
        <v>MAY, FY24</v>
      </c>
      <c r="Q2" s="8" t="str">
        <f>"JUN, "&amp;C1</f>
        <v>JUN, FY24</v>
      </c>
      <c r="R2" s="8" t="str">
        <f>"Q4, "&amp;C1</f>
        <v>Q4, FY24</v>
      </c>
      <c r="S2" s="8" t="str">
        <f>"Full Year, "&amp;C1</f>
        <v>Full Year, FY24</v>
      </c>
      <c r="T2" s="18" t="str">
        <f>"JUL, "&amp;T1</f>
        <v>JUL, FY25</v>
      </c>
      <c r="U2" s="19" t="str">
        <f>"AUG, "&amp;T1</f>
        <v>AUG, FY25</v>
      </c>
      <c r="V2" s="19" t="str">
        <f>"SEP, "&amp;T1</f>
        <v>SEP, FY25</v>
      </c>
      <c r="W2" s="19" t="str">
        <f>"Q1, "&amp;T1</f>
        <v>Q1, FY25</v>
      </c>
      <c r="X2" s="19" t="str">
        <f>"OCT, "&amp;T1</f>
        <v>OCT, FY25</v>
      </c>
      <c r="Y2" s="19" t="str">
        <f>"NOV, "&amp;T1</f>
        <v>NOV, FY25</v>
      </c>
      <c r="Z2" s="19" t="str">
        <f>"DEC, "&amp;T1</f>
        <v>DEC, FY25</v>
      </c>
      <c r="AA2" s="19" t="str">
        <f>"Q2, "&amp;T1</f>
        <v>Q2, FY25</v>
      </c>
      <c r="AB2" s="19" t="str">
        <f>"JAN, "&amp;T1</f>
        <v>JAN, FY25</v>
      </c>
      <c r="AC2" s="19" t="str">
        <f>"FEB, "&amp;T1</f>
        <v>FEB, FY25</v>
      </c>
      <c r="AD2" s="19" t="str">
        <f>"MAR, "&amp;T1</f>
        <v>MAR, FY25</v>
      </c>
      <c r="AE2" s="19" t="str">
        <f>"Q3, "&amp;T1</f>
        <v>Q3, FY25</v>
      </c>
      <c r="AF2" s="19" t="str">
        <f>"APR, "&amp;T1</f>
        <v>APR, FY25</v>
      </c>
      <c r="AG2" s="19" t="str">
        <f>"MAY, "&amp;T1</f>
        <v>MAY, FY25</v>
      </c>
      <c r="AH2" s="19" t="str">
        <f>"JUN, "&amp;T1</f>
        <v>JUN, FY25</v>
      </c>
      <c r="AI2" s="19" t="str">
        <f>"Q4, "&amp;T1</f>
        <v>Q4, FY25</v>
      </c>
      <c r="AJ2" s="19" t="str">
        <f>"Full Year, "&amp;T1</f>
        <v>Full Year, FY25</v>
      </c>
    </row>
    <row r="3" spans="1:36" x14ac:dyDescent="0.25">
      <c r="A3" s="13" t="s">
        <v>147</v>
      </c>
      <c r="B3" s="12" t="s">
        <v>148</v>
      </c>
      <c r="C3" s="17">
        <f>COUNTIFS('Data Dump'!$P:$P,'SPL FEED'!$A3,'Data Dump'!$S:$S,'SPL FEED'!C$2)</f>
        <v>0</v>
      </c>
      <c r="D3" s="17">
        <f>COUNTIFS('Data Dump'!$P:$P,'SPL FEED'!$A3,'Data Dump'!$S:$S,'SPL FEED'!D$2)</f>
        <v>0</v>
      </c>
      <c r="E3" s="17">
        <f>COUNTIFS('Data Dump'!$P:$P,'SPL FEED'!$A3,'Data Dump'!$S:$S,'SPL FEED'!E$2)</f>
        <v>0</v>
      </c>
      <c r="F3" s="20">
        <f>SUBTOTAL(9,C3:E3)</f>
        <v>0</v>
      </c>
      <c r="G3" s="17">
        <f>COUNTIFS('Data Dump'!$P:$P,'SPL FEED'!$A3,'Data Dump'!$S:$S,'SPL FEED'!G$2)</f>
        <v>0</v>
      </c>
      <c r="H3" s="17">
        <f>COUNTIFS('Data Dump'!$P:$P,'SPL FEED'!$A3,'Data Dump'!$S:$S,'SPL FEED'!H$2)</f>
        <v>0</v>
      </c>
      <c r="I3" s="17">
        <f>COUNTIFS('Data Dump'!$P:$P,'SPL FEED'!$A3,'Data Dump'!$S:$S,'SPL FEED'!I$2)</f>
        <v>0</v>
      </c>
      <c r="J3" s="20">
        <f>SUBTOTAL(9,G3:I3)</f>
        <v>0</v>
      </c>
      <c r="K3" s="17">
        <f>COUNTIFS('Data Dump'!$P:$P,'SPL FEED'!$A3,'Data Dump'!$S:$S,'SPL FEED'!K$2)</f>
        <v>0</v>
      </c>
      <c r="L3" s="17">
        <f>COUNTIFS('Data Dump'!$P:$P,'SPL FEED'!$A3,'Data Dump'!$S:$S,'SPL FEED'!L$2)</f>
        <v>0</v>
      </c>
      <c r="M3" s="17">
        <f>COUNTIFS('Data Dump'!$P:$P,'SPL FEED'!$A3,'Data Dump'!$S:$S,'SPL FEED'!M$2)</f>
        <v>0</v>
      </c>
      <c r="N3" s="20">
        <f>SUBTOTAL(9,K3:M3)</f>
        <v>0</v>
      </c>
      <c r="O3" s="17">
        <f>COUNTIFS('Data Dump'!$P:$P,'SPL FEED'!$A3,'Data Dump'!$S:$S,'SPL FEED'!O$2)</f>
        <v>0</v>
      </c>
      <c r="P3" s="17">
        <f>COUNTIFS('Data Dump'!$P:$P,'SPL FEED'!$A3,'Data Dump'!$S:$S,'SPL FEED'!P$2)</f>
        <v>0</v>
      </c>
      <c r="Q3" s="17">
        <f>COUNTIFS('Data Dump'!$P:$P,'SPL FEED'!$A3,'Data Dump'!$S:$S,'SPL FEED'!Q$2)</f>
        <v>0</v>
      </c>
      <c r="R3" s="20">
        <f>SUBTOTAL(9,O3:Q3)</f>
        <v>0</v>
      </c>
      <c r="S3" s="20">
        <f>SUBTOTAL(9,C3:R3)</f>
        <v>0</v>
      </c>
      <c r="T3" s="17">
        <f>COUNTIFS('Data Dump'!$P:$P,'SPL FEED'!$A3,'Data Dump'!$S:$S,'SPL FEED'!T$2)</f>
        <v>0</v>
      </c>
      <c r="U3" s="17">
        <f>COUNTIFS('Data Dump'!$P:$P,'SPL FEED'!$A3,'Data Dump'!$S:$S,'SPL FEED'!U$2)</f>
        <v>0</v>
      </c>
      <c r="V3" s="17">
        <f>COUNTIFS('Data Dump'!$P:$P,'SPL FEED'!$A3,'Data Dump'!$S:$S,'SPL FEED'!V$2)</f>
        <v>0</v>
      </c>
      <c r="W3" s="20">
        <f>SUBTOTAL(9,T3:V3)</f>
        <v>0</v>
      </c>
      <c r="X3" s="17">
        <f>COUNTIFS('Data Dump'!$P:$P,'SPL FEED'!$A3,'Data Dump'!$S:$S,'SPL FEED'!X$2)</f>
        <v>0</v>
      </c>
      <c r="Y3" s="17">
        <f>COUNTIFS('Data Dump'!$P:$P,'SPL FEED'!$A3,'Data Dump'!$S:$S,'SPL FEED'!Y$2)</f>
        <v>0</v>
      </c>
      <c r="Z3" s="17">
        <f>COUNTIFS('Data Dump'!$P:$P,'SPL FEED'!$A3,'Data Dump'!$S:$S,'SPL FEED'!Z$2)</f>
        <v>0</v>
      </c>
      <c r="AA3" s="20">
        <f>SUBTOTAL(9,X3:Z3)</f>
        <v>0</v>
      </c>
      <c r="AB3" s="17">
        <f>COUNTIFS('Data Dump'!$P:$P,'SPL FEED'!$A3,'Data Dump'!$S:$S,'SPL FEED'!AB$2)</f>
        <v>0</v>
      </c>
      <c r="AC3" s="17">
        <f>COUNTIFS('Data Dump'!$P:$P,'SPL FEED'!$A3,'Data Dump'!$S:$S,'SPL FEED'!AC$2)</f>
        <v>0</v>
      </c>
      <c r="AD3" s="17">
        <f>COUNTIFS('Data Dump'!$P:$P,'SPL FEED'!$A3,'Data Dump'!$S:$S,'SPL FEED'!AD$2)</f>
        <v>0</v>
      </c>
      <c r="AE3" s="20">
        <f>SUBTOTAL(9,AB3:AD3)</f>
        <v>0</v>
      </c>
      <c r="AF3" s="17">
        <f>COUNTIFS('Data Dump'!$P:$P,'SPL FEED'!$A3,'Data Dump'!$S:$S,'SPL FEED'!AF$2)</f>
        <v>0</v>
      </c>
      <c r="AG3" s="17">
        <f>COUNTIFS('Data Dump'!$P:$P,'SPL FEED'!$A3,'Data Dump'!$S:$S,'SPL FEED'!AG$2)</f>
        <v>0</v>
      </c>
      <c r="AH3" s="17">
        <f>COUNTIFS('Data Dump'!$P:$P,'SPL FEED'!$A3,'Data Dump'!$S:$S,'SPL FEED'!AH$2)</f>
        <v>0</v>
      </c>
      <c r="AI3" s="20">
        <f>SUBTOTAL(9,AF3:AH3)</f>
        <v>0</v>
      </c>
      <c r="AJ3" s="20">
        <f>SUBTOTAL(9,T3:AI3)</f>
        <v>0</v>
      </c>
    </row>
    <row r="4" spans="1:36" x14ac:dyDescent="0.25">
      <c r="A4" s="13" t="s">
        <v>149</v>
      </c>
      <c r="B4" s="12" t="s">
        <v>150</v>
      </c>
      <c r="C4" s="17">
        <f>COUNTIFS('Data Dump'!$P:$P,'SPL FEED'!$A4,'Data Dump'!$S:$S,'SPL FEED'!C$2)</f>
        <v>0</v>
      </c>
      <c r="D4" s="17">
        <f>COUNTIFS('Data Dump'!$P:$P,'SPL FEED'!$A4,'Data Dump'!$S:$S,'SPL FEED'!D$2)</f>
        <v>0</v>
      </c>
      <c r="E4" s="17">
        <f>COUNTIFS('Data Dump'!$P:$P,'SPL FEED'!$A4,'Data Dump'!$S:$S,'SPL FEED'!E$2)</f>
        <v>0</v>
      </c>
      <c r="F4" s="20">
        <f t="shared" ref="F4:F44" si="0">SUBTOTAL(9,C4:E4)</f>
        <v>0</v>
      </c>
      <c r="G4" s="17">
        <f>COUNTIFS('Data Dump'!$P:$P,'SPL FEED'!$A4,'Data Dump'!$S:$S,'SPL FEED'!G$2)</f>
        <v>1</v>
      </c>
      <c r="H4" s="17">
        <f>COUNTIFS('Data Dump'!$P:$P,'SPL FEED'!$A4,'Data Dump'!$S:$S,'SPL FEED'!H$2)</f>
        <v>0</v>
      </c>
      <c r="I4" s="17">
        <f>COUNTIFS('Data Dump'!$P:$P,'SPL FEED'!$A4,'Data Dump'!$S:$S,'SPL FEED'!I$2)</f>
        <v>0</v>
      </c>
      <c r="J4" s="20">
        <f t="shared" ref="J4:J44" si="1">SUBTOTAL(9,G4:I4)</f>
        <v>1</v>
      </c>
      <c r="K4" s="17">
        <f>COUNTIFS('Data Dump'!$P:$P,'SPL FEED'!$A4,'Data Dump'!$S:$S,'SPL FEED'!K$2)</f>
        <v>0</v>
      </c>
      <c r="L4" s="17">
        <f>COUNTIFS('Data Dump'!$P:$P,'SPL FEED'!$A4,'Data Dump'!$S:$S,'SPL FEED'!L$2)</f>
        <v>0</v>
      </c>
      <c r="M4" s="17">
        <f>COUNTIFS('Data Dump'!$P:$P,'SPL FEED'!$A4,'Data Dump'!$S:$S,'SPL FEED'!M$2)</f>
        <v>0</v>
      </c>
      <c r="N4" s="20">
        <f t="shared" ref="N4:N44" si="2">SUBTOTAL(9,K4:M4)</f>
        <v>0</v>
      </c>
      <c r="O4" s="17">
        <f>COUNTIFS('Data Dump'!$P:$P,'SPL FEED'!$A4,'Data Dump'!$S:$S,'SPL FEED'!O$2)</f>
        <v>0</v>
      </c>
      <c r="P4" s="17">
        <f>COUNTIFS('Data Dump'!$P:$P,'SPL FEED'!$A4,'Data Dump'!$S:$S,'SPL FEED'!P$2)</f>
        <v>0</v>
      </c>
      <c r="Q4" s="17">
        <f>COUNTIFS('Data Dump'!$P:$P,'SPL FEED'!$A4,'Data Dump'!$S:$S,'SPL FEED'!Q$2)</f>
        <v>0</v>
      </c>
      <c r="R4" s="20">
        <f t="shared" ref="R4:R44" si="3">SUBTOTAL(9,O4:Q4)</f>
        <v>0</v>
      </c>
      <c r="S4" s="20">
        <f t="shared" ref="S4:S44" si="4">SUBTOTAL(9,C4:R4)</f>
        <v>1</v>
      </c>
      <c r="T4" s="17">
        <f>COUNTIFS('Data Dump'!$P:$P,'SPL FEED'!$A4,'Data Dump'!$S:$S,'SPL FEED'!T$2)</f>
        <v>0</v>
      </c>
      <c r="U4" s="17">
        <f>COUNTIFS('Data Dump'!$P:$P,'SPL FEED'!$A4,'Data Dump'!$S:$S,'SPL FEED'!U$2)</f>
        <v>0</v>
      </c>
      <c r="V4" s="17">
        <f>COUNTIFS('Data Dump'!$P:$P,'SPL FEED'!$A4,'Data Dump'!$S:$S,'SPL FEED'!V$2)</f>
        <v>0</v>
      </c>
      <c r="W4" s="20">
        <f t="shared" ref="W4:W44" si="5">SUBTOTAL(9,T4:V4)</f>
        <v>0</v>
      </c>
      <c r="X4" s="17">
        <f>COUNTIFS('Data Dump'!$P:$P,'SPL FEED'!$A4,'Data Dump'!$S:$S,'SPL FEED'!X$2)</f>
        <v>0</v>
      </c>
      <c r="Y4" s="17">
        <f>COUNTIFS('Data Dump'!$P:$P,'SPL FEED'!$A4,'Data Dump'!$S:$S,'SPL FEED'!Y$2)</f>
        <v>0</v>
      </c>
      <c r="Z4" s="17">
        <f>COUNTIFS('Data Dump'!$P:$P,'SPL FEED'!$A4,'Data Dump'!$S:$S,'SPL FEED'!Z$2)</f>
        <v>0</v>
      </c>
      <c r="AA4" s="20">
        <f t="shared" ref="AA4:AA44" si="6">SUBTOTAL(9,X4:Z4)</f>
        <v>0</v>
      </c>
      <c r="AB4" s="17">
        <f>COUNTIFS('Data Dump'!$P:$P,'SPL FEED'!$A4,'Data Dump'!$S:$S,'SPL FEED'!AB$2)</f>
        <v>0</v>
      </c>
      <c r="AC4" s="17">
        <f>COUNTIFS('Data Dump'!$P:$P,'SPL FEED'!$A4,'Data Dump'!$S:$S,'SPL FEED'!AC$2)</f>
        <v>0</v>
      </c>
      <c r="AD4" s="17">
        <f>COUNTIFS('Data Dump'!$P:$P,'SPL FEED'!$A4,'Data Dump'!$S:$S,'SPL FEED'!AD$2)</f>
        <v>0</v>
      </c>
      <c r="AE4" s="20">
        <f t="shared" ref="AE4:AE44" si="7">SUBTOTAL(9,AB4:AD4)</f>
        <v>0</v>
      </c>
      <c r="AF4" s="17">
        <f>COUNTIFS('Data Dump'!$P:$P,'SPL FEED'!$A4,'Data Dump'!$S:$S,'SPL FEED'!AF$2)</f>
        <v>0</v>
      </c>
      <c r="AG4" s="17">
        <f>COUNTIFS('Data Dump'!$P:$P,'SPL FEED'!$A4,'Data Dump'!$S:$S,'SPL FEED'!AG$2)</f>
        <v>0</v>
      </c>
      <c r="AH4" s="17">
        <f>COUNTIFS('Data Dump'!$P:$P,'SPL FEED'!$A4,'Data Dump'!$S:$S,'SPL FEED'!AH$2)</f>
        <v>0</v>
      </c>
      <c r="AI4" s="20">
        <f t="shared" ref="AI4:AI44" si="8">SUBTOTAL(9,AF4:AH4)</f>
        <v>0</v>
      </c>
      <c r="AJ4" s="20">
        <f t="shared" ref="AJ4:AJ44" si="9">SUBTOTAL(9,T4:AI4)</f>
        <v>0</v>
      </c>
    </row>
    <row r="5" spans="1:36" x14ac:dyDescent="0.25">
      <c r="A5" s="13" t="s">
        <v>151</v>
      </c>
      <c r="B5" s="12" t="s">
        <v>152</v>
      </c>
      <c r="C5" s="17">
        <f>COUNTIFS('Data Dump'!$P:$P,'SPL FEED'!$A5,'Data Dump'!$S:$S,'SPL FEED'!C$2)</f>
        <v>1</v>
      </c>
      <c r="D5" s="17">
        <f>COUNTIFS('Data Dump'!$P:$P,'SPL FEED'!$A5,'Data Dump'!$S:$S,'SPL FEED'!D$2)</f>
        <v>0</v>
      </c>
      <c r="E5" s="17">
        <f>COUNTIFS('Data Dump'!$P:$P,'SPL FEED'!$A5,'Data Dump'!$S:$S,'SPL FEED'!E$2)</f>
        <v>1</v>
      </c>
      <c r="F5" s="20">
        <f t="shared" si="0"/>
        <v>2</v>
      </c>
      <c r="G5" s="17">
        <f>COUNTIFS('Data Dump'!$P:$P,'SPL FEED'!$A5,'Data Dump'!$S:$S,'SPL FEED'!G$2)</f>
        <v>0</v>
      </c>
      <c r="H5" s="17">
        <f>COUNTIFS('Data Dump'!$P:$P,'SPL FEED'!$A5,'Data Dump'!$S:$S,'SPL FEED'!H$2)</f>
        <v>0</v>
      </c>
      <c r="I5" s="17">
        <f>COUNTIFS('Data Dump'!$P:$P,'SPL FEED'!$A5,'Data Dump'!$S:$S,'SPL FEED'!I$2)</f>
        <v>1</v>
      </c>
      <c r="J5" s="20">
        <f t="shared" si="1"/>
        <v>1</v>
      </c>
      <c r="K5" s="17">
        <f>COUNTIFS('Data Dump'!$P:$P,'SPL FEED'!$A5,'Data Dump'!$S:$S,'SPL FEED'!K$2)</f>
        <v>0</v>
      </c>
      <c r="L5" s="17">
        <f>COUNTIFS('Data Dump'!$P:$P,'SPL FEED'!$A5,'Data Dump'!$S:$S,'SPL FEED'!L$2)</f>
        <v>0</v>
      </c>
      <c r="M5" s="17">
        <f>COUNTIFS('Data Dump'!$P:$P,'SPL FEED'!$A5,'Data Dump'!$S:$S,'SPL FEED'!M$2)</f>
        <v>0</v>
      </c>
      <c r="N5" s="20">
        <f t="shared" si="2"/>
        <v>0</v>
      </c>
      <c r="O5" s="17">
        <f>COUNTIFS('Data Dump'!$P:$P,'SPL FEED'!$A5,'Data Dump'!$S:$S,'SPL FEED'!O$2)</f>
        <v>0</v>
      </c>
      <c r="P5" s="17">
        <f>COUNTIFS('Data Dump'!$P:$P,'SPL FEED'!$A5,'Data Dump'!$S:$S,'SPL FEED'!P$2)</f>
        <v>0</v>
      </c>
      <c r="Q5" s="17">
        <f>COUNTIFS('Data Dump'!$P:$P,'SPL FEED'!$A5,'Data Dump'!$S:$S,'SPL FEED'!Q$2)</f>
        <v>0</v>
      </c>
      <c r="R5" s="20">
        <f t="shared" si="3"/>
        <v>0</v>
      </c>
      <c r="S5" s="20">
        <f t="shared" si="4"/>
        <v>3</v>
      </c>
      <c r="T5" s="17">
        <f>COUNTIFS('Data Dump'!$P:$P,'SPL FEED'!$A5,'Data Dump'!$S:$S,'SPL FEED'!T$2)</f>
        <v>0</v>
      </c>
      <c r="U5" s="17">
        <f>COUNTIFS('Data Dump'!$P:$P,'SPL FEED'!$A5,'Data Dump'!$S:$S,'SPL FEED'!U$2)</f>
        <v>0</v>
      </c>
      <c r="V5" s="17">
        <f>COUNTIFS('Data Dump'!$P:$P,'SPL FEED'!$A5,'Data Dump'!$S:$S,'SPL FEED'!V$2)</f>
        <v>0</v>
      </c>
      <c r="W5" s="20">
        <f t="shared" si="5"/>
        <v>0</v>
      </c>
      <c r="X5" s="17">
        <f>COUNTIFS('Data Dump'!$P:$P,'SPL FEED'!$A5,'Data Dump'!$S:$S,'SPL FEED'!X$2)</f>
        <v>0</v>
      </c>
      <c r="Y5" s="17">
        <f>COUNTIFS('Data Dump'!$P:$P,'SPL FEED'!$A5,'Data Dump'!$S:$S,'SPL FEED'!Y$2)</f>
        <v>2</v>
      </c>
      <c r="Z5" s="17">
        <f>COUNTIFS('Data Dump'!$P:$P,'SPL FEED'!$A5,'Data Dump'!$S:$S,'SPL FEED'!Z$2)</f>
        <v>0</v>
      </c>
      <c r="AA5" s="20">
        <f t="shared" si="6"/>
        <v>2</v>
      </c>
      <c r="AB5" s="17">
        <f>COUNTIFS('Data Dump'!$P:$P,'SPL FEED'!$A5,'Data Dump'!$S:$S,'SPL FEED'!AB$2)</f>
        <v>0</v>
      </c>
      <c r="AC5" s="17">
        <f>COUNTIFS('Data Dump'!$P:$P,'SPL FEED'!$A5,'Data Dump'!$S:$S,'SPL FEED'!AC$2)</f>
        <v>0</v>
      </c>
      <c r="AD5" s="17">
        <f>COUNTIFS('Data Dump'!$P:$P,'SPL FEED'!$A5,'Data Dump'!$S:$S,'SPL FEED'!AD$2)</f>
        <v>0</v>
      </c>
      <c r="AE5" s="20">
        <f t="shared" si="7"/>
        <v>0</v>
      </c>
      <c r="AF5" s="17">
        <f>COUNTIFS('Data Dump'!$P:$P,'SPL FEED'!$A5,'Data Dump'!$S:$S,'SPL FEED'!AF$2)</f>
        <v>0</v>
      </c>
      <c r="AG5" s="17">
        <f>COUNTIFS('Data Dump'!$P:$P,'SPL FEED'!$A5,'Data Dump'!$S:$S,'SPL FEED'!AG$2)</f>
        <v>0</v>
      </c>
      <c r="AH5" s="17">
        <f>COUNTIFS('Data Dump'!$P:$P,'SPL FEED'!$A5,'Data Dump'!$S:$S,'SPL FEED'!AH$2)</f>
        <v>1</v>
      </c>
      <c r="AI5" s="20">
        <f t="shared" si="8"/>
        <v>1</v>
      </c>
      <c r="AJ5" s="20">
        <f t="shared" si="9"/>
        <v>3</v>
      </c>
    </row>
    <row r="6" spans="1:36" x14ac:dyDescent="0.25">
      <c r="A6" s="13" t="s">
        <v>153</v>
      </c>
      <c r="B6" s="12" t="s">
        <v>154</v>
      </c>
      <c r="C6" s="17">
        <f>COUNTIFS('Data Dump'!$P:$P,'SPL FEED'!$A6,'Data Dump'!$S:$S,'SPL FEED'!C$2)</f>
        <v>0</v>
      </c>
      <c r="D6" s="17">
        <f>COUNTIFS('Data Dump'!$P:$P,'SPL FEED'!$A6,'Data Dump'!$S:$S,'SPL FEED'!D$2)</f>
        <v>0</v>
      </c>
      <c r="E6" s="17">
        <f>COUNTIFS('Data Dump'!$P:$P,'SPL FEED'!$A6,'Data Dump'!$S:$S,'SPL FEED'!E$2)</f>
        <v>0</v>
      </c>
      <c r="F6" s="20">
        <f t="shared" si="0"/>
        <v>0</v>
      </c>
      <c r="G6" s="17">
        <f>COUNTIFS('Data Dump'!$P:$P,'SPL FEED'!$A6,'Data Dump'!$S:$S,'SPL FEED'!G$2)</f>
        <v>0</v>
      </c>
      <c r="H6" s="17">
        <f>COUNTIFS('Data Dump'!$P:$P,'SPL FEED'!$A6,'Data Dump'!$S:$S,'SPL FEED'!H$2)</f>
        <v>0</v>
      </c>
      <c r="I6" s="17">
        <f>COUNTIFS('Data Dump'!$P:$P,'SPL FEED'!$A6,'Data Dump'!$S:$S,'SPL FEED'!I$2)</f>
        <v>0</v>
      </c>
      <c r="J6" s="20">
        <f t="shared" si="1"/>
        <v>0</v>
      </c>
      <c r="K6" s="17">
        <f>COUNTIFS('Data Dump'!$P:$P,'SPL FEED'!$A6,'Data Dump'!$S:$S,'SPL FEED'!K$2)</f>
        <v>0</v>
      </c>
      <c r="L6" s="17">
        <f>COUNTIFS('Data Dump'!$P:$P,'SPL FEED'!$A6,'Data Dump'!$S:$S,'SPL FEED'!L$2)</f>
        <v>0</v>
      </c>
      <c r="M6" s="17">
        <f>COUNTIFS('Data Dump'!$P:$P,'SPL FEED'!$A6,'Data Dump'!$S:$S,'SPL FEED'!M$2)</f>
        <v>0</v>
      </c>
      <c r="N6" s="20">
        <f t="shared" si="2"/>
        <v>0</v>
      </c>
      <c r="O6" s="17">
        <f>COUNTIFS('Data Dump'!$P:$P,'SPL FEED'!$A6,'Data Dump'!$S:$S,'SPL FEED'!O$2)</f>
        <v>0</v>
      </c>
      <c r="P6" s="17">
        <f>COUNTIFS('Data Dump'!$P:$P,'SPL FEED'!$A6,'Data Dump'!$S:$S,'SPL FEED'!P$2)</f>
        <v>0</v>
      </c>
      <c r="Q6" s="17">
        <f>COUNTIFS('Data Dump'!$P:$P,'SPL FEED'!$A6,'Data Dump'!$S:$S,'SPL FEED'!Q$2)</f>
        <v>0</v>
      </c>
      <c r="R6" s="20">
        <f t="shared" si="3"/>
        <v>0</v>
      </c>
      <c r="S6" s="20">
        <f t="shared" si="4"/>
        <v>0</v>
      </c>
      <c r="T6" s="17">
        <f>COUNTIFS('Data Dump'!$P:$P,'SPL FEED'!$A6,'Data Dump'!$S:$S,'SPL FEED'!T$2)</f>
        <v>0</v>
      </c>
      <c r="U6" s="17">
        <f>COUNTIFS('Data Dump'!$P:$P,'SPL FEED'!$A6,'Data Dump'!$S:$S,'SPL FEED'!U$2)</f>
        <v>0</v>
      </c>
      <c r="V6" s="17">
        <f>COUNTIFS('Data Dump'!$P:$P,'SPL FEED'!$A6,'Data Dump'!$S:$S,'SPL FEED'!V$2)</f>
        <v>0</v>
      </c>
      <c r="W6" s="20">
        <f t="shared" si="5"/>
        <v>0</v>
      </c>
      <c r="X6" s="17">
        <f>COUNTIFS('Data Dump'!$P:$P,'SPL FEED'!$A6,'Data Dump'!$S:$S,'SPL FEED'!X$2)</f>
        <v>0</v>
      </c>
      <c r="Y6" s="17">
        <f>COUNTIFS('Data Dump'!$P:$P,'SPL FEED'!$A6,'Data Dump'!$S:$S,'SPL FEED'!Y$2)</f>
        <v>0</v>
      </c>
      <c r="Z6" s="17">
        <f>COUNTIFS('Data Dump'!$P:$P,'SPL FEED'!$A6,'Data Dump'!$S:$S,'SPL FEED'!Z$2)</f>
        <v>0</v>
      </c>
      <c r="AA6" s="20">
        <f t="shared" si="6"/>
        <v>0</v>
      </c>
      <c r="AB6" s="17">
        <f>COUNTIFS('Data Dump'!$P:$P,'SPL FEED'!$A6,'Data Dump'!$S:$S,'SPL FEED'!AB$2)</f>
        <v>0</v>
      </c>
      <c r="AC6" s="17">
        <f>COUNTIFS('Data Dump'!$P:$P,'SPL FEED'!$A6,'Data Dump'!$S:$S,'SPL FEED'!AC$2)</f>
        <v>0</v>
      </c>
      <c r="AD6" s="17">
        <f>COUNTIFS('Data Dump'!$P:$P,'SPL FEED'!$A6,'Data Dump'!$S:$S,'SPL FEED'!AD$2)</f>
        <v>0</v>
      </c>
      <c r="AE6" s="20">
        <f t="shared" si="7"/>
        <v>0</v>
      </c>
      <c r="AF6" s="17">
        <f>COUNTIFS('Data Dump'!$P:$P,'SPL FEED'!$A6,'Data Dump'!$S:$S,'SPL FEED'!AF$2)</f>
        <v>0</v>
      </c>
      <c r="AG6" s="17">
        <f>COUNTIFS('Data Dump'!$P:$P,'SPL FEED'!$A6,'Data Dump'!$S:$S,'SPL FEED'!AG$2)</f>
        <v>0</v>
      </c>
      <c r="AH6" s="17">
        <f>COUNTIFS('Data Dump'!$P:$P,'SPL FEED'!$A6,'Data Dump'!$S:$S,'SPL FEED'!AH$2)</f>
        <v>0</v>
      </c>
      <c r="AI6" s="20">
        <f t="shared" si="8"/>
        <v>0</v>
      </c>
      <c r="AJ6" s="20">
        <f t="shared" si="9"/>
        <v>0</v>
      </c>
    </row>
    <row r="7" spans="1:36" x14ac:dyDescent="0.25">
      <c r="A7" s="13" t="s">
        <v>155</v>
      </c>
      <c r="B7" s="12" t="s">
        <v>156</v>
      </c>
      <c r="C7" s="17">
        <f>COUNTIFS('Data Dump'!$P:$P,'SPL FEED'!$A7,'Data Dump'!$S:$S,'SPL FEED'!C$2)</f>
        <v>0</v>
      </c>
      <c r="D7" s="17">
        <f>COUNTIFS('Data Dump'!$P:$P,'SPL FEED'!$A7,'Data Dump'!$S:$S,'SPL FEED'!D$2)</f>
        <v>1</v>
      </c>
      <c r="E7" s="17">
        <f>COUNTIFS('Data Dump'!$P:$P,'SPL FEED'!$A7,'Data Dump'!$S:$S,'SPL FEED'!E$2)</f>
        <v>1</v>
      </c>
      <c r="F7" s="20">
        <f t="shared" si="0"/>
        <v>2</v>
      </c>
      <c r="G7" s="17">
        <f>COUNTIFS('Data Dump'!$P:$P,'SPL FEED'!$A7,'Data Dump'!$S:$S,'SPL FEED'!G$2)</f>
        <v>3</v>
      </c>
      <c r="H7" s="17">
        <f>COUNTIFS('Data Dump'!$P:$P,'SPL FEED'!$A7,'Data Dump'!$S:$S,'SPL FEED'!H$2)</f>
        <v>0</v>
      </c>
      <c r="I7" s="17">
        <f>COUNTIFS('Data Dump'!$P:$P,'SPL FEED'!$A7,'Data Dump'!$S:$S,'SPL FEED'!I$2)</f>
        <v>2</v>
      </c>
      <c r="J7" s="20">
        <f t="shared" si="1"/>
        <v>5</v>
      </c>
      <c r="K7" s="17">
        <f>COUNTIFS('Data Dump'!$P:$P,'SPL FEED'!$A7,'Data Dump'!$S:$S,'SPL FEED'!K$2)</f>
        <v>0</v>
      </c>
      <c r="L7" s="17">
        <f>COUNTIFS('Data Dump'!$P:$P,'SPL FEED'!$A7,'Data Dump'!$S:$S,'SPL FEED'!L$2)</f>
        <v>0</v>
      </c>
      <c r="M7" s="17">
        <f>COUNTIFS('Data Dump'!$P:$P,'SPL FEED'!$A7,'Data Dump'!$S:$S,'SPL FEED'!M$2)</f>
        <v>1</v>
      </c>
      <c r="N7" s="20">
        <f t="shared" si="2"/>
        <v>1</v>
      </c>
      <c r="O7" s="17">
        <f>COUNTIFS('Data Dump'!$P:$P,'SPL FEED'!$A7,'Data Dump'!$S:$S,'SPL FEED'!O$2)</f>
        <v>0</v>
      </c>
      <c r="P7" s="17">
        <f>COUNTIFS('Data Dump'!$P:$P,'SPL FEED'!$A7,'Data Dump'!$S:$S,'SPL FEED'!P$2)</f>
        <v>3</v>
      </c>
      <c r="Q7" s="17">
        <f>COUNTIFS('Data Dump'!$P:$P,'SPL FEED'!$A7,'Data Dump'!$S:$S,'SPL FEED'!Q$2)</f>
        <v>0</v>
      </c>
      <c r="R7" s="20">
        <f t="shared" si="3"/>
        <v>3</v>
      </c>
      <c r="S7" s="20">
        <f t="shared" si="4"/>
        <v>11</v>
      </c>
      <c r="T7" s="17">
        <f>COUNTIFS('Data Dump'!$P:$P,'SPL FEED'!$A7,'Data Dump'!$S:$S,'SPL FEED'!T$2)</f>
        <v>0</v>
      </c>
      <c r="U7" s="17">
        <f>COUNTIFS('Data Dump'!$P:$P,'SPL FEED'!$A7,'Data Dump'!$S:$S,'SPL FEED'!U$2)</f>
        <v>0</v>
      </c>
      <c r="V7" s="17">
        <f>COUNTIFS('Data Dump'!$P:$P,'SPL FEED'!$A7,'Data Dump'!$S:$S,'SPL FEED'!V$2)</f>
        <v>1</v>
      </c>
      <c r="W7" s="20">
        <f t="shared" si="5"/>
        <v>1</v>
      </c>
      <c r="X7" s="17">
        <f>COUNTIFS('Data Dump'!$P:$P,'SPL FEED'!$A7,'Data Dump'!$S:$S,'SPL FEED'!X$2)</f>
        <v>2</v>
      </c>
      <c r="Y7" s="17">
        <f>COUNTIFS('Data Dump'!$P:$P,'SPL FEED'!$A7,'Data Dump'!$S:$S,'SPL FEED'!Y$2)</f>
        <v>1</v>
      </c>
      <c r="Z7" s="17">
        <f>COUNTIFS('Data Dump'!$P:$P,'SPL FEED'!$A7,'Data Dump'!$S:$S,'SPL FEED'!Z$2)</f>
        <v>1</v>
      </c>
      <c r="AA7" s="20">
        <f t="shared" si="6"/>
        <v>4</v>
      </c>
      <c r="AB7" s="17">
        <f>COUNTIFS('Data Dump'!$P:$P,'SPL FEED'!$A7,'Data Dump'!$S:$S,'SPL FEED'!AB$2)</f>
        <v>0</v>
      </c>
      <c r="AC7" s="17">
        <f>COUNTIFS('Data Dump'!$P:$P,'SPL FEED'!$A7,'Data Dump'!$S:$S,'SPL FEED'!AC$2)</f>
        <v>1</v>
      </c>
      <c r="AD7" s="17">
        <f>COUNTIFS('Data Dump'!$P:$P,'SPL FEED'!$A7,'Data Dump'!$S:$S,'SPL FEED'!AD$2)</f>
        <v>0</v>
      </c>
      <c r="AE7" s="20">
        <f t="shared" si="7"/>
        <v>1</v>
      </c>
      <c r="AF7" s="17">
        <f>COUNTIFS('Data Dump'!$P:$P,'SPL FEED'!$A7,'Data Dump'!$S:$S,'SPL FEED'!AF$2)</f>
        <v>1</v>
      </c>
      <c r="AG7" s="17">
        <f>COUNTIFS('Data Dump'!$P:$P,'SPL FEED'!$A7,'Data Dump'!$S:$S,'SPL FEED'!AG$2)</f>
        <v>1</v>
      </c>
      <c r="AH7" s="17">
        <f>COUNTIFS('Data Dump'!$P:$P,'SPL FEED'!$A7,'Data Dump'!$S:$S,'SPL FEED'!AH$2)</f>
        <v>2</v>
      </c>
      <c r="AI7" s="20">
        <f t="shared" si="8"/>
        <v>4</v>
      </c>
      <c r="AJ7" s="20">
        <f t="shared" si="9"/>
        <v>10</v>
      </c>
    </row>
    <row r="8" spans="1:36" x14ac:dyDescent="0.25">
      <c r="A8" s="13" t="s">
        <v>157</v>
      </c>
      <c r="B8" s="12" t="s">
        <v>158</v>
      </c>
      <c r="C8" s="17">
        <f>COUNTIFS('Data Dump'!$P:$P,'SPL FEED'!$A8,'Data Dump'!$S:$S,'SPL FEED'!C$2)</f>
        <v>0</v>
      </c>
      <c r="D8" s="17">
        <f>COUNTIFS('Data Dump'!$P:$P,'SPL FEED'!$A8,'Data Dump'!$S:$S,'SPL FEED'!D$2)</f>
        <v>0</v>
      </c>
      <c r="E8" s="17">
        <f>COUNTIFS('Data Dump'!$P:$P,'SPL FEED'!$A8,'Data Dump'!$S:$S,'SPL FEED'!E$2)</f>
        <v>0</v>
      </c>
      <c r="F8" s="20">
        <f t="shared" si="0"/>
        <v>0</v>
      </c>
      <c r="G8" s="17">
        <f>COUNTIFS('Data Dump'!$P:$P,'SPL FEED'!$A8,'Data Dump'!$S:$S,'SPL FEED'!G$2)</f>
        <v>0</v>
      </c>
      <c r="H8" s="17">
        <f>COUNTIFS('Data Dump'!$P:$P,'SPL FEED'!$A8,'Data Dump'!$S:$S,'SPL FEED'!H$2)</f>
        <v>0</v>
      </c>
      <c r="I8" s="17">
        <f>COUNTIFS('Data Dump'!$P:$P,'SPL FEED'!$A8,'Data Dump'!$S:$S,'SPL FEED'!I$2)</f>
        <v>0</v>
      </c>
      <c r="J8" s="20">
        <f t="shared" si="1"/>
        <v>0</v>
      </c>
      <c r="K8" s="17">
        <f>COUNTIFS('Data Dump'!$P:$P,'SPL FEED'!$A8,'Data Dump'!$S:$S,'SPL FEED'!K$2)</f>
        <v>0</v>
      </c>
      <c r="L8" s="17">
        <f>COUNTIFS('Data Dump'!$P:$P,'SPL FEED'!$A8,'Data Dump'!$S:$S,'SPL FEED'!L$2)</f>
        <v>0</v>
      </c>
      <c r="M8" s="17">
        <f>COUNTIFS('Data Dump'!$P:$P,'SPL FEED'!$A8,'Data Dump'!$S:$S,'SPL FEED'!M$2)</f>
        <v>0</v>
      </c>
      <c r="N8" s="20">
        <f t="shared" si="2"/>
        <v>0</v>
      </c>
      <c r="O8" s="17">
        <f>COUNTIFS('Data Dump'!$P:$P,'SPL FEED'!$A8,'Data Dump'!$S:$S,'SPL FEED'!O$2)</f>
        <v>0</v>
      </c>
      <c r="P8" s="17">
        <f>COUNTIFS('Data Dump'!$P:$P,'SPL FEED'!$A8,'Data Dump'!$S:$S,'SPL FEED'!P$2)</f>
        <v>0</v>
      </c>
      <c r="Q8" s="17">
        <f>COUNTIFS('Data Dump'!$P:$P,'SPL FEED'!$A8,'Data Dump'!$S:$S,'SPL FEED'!Q$2)</f>
        <v>0</v>
      </c>
      <c r="R8" s="20">
        <f t="shared" si="3"/>
        <v>0</v>
      </c>
      <c r="S8" s="20">
        <f t="shared" si="4"/>
        <v>0</v>
      </c>
      <c r="T8" s="17">
        <f>COUNTIFS('Data Dump'!$P:$P,'SPL FEED'!$A8,'Data Dump'!$S:$S,'SPL FEED'!T$2)</f>
        <v>0</v>
      </c>
      <c r="U8" s="17">
        <f>COUNTIFS('Data Dump'!$P:$P,'SPL FEED'!$A8,'Data Dump'!$S:$S,'SPL FEED'!U$2)</f>
        <v>0</v>
      </c>
      <c r="V8" s="17">
        <f>COUNTIFS('Data Dump'!$P:$P,'SPL FEED'!$A8,'Data Dump'!$S:$S,'SPL FEED'!V$2)</f>
        <v>0</v>
      </c>
      <c r="W8" s="20">
        <f t="shared" si="5"/>
        <v>0</v>
      </c>
      <c r="X8" s="17">
        <f>COUNTIFS('Data Dump'!$P:$P,'SPL FEED'!$A8,'Data Dump'!$S:$S,'SPL FEED'!X$2)</f>
        <v>0</v>
      </c>
      <c r="Y8" s="17">
        <f>COUNTIFS('Data Dump'!$P:$P,'SPL FEED'!$A8,'Data Dump'!$S:$S,'SPL FEED'!Y$2)</f>
        <v>0</v>
      </c>
      <c r="Z8" s="17">
        <f>COUNTIFS('Data Dump'!$P:$P,'SPL FEED'!$A8,'Data Dump'!$S:$S,'SPL FEED'!Z$2)</f>
        <v>0</v>
      </c>
      <c r="AA8" s="20">
        <f t="shared" si="6"/>
        <v>0</v>
      </c>
      <c r="AB8" s="17">
        <f>COUNTIFS('Data Dump'!$P:$P,'SPL FEED'!$A8,'Data Dump'!$S:$S,'SPL FEED'!AB$2)</f>
        <v>0</v>
      </c>
      <c r="AC8" s="17">
        <f>COUNTIFS('Data Dump'!$P:$P,'SPL FEED'!$A8,'Data Dump'!$S:$S,'SPL FEED'!AC$2)</f>
        <v>0</v>
      </c>
      <c r="AD8" s="17">
        <f>COUNTIFS('Data Dump'!$P:$P,'SPL FEED'!$A8,'Data Dump'!$S:$S,'SPL FEED'!AD$2)</f>
        <v>0</v>
      </c>
      <c r="AE8" s="20">
        <f t="shared" si="7"/>
        <v>0</v>
      </c>
      <c r="AF8" s="17">
        <f>COUNTIFS('Data Dump'!$P:$P,'SPL FEED'!$A8,'Data Dump'!$S:$S,'SPL FEED'!AF$2)</f>
        <v>0</v>
      </c>
      <c r="AG8" s="17">
        <f>COUNTIFS('Data Dump'!$P:$P,'SPL FEED'!$A8,'Data Dump'!$S:$S,'SPL FEED'!AG$2)</f>
        <v>0</v>
      </c>
      <c r="AH8" s="17">
        <f>COUNTIFS('Data Dump'!$P:$P,'SPL FEED'!$A8,'Data Dump'!$S:$S,'SPL FEED'!AH$2)</f>
        <v>0</v>
      </c>
      <c r="AI8" s="20">
        <f t="shared" si="8"/>
        <v>0</v>
      </c>
      <c r="AJ8" s="20">
        <f t="shared" si="9"/>
        <v>0</v>
      </c>
    </row>
    <row r="9" spans="1:36" x14ac:dyDescent="0.25">
      <c r="A9" s="13" t="s">
        <v>159</v>
      </c>
      <c r="B9" s="12" t="s">
        <v>160</v>
      </c>
      <c r="C9" s="17">
        <f>COUNTIFS('Data Dump'!$P:$P,'SPL FEED'!$A9,'Data Dump'!$S:$S,'SPL FEED'!C$2)</f>
        <v>0</v>
      </c>
      <c r="D9" s="17">
        <f>COUNTIFS('Data Dump'!$P:$P,'SPL FEED'!$A9,'Data Dump'!$S:$S,'SPL FEED'!D$2)</f>
        <v>0</v>
      </c>
      <c r="E9" s="17">
        <f>COUNTIFS('Data Dump'!$P:$P,'SPL FEED'!$A9,'Data Dump'!$S:$S,'SPL FEED'!E$2)</f>
        <v>0</v>
      </c>
      <c r="F9" s="20">
        <f t="shared" si="0"/>
        <v>0</v>
      </c>
      <c r="G9" s="17">
        <f>COUNTIFS('Data Dump'!$P:$P,'SPL FEED'!$A9,'Data Dump'!$S:$S,'SPL FEED'!G$2)</f>
        <v>0</v>
      </c>
      <c r="H9" s="17">
        <f>COUNTIFS('Data Dump'!$P:$P,'SPL FEED'!$A9,'Data Dump'!$S:$S,'SPL FEED'!H$2)</f>
        <v>0</v>
      </c>
      <c r="I9" s="17">
        <f>COUNTIFS('Data Dump'!$P:$P,'SPL FEED'!$A9,'Data Dump'!$S:$S,'SPL FEED'!I$2)</f>
        <v>0</v>
      </c>
      <c r="J9" s="20">
        <f t="shared" si="1"/>
        <v>0</v>
      </c>
      <c r="K9" s="17">
        <f>COUNTIFS('Data Dump'!$P:$P,'SPL FEED'!$A9,'Data Dump'!$S:$S,'SPL FEED'!K$2)</f>
        <v>0</v>
      </c>
      <c r="L9" s="17">
        <f>COUNTIFS('Data Dump'!$P:$P,'SPL FEED'!$A9,'Data Dump'!$S:$S,'SPL FEED'!L$2)</f>
        <v>0</v>
      </c>
      <c r="M9" s="17">
        <f>COUNTIFS('Data Dump'!$P:$P,'SPL FEED'!$A9,'Data Dump'!$S:$S,'SPL FEED'!M$2)</f>
        <v>0</v>
      </c>
      <c r="N9" s="20">
        <f t="shared" si="2"/>
        <v>0</v>
      </c>
      <c r="O9" s="17">
        <f>COUNTIFS('Data Dump'!$P:$P,'SPL FEED'!$A9,'Data Dump'!$S:$S,'SPL FEED'!O$2)</f>
        <v>0</v>
      </c>
      <c r="P9" s="17">
        <f>COUNTIFS('Data Dump'!$P:$P,'SPL FEED'!$A9,'Data Dump'!$S:$S,'SPL FEED'!P$2)</f>
        <v>0</v>
      </c>
      <c r="Q9" s="17">
        <f>COUNTIFS('Data Dump'!$P:$P,'SPL FEED'!$A9,'Data Dump'!$S:$S,'SPL FEED'!Q$2)</f>
        <v>0</v>
      </c>
      <c r="R9" s="20">
        <f t="shared" si="3"/>
        <v>0</v>
      </c>
      <c r="S9" s="20">
        <f t="shared" si="4"/>
        <v>0</v>
      </c>
      <c r="T9" s="17">
        <f>COUNTIFS('Data Dump'!$P:$P,'SPL FEED'!$A9,'Data Dump'!$S:$S,'SPL FEED'!T$2)</f>
        <v>0</v>
      </c>
      <c r="U9" s="17">
        <f>COUNTIFS('Data Dump'!$P:$P,'SPL FEED'!$A9,'Data Dump'!$S:$S,'SPL FEED'!U$2)</f>
        <v>0</v>
      </c>
      <c r="V9" s="17">
        <f>COUNTIFS('Data Dump'!$P:$P,'SPL FEED'!$A9,'Data Dump'!$S:$S,'SPL FEED'!V$2)</f>
        <v>0</v>
      </c>
      <c r="W9" s="20">
        <f t="shared" si="5"/>
        <v>0</v>
      </c>
      <c r="X9" s="17">
        <f>COUNTIFS('Data Dump'!$P:$P,'SPL FEED'!$A9,'Data Dump'!$S:$S,'SPL FEED'!X$2)</f>
        <v>0</v>
      </c>
      <c r="Y9" s="17">
        <f>COUNTIFS('Data Dump'!$P:$P,'SPL FEED'!$A9,'Data Dump'!$S:$S,'SPL FEED'!Y$2)</f>
        <v>0</v>
      </c>
      <c r="Z9" s="17">
        <f>COUNTIFS('Data Dump'!$P:$P,'SPL FEED'!$A9,'Data Dump'!$S:$S,'SPL FEED'!Z$2)</f>
        <v>0</v>
      </c>
      <c r="AA9" s="20">
        <f t="shared" si="6"/>
        <v>0</v>
      </c>
      <c r="AB9" s="17">
        <f>COUNTIFS('Data Dump'!$P:$P,'SPL FEED'!$A9,'Data Dump'!$S:$S,'SPL FEED'!AB$2)</f>
        <v>0</v>
      </c>
      <c r="AC9" s="17">
        <f>COUNTIFS('Data Dump'!$P:$P,'SPL FEED'!$A9,'Data Dump'!$S:$S,'SPL FEED'!AC$2)</f>
        <v>0</v>
      </c>
      <c r="AD9" s="17">
        <f>COUNTIFS('Data Dump'!$P:$P,'SPL FEED'!$A9,'Data Dump'!$S:$S,'SPL FEED'!AD$2)</f>
        <v>0</v>
      </c>
      <c r="AE9" s="20">
        <f t="shared" si="7"/>
        <v>0</v>
      </c>
      <c r="AF9" s="17">
        <f>COUNTIFS('Data Dump'!$P:$P,'SPL FEED'!$A9,'Data Dump'!$S:$S,'SPL FEED'!AF$2)</f>
        <v>0</v>
      </c>
      <c r="AG9" s="17">
        <f>COUNTIFS('Data Dump'!$P:$P,'SPL FEED'!$A9,'Data Dump'!$S:$S,'SPL FEED'!AG$2)</f>
        <v>0</v>
      </c>
      <c r="AH9" s="17">
        <f>COUNTIFS('Data Dump'!$P:$P,'SPL FEED'!$A9,'Data Dump'!$S:$S,'SPL FEED'!AH$2)</f>
        <v>0</v>
      </c>
      <c r="AI9" s="20">
        <f t="shared" si="8"/>
        <v>0</v>
      </c>
      <c r="AJ9" s="20">
        <f t="shared" si="9"/>
        <v>0</v>
      </c>
    </row>
    <row r="10" spans="1:36" x14ac:dyDescent="0.25">
      <c r="A10" s="13" t="s">
        <v>161</v>
      </c>
      <c r="B10" s="12" t="s">
        <v>162</v>
      </c>
      <c r="C10" s="17">
        <f>COUNTIFS('Data Dump'!$P:$P,'SPL FEED'!$A10,'Data Dump'!$S:$S,'SPL FEED'!C$2)</f>
        <v>0</v>
      </c>
      <c r="D10" s="17">
        <f>COUNTIFS('Data Dump'!$P:$P,'SPL FEED'!$A10,'Data Dump'!$S:$S,'SPL FEED'!D$2)</f>
        <v>0</v>
      </c>
      <c r="E10" s="17">
        <f>COUNTIFS('Data Dump'!$P:$P,'SPL FEED'!$A10,'Data Dump'!$S:$S,'SPL FEED'!E$2)</f>
        <v>0</v>
      </c>
      <c r="F10" s="20">
        <f t="shared" si="0"/>
        <v>0</v>
      </c>
      <c r="G10" s="17">
        <f>COUNTIFS('Data Dump'!$P:$P,'SPL FEED'!$A10,'Data Dump'!$S:$S,'SPL FEED'!G$2)</f>
        <v>0</v>
      </c>
      <c r="H10" s="17">
        <f>COUNTIFS('Data Dump'!$P:$P,'SPL FEED'!$A10,'Data Dump'!$S:$S,'SPL FEED'!H$2)</f>
        <v>1</v>
      </c>
      <c r="I10" s="17">
        <f>COUNTIFS('Data Dump'!$P:$P,'SPL FEED'!$A10,'Data Dump'!$S:$S,'SPL FEED'!I$2)</f>
        <v>1</v>
      </c>
      <c r="J10" s="20">
        <f t="shared" si="1"/>
        <v>2</v>
      </c>
      <c r="K10" s="17">
        <f>COUNTIFS('Data Dump'!$P:$P,'SPL FEED'!$A10,'Data Dump'!$S:$S,'SPL FEED'!K$2)</f>
        <v>0</v>
      </c>
      <c r="L10" s="17">
        <f>COUNTIFS('Data Dump'!$P:$P,'SPL FEED'!$A10,'Data Dump'!$S:$S,'SPL FEED'!L$2)</f>
        <v>0</v>
      </c>
      <c r="M10" s="17">
        <f>COUNTIFS('Data Dump'!$P:$P,'SPL FEED'!$A10,'Data Dump'!$S:$S,'SPL FEED'!M$2)</f>
        <v>0</v>
      </c>
      <c r="N10" s="20">
        <f t="shared" si="2"/>
        <v>0</v>
      </c>
      <c r="O10" s="17">
        <f>COUNTIFS('Data Dump'!$P:$P,'SPL FEED'!$A10,'Data Dump'!$S:$S,'SPL FEED'!O$2)</f>
        <v>0</v>
      </c>
      <c r="P10" s="17">
        <f>COUNTIFS('Data Dump'!$P:$P,'SPL FEED'!$A10,'Data Dump'!$S:$S,'SPL FEED'!P$2)</f>
        <v>0</v>
      </c>
      <c r="Q10" s="17">
        <f>COUNTIFS('Data Dump'!$P:$P,'SPL FEED'!$A10,'Data Dump'!$S:$S,'SPL FEED'!Q$2)</f>
        <v>0</v>
      </c>
      <c r="R10" s="20">
        <f t="shared" si="3"/>
        <v>0</v>
      </c>
      <c r="S10" s="20">
        <f t="shared" si="4"/>
        <v>2</v>
      </c>
      <c r="T10" s="17">
        <f>COUNTIFS('Data Dump'!$P:$P,'SPL FEED'!$A10,'Data Dump'!$S:$S,'SPL FEED'!T$2)</f>
        <v>0</v>
      </c>
      <c r="U10" s="17">
        <f>COUNTIFS('Data Dump'!$P:$P,'SPL FEED'!$A10,'Data Dump'!$S:$S,'SPL FEED'!U$2)</f>
        <v>0</v>
      </c>
      <c r="V10" s="17">
        <f>COUNTIFS('Data Dump'!$P:$P,'SPL FEED'!$A10,'Data Dump'!$S:$S,'SPL FEED'!V$2)</f>
        <v>1</v>
      </c>
      <c r="W10" s="20">
        <f t="shared" si="5"/>
        <v>1</v>
      </c>
      <c r="X10" s="17">
        <f>COUNTIFS('Data Dump'!$P:$P,'SPL FEED'!$A10,'Data Dump'!$S:$S,'SPL FEED'!X$2)</f>
        <v>1</v>
      </c>
      <c r="Y10" s="17">
        <f>COUNTIFS('Data Dump'!$P:$P,'SPL FEED'!$A10,'Data Dump'!$S:$S,'SPL FEED'!Y$2)</f>
        <v>0</v>
      </c>
      <c r="Z10" s="17">
        <f>COUNTIFS('Data Dump'!$P:$P,'SPL FEED'!$A10,'Data Dump'!$S:$S,'SPL FEED'!Z$2)</f>
        <v>1</v>
      </c>
      <c r="AA10" s="20">
        <f t="shared" si="6"/>
        <v>2</v>
      </c>
      <c r="AB10" s="17">
        <f>COUNTIFS('Data Dump'!$P:$P,'SPL FEED'!$A10,'Data Dump'!$S:$S,'SPL FEED'!AB$2)</f>
        <v>0</v>
      </c>
      <c r="AC10" s="17">
        <f>COUNTIFS('Data Dump'!$P:$P,'SPL FEED'!$A10,'Data Dump'!$S:$S,'SPL FEED'!AC$2)</f>
        <v>0</v>
      </c>
      <c r="AD10" s="17">
        <f>COUNTIFS('Data Dump'!$P:$P,'SPL FEED'!$A10,'Data Dump'!$S:$S,'SPL FEED'!AD$2)</f>
        <v>1</v>
      </c>
      <c r="AE10" s="20">
        <f t="shared" si="7"/>
        <v>1</v>
      </c>
      <c r="AF10" s="17">
        <f>COUNTIFS('Data Dump'!$P:$P,'SPL FEED'!$A10,'Data Dump'!$S:$S,'SPL FEED'!AF$2)</f>
        <v>0</v>
      </c>
      <c r="AG10" s="17">
        <f>COUNTIFS('Data Dump'!$P:$P,'SPL FEED'!$A10,'Data Dump'!$S:$S,'SPL FEED'!AG$2)</f>
        <v>0</v>
      </c>
      <c r="AH10" s="17">
        <f>COUNTIFS('Data Dump'!$P:$P,'SPL FEED'!$A10,'Data Dump'!$S:$S,'SPL FEED'!AH$2)</f>
        <v>0</v>
      </c>
      <c r="AI10" s="20">
        <f t="shared" si="8"/>
        <v>0</v>
      </c>
      <c r="AJ10" s="20">
        <f t="shared" si="9"/>
        <v>4</v>
      </c>
    </row>
    <row r="11" spans="1:36" x14ac:dyDescent="0.25">
      <c r="A11" s="13" t="s">
        <v>163</v>
      </c>
      <c r="B11" s="12" t="s">
        <v>164</v>
      </c>
      <c r="C11" s="17">
        <f>COUNTIFS('Data Dump'!$P:$P,'SPL FEED'!$A11,'Data Dump'!$S:$S,'SPL FEED'!C$2)</f>
        <v>0</v>
      </c>
      <c r="D11" s="17">
        <f>COUNTIFS('Data Dump'!$P:$P,'SPL FEED'!$A11,'Data Dump'!$S:$S,'SPL FEED'!D$2)</f>
        <v>0</v>
      </c>
      <c r="E11" s="17">
        <f>COUNTIFS('Data Dump'!$P:$P,'SPL FEED'!$A11,'Data Dump'!$S:$S,'SPL FEED'!E$2)</f>
        <v>0</v>
      </c>
      <c r="F11" s="20">
        <f t="shared" si="0"/>
        <v>0</v>
      </c>
      <c r="G11" s="17">
        <f>COUNTIFS('Data Dump'!$P:$P,'SPL FEED'!$A11,'Data Dump'!$S:$S,'SPL FEED'!G$2)</f>
        <v>0</v>
      </c>
      <c r="H11" s="17">
        <f>COUNTIFS('Data Dump'!$P:$P,'SPL FEED'!$A11,'Data Dump'!$S:$S,'SPL FEED'!H$2)</f>
        <v>1</v>
      </c>
      <c r="I11" s="17">
        <f>COUNTIFS('Data Dump'!$P:$P,'SPL FEED'!$A11,'Data Dump'!$S:$S,'SPL FEED'!I$2)</f>
        <v>0</v>
      </c>
      <c r="J11" s="20">
        <f t="shared" si="1"/>
        <v>1</v>
      </c>
      <c r="K11" s="17">
        <f>COUNTIFS('Data Dump'!$P:$P,'SPL FEED'!$A11,'Data Dump'!$S:$S,'SPL FEED'!K$2)</f>
        <v>0</v>
      </c>
      <c r="L11" s="17">
        <f>COUNTIFS('Data Dump'!$P:$P,'SPL FEED'!$A11,'Data Dump'!$S:$S,'SPL FEED'!L$2)</f>
        <v>0</v>
      </c>
      <c r="M11" s="17">
        <f>COUNTIFS('Data Dump'!$P:$P,'SPL FEED'!$A11,'Data Dump'!$S:$S,'SPL FEED'!M$2)</f>
        <v>0</v>
      </c>
      <c r="N11" s="20">
        <f t="shared" si="2"/>
        <v>0</v>
      </c>
      <c r="O11" s="17">
        <f>COUNTIFS('Data Dump'!$P:$P,'SPL FEED'!$A11,'Data Dump'!$S:$S,'SPL FEED'!O$2)</f>
        <v>0</v>
      </c>
      <c r="P11" s="17">
        <f>COUNTIFS('Data Dump'!$P:$P,'SPL FEED'!$A11,'Data Dump'!$S:$S,'SPL FEED'!P$2)</f>
        <v>0</v>
      </c>
      <c r="Q11" s="17">
        <f>COUNTIFS('Data Dump'!$P:$P,'SPL FEED'!$A11,'Data Dump'!$S:$S,'SPL FEED'!Q$2)</f>
        <v>0</v>
      </c>
      <c r="R11" s="20">
        <f t="shared" si="3"/>
        <v>0</v>
      </c>
      <c r="S11" s="20">
        <f t="shared" si="4"/>
        <v>1</v>
      </c>
      <c r="T11" s="17">
        <f>COUNTIFS('Data Dump'!$P:$P,'SPL FEED'!$A11,'Data Dump'!$S:$S,'SPL FEED'!T$2)</f>
        <v>0</v>
      </c>
      <c r="U11" s="17">
        <f>COUNTIFS('Data Dump'!$P:$P,'SPL FEED'!$A11,'Data Dump'!$S:$S,'SPL FEED'!U$2)</f>
        <v>0</v>
      </c>
      <c r="V11" s="17">
        <f>COUNTIFS('Data Dump'!$P:$P,'SPL FEED'!$A11,'Data Dump'!$S:$S,'SPL FEED'!V$2)</f>
        <v>0</v>
      </c>
      <c r="W11" s="20">
        <f t="shared" si="5"/>
        <v>0</v>
      </c>
      <c r="X11" s="17">
        <f>COUNTIFS('Data Dump'!$P:$P,'SPL FEED'!$A11,'Data Dump'!$S:$S,'SPL FEED'!X$2)</f>
        <v>0</v>
      </c>
      <c r="Y11" s="17">
        <f>COUNTIFS('Data Dump'!$P:$P,'SPL FEED'!$A11,'Data Dump'!$S:$S,'SPL FEED'!Y$2)</f>
        <v>0</v>
      </c>
      <c r="Z11" s="17">
        <f>COUNTIFS('Data Dump'!$P:$P,'SPL FEED'!$A11,'Data Dump'!$S:$S,'SPL FEED'!Z$2)</f>
        <v>0</v>
      </c>
      <c r="AA11" s="20">
        <f t="shared" si="6"/>
        <v>0</v>
      </c>
      <c r="AB11" s="17">
        <f>COUNTIFS('Data Dump'!$P:$P,'SPL FEED'!$A11,'Data Dump'!$S:$S,'SPL FEED'!AB$2)</f>
        <v>0</v>
      </c>
      <c r="AC11" s="17">
        <f>COUNTIFS('Data Dump'!$P:$P,'SPL FEED'!$A11,'Data Dump'!$S:$S,'SPL FEED'!AC$2)</f>
        <v>0</v>
      </c>
      <c r="AD11" s="17">
        <f>COUNTIFS('Data Dump'!$P:$P,'SPL FEED'!$A11,'Data Dump'!$S:$S,'SPL FEED'!AD$2)</f>
        <v>0</v>
      </c>
      <c r="AE11" s="20">
        <f t="shared" si="7"/>
        <v>0</v>
      </c>
      <c r="AF11" s="17">
        <f>COUNTIFS('Data Dump'!$P:$P,'SPL FEED'!$A11,'Data Dump'!$S:$S,'SPL FEED'!AF$2)</f>
        <v>0</v>
      </c>
      <c r="AG11" s="17">
        <f>COUNTIFS('Data Dump'!$P:$P,'SPL FEED'!$A11,'Data Dump'!$S:$S,'SPL FEED'!AG$2)</f>
        <v>0</v>
      </c>
      <c r="AH11" s="17">
        <f>COUNTIFS('Data Dump'!$P:$P,'SPL FEED'!$A11,'Data Dump'!$S:$S,'SPL FEED'!AH$2)</f>
        <v>0</v>
      </c>
      <c r="AI11" s="20">
        <f t="shared" si="8"/>
        <v>0</v>
      </c>
      <c r="AJ11" s="20">
        <f t="shared" si="9"/>
        <v>0</v>
      </c>
    </row>
    <row r="12" spans="1:36" x14ac:dyDescent="0.25">
      <c r="A12" s="13" t="s">
        <v>165</v>
      </c>
      <c r="B12" s="12" t="s">
        <v>166</v>
      </c>
      <c r="C12" s="17">
        <f>COUNTIFS('Data Dump'!$P:$P,'SPL FEED'!$A12,'Data Dump'!$S:$S,'SPL FEED'!C$2)</f>
        <v>0</v>
      </c>
      <c r="D12" s="17">
        <f>COUNTIFS('Data Dump'!$P:$P,'SPL FEED'!$A12,'Data Dump'!$S:$S,'SPL FEED'!D$2)</f>
        <v>0</v>
      </c>
      <c r="E12" s="17">
        <f>COUNTIFS('Data Dump'!$P:$P,'SPL FEED'!$A12,'Data Dump'!$S:$S,'SPL FEED'!E$2)</f>
        <v>0</v>
      </c>
      <c r="F12" s="20">
        <f t="shared" si="0"/>
        <v>0</v>
      </c>
      <c r="G12" s="17">
        <f>COUNTIFS('Data Dump'!$P:$P,'SPL FEED'!$A12,'Data Dump'!$S:$S,'SPL FEED'!G$2)</f>
        <v>1</v>
      </c>
      <c r="H12" s="17">
        <f>COUNTIFS('Data Dump'!$P:$P,'SPL FEED'!$A12,'Data Dump'!$S:$S,'SPL FEED'!H$2)</f>
        <v>0</v>
      </c>
      <c r="I12" s="17">
        <f>COUNTIFS('Data Dump'!$P:$P,'SPL FEED'!$A12,'Data Dump'!$S:$S,'SPL FEED'!I$2)</f>
        <v>0</v>
      </c>
      <c r="J12" s="20">
        <f t="shared" si="1"/>
        <v>1</v>
      </c>
      <c r="K12" s="17">
        <f>COUNTIFS('Data Dump'!$P:$P,'SPL FEED'!$A12,'Data Dump'!$S:$S,'SPL FEED'!K$2)</f>
        <v>0</v>
      </c>
      <c r="L12" s="17">
        <f>COUNTIFS('Data Dump'!$P:$P,'SPL FEED'!$A12,'Data Dump'!$S:$S,'SPL FEED'!L$2)</f>
        <v>0</v>
      </c>
      <c r="M12" s="17">
        <f>COUNTIFS('Data Dump'!$P:$P,'SPL FEED'!$A12,'Data Dump'!$S:$S,'SPL FEED'!M$2)</f>
        <v>0</v>
      </c>
      <c r="N12" s="20">
        <f t="shared" si="2"/>
        <v>0</v>
      </c>
      <c r="O12" s="17">
        <f>COUNTIFS('Data Dump'!$P:$P,'SPL FEED'!$A12,'Data Dump'!$S:$S,'SPL FEED'!O$2)</f>
        <v>0</v>
      </c>
      <c r="P12" s="17">
        <f>COUNTIFS('Data Dump'!$P:$P,'SPL FEED'!$A12,'Data Dump'!$S:$S,'SPL FEED'!P$2)</f>
        <v>0</v>
      </c>
      <c r="Q12" s="17">
        <f>COUNTIFS('Data Dump'!$P:$P,'SPL FEED'!$A12,'Data Dump'!$S:$S,'SPL FEED'!Q$2)</f>
        <v>0</v>
      </c>
      <c r="R12" s="20">
        <f t="shared" si="3"/>
        <v>0</v>
      </c>
      <c r="S12" s="20">
        <f t="shared" si="4"/>
        <v>1</v>
      </c>
      <c r="T12" s="17">
        <f>COUNTIFS('Data Dump'!$P:$P,'SPL FEED'!$A12,'Data Dump'!$S:$S,'SPL FEED'!T$2)</f>
        <v>0</v>
      </c>
      <c r="U12" s="17">
        <f>COUNTIFS('Data Dump'!$P:$P,'SPL FEED'!$A12,'Data Dump'!$S:$S,'SPL FEED'!U$2)</f>
        <v>0</v>
      </c>
      <c r="V12" s="17">
        <f>COUNTIFS('Data Dump'!$P:$P,'SPL FEED'!$A12,'Data Dump'!$S:$S,'SPL FEED'!V$2)</f>
        <v>0</v>
      </c>
      <c r="W12" s="20">
        <f t="shared" si="5"/>
        <v>0</v>
      </c>
      <c r="X12" s="17">
        <f>COUNTIFS('Data Dump'!$P:$P,'SPL FEED'!$A12,'Data Dump'!$S:$S,'SPL FEED'!X$2)</f>
        <v>0</v>
      </c>
      <c r="Y12" s="17">
        <f>COUNTIFS('Data Dump'!$P:$P,'SPL FEED'!$A12,'Data Dump'!$S:$S,'SPL FEED'!Y$2)</f>
        <v>0</v>
      </c>
      <c r="Z12" s="17">
        <f>COUNTIFS('Data Dump'!$P:$P,'SPL FEED'!$A12,'Data Dump'!$S:$S,'SPL FEED'!Z$2)</f>
        <v>0</v>
      </c>
      <c r="AA12" s="20">
        <f t="shared" si="6"/>
        <v>0</v>
      </c>
      <c r="AB12" s="17">
        <f>COUNTIFS('Data Dump'!$P:$P,'SPL FEED'!$A12,'Data Dump'!$S:$S,'SPL FEED'!AB$2)</f>
        <v>0</v>
      </c>
      <c r="AC12" s="17">
        <f>COUNTIFS('Data Dump'!$P:$P,'SPL FEED'!$A12,'Data Dump'!$S:$S,'SPL FEED'!AC$2)</f>
        <v>0</v>
      </c>
      <c r="AD12" s="17">
        <f>COUNTIFS('Data Dump'!$P:$P,'SPL FEED'!$A12,'Data Dump'!$S:$S,'SPL FEED'!AD$2)</f>
        <v>0</v>
      </c>
      <c r="AE12" s="20">
        <f t="shared" si="7"/>
        <v>0</v>
      </c>
      <c r="AF12" s="17">
        <f>COUNTIFS('Data Dump'!$P:$P,'SPL FEED'!$A12,'Data Dump'!$S:$S,'SPL FEED'!AF$2)</f>
        <v>0</v>
      </c>
      <c r="AG12" s="17">
        <f>COUNTIFS('Data Dump'!$P:$P,'SPL FEED'!$A12,'Data Dump'!$S:$S,'SPL FEED'!AG$2)</f>
        <v>0</v>
      </c>
      <c r="AH12" s="17">
        <f>COUNTIFS('Data Dump'!$P:$P,'SPL FEED'!$A12,'Data Dump'!$S:$S,'SPL FEED'!AH$2)</f>
        <v>0</v>
      </c>
      <c r="AI12" s="20">
        <f t="shared" si="8"/>
        <v>0</v>
      </c>
      <c r="AJ12" s="20">
        <f t="shared" si="9"/>
        <v>0</v>
      </c>
    </row>
    <row r="13" spans="1:36" x14ac:dyDescent="0.25">
      <c r="A13" s="13" t="s">
        <v>167</v>
      </c>
      <c r="B13" s="12" t="s">
        <v>168</v>
      </c>
      <c r="C13" s="17">
        <f>COUNTIFS('Data Dump'!$P:$P,'SPL FEED'!$A13,'Data Dump'!$S:$S,'SPL FEED'!C$2)</f>
        <v>0</v>
      </c>
      <c r="D13" s="17">
        <f>COUNTIFS('Data Dump'!$P:$P,'SPL FEED'!$A13,'Data Dump'!$S:$S,'SPL FEED'!D$2)</f>
        <v>1</v>
      </c>
      <c r="E13" s="17">
        <f>COUNTIFS('Data Dump'!$P:$P,'SPL FEED'!$A13,'Data Dump'!$S:$S,'SPL FEED'!E$2)</f>
        <v>0</v>
      </c>
      <c r="F13" s="20">
        <f t="shared" si="0"/>
        <v>1</v>
      </c>
      <c r="G13" s="17">
        <f>COUNTIFS('Data Dump'!$P:$P,'SPL FEED'!$A13,'Data Dump'!$S:$S,'SPL FEED'!G$2)</f>
        <v>0</v>
      </c>
      <c r="H13" s="17">
        <f>COUNTIFS('Data Dump'!$P:$P,'SPL FEED'!$A13,'Data Dump'!$S:$S,'SPL FEED'!H$2)</f>
        <v>0</v>
      </c>
      <c r="I13" s="17">
        <f>COUNTIFS('Data Dump'!$P:$P,'SPL FEED'!$A13,'Data Dump'!$S:$S,'SPL FEED'!I$2)</f>
        <v>0</v>
      </c>
      <c r="J13" s="20">
        <f t="shared" si="1"/>
        <v>0</v>
      </c>
      <c r="K13" s="17">
        <f>COUNTIFS('Data Dump'!$P:$P,'SPL FEED'!$A13,'Data Dump'!$S:$S,'SPL FEED'!K$2)</f>
        <v>0</v>
      </c>
      <c r="L13" s="17">
        <f>COUNTIFS('Data Dump'!$P:$P,'SPL FEED'!$A13,'Data Dump'!$S:$S,'SPL FEED'!L$2)</f>
        <v>0</v>
      </c>
      <c r="M13" s="17">
        <f>COUNTIFS('Data Dump'!$P:$P,'SPL FEED'!$A13,'Data Dump'!$S:$S,'SPL FEED'!M$2)</f>
        <v>0</v>
      </c>
      <c r="N13" s="20">
        <f t="shared" si="2"/>
        <v>0</v>
      </c>
      <c r="O13" s="17">
        <f>COUNTIFS('Data Dump'!$P:$P,'SPL FEED'!$A13,'Data Dump'!$S:$S,'SPL FEED'!O$2)</f>
        <v>0</v>
      </c>
      <c r="P13" s="17">
        <f>COUNTIFS('Data Dump'!$P:$P,'SPL FEED'!$A13,'Data Dump'!$S:$S,'SPL FEED'!P$2)</f>
        <v>0</v>
      </c>
      <c r="Q13" s="17">
        <f>COUNTIFS('Data Dump'!$P:$P,'SPL FEED'!$A13,'Data Dump'!$S:$S,'SPL FEED'!Q$2)</f>
        <v>0</v>
      </c>
      <c r="R13" s="20">
        <f t="shared" si="3"/>
        <v>0</v>
      </c>
      <c r="S13" s="20">
        <f t="shared" si="4"/>
        <v>1</v>
      </c>
      <c r="T13" s="17">
        <f>COUNTIFS('Data Dump'!$P:$P,'SPL FEED'!$A13,'Data Dump'!$S:$S,'SPL FEED'!T$2)</f>
        <v>0</v>
      </c>
      <c r="U13" s="17">
        <f>COUNTIFS('Data Dump'!$P:$P,'SPL FEED'!$A13,'Data Dump'!$S:$S,'SPL FEED'!U$2)</f>
        <v>0</v>
      </c>
      <c r="V13" s="17">
        <f>COUNTIFS('Data Dump'!$P:$P,'SPL FEED'!$A13,'Data Dump'!$S:$S,'SPL FEED'!V$2)</f>
        <v>0</v>
      </c>
      <c r="W13" s="20">
        <f t="shared" si="5"/>
        <v>0</v>
      </c>
      <c r="X13" s="17">
        <f>COUNTIFS('Data Dump'!$P:$P,'SPL FEED'!$A13,'Data Dump'!$S:$S,'SPL FEED'!X$2)</f>
        <v>0</v>
      </c>
      <c r="Y13" s="17">
        <f>COUNTIFS('Data Dump'!$P:$P,'SPL FEED'!$A13,'Data Dump'!$S:$S,'SPL FEED'!Y$2)</f>
        <v>1</v>
      </c>
      <c r="Z13" s="17">
        <f>COUNTIFS('Data Dump'!$P:$P,'SPL FEED'!$A13,'Data Dump'!$S:$S,'SPL FEED'!Z$2)</f>
        <v>0</v>
      </c>
      <c r="AA13" s="20">
        <f t="shared" si="6"/>
        <v>1</v>
      </c>
      <c r="AB13" s="17">
        <f>COUNTIFS('Data Dump'!$P:$P,'SPL FEED'!$A13,'Data Dump'!$S:$S,'SPL FEED'!AB$2)</f>
        <v>0</v>
      </c>
      <c r="AC13" s="17">
        <f>COUNTIFS('Data Dump'!$P:$P,'SPL FEED'!$A13,'Data Dump'!$S:$S,'SPL FEED'!AC$2)</f>
        <v>0</v>
      </c>
      <c r="AD13" s="17">
        <f>COUNTIFS('Data Dump'!$P:$P,'SPL FEED'!$A13,'Data Dump'!$S:$S,'SPL FEED'!AD$2)</f>
        <v>0</v>
      </c>
      <c r="AE13" s="20">
        <f t="shared" si="7"/>
        <v>0</v>
      </c>
      <c r="AF13" s="17">
        <f>COUNTIFS('Data Dump'!$P:$P,'SPL FEED'!$A13,'Data Dump'!$S:$S,'SPL FEED'!AF$2)</f>
        <v>0</v>
      </c>
      <c r="AG13" s="17">
        <f>COUNTIFS('Data Dump'!$P:$P,'SPL FEED'!$A13,'Data Dump'!$S:$S,'SPL FEED'!AG$2)</f>
        <v>0</v>
      </c>
      <c r="AH13" s="17">
        <f>COUNTIFS('Data Dump'!$P:$P,'SPL FEED'!$A13,'Data Dump'!$S:$S,'SPL FEED'!AH$2)</f>
        <v>0</v>
      </c>
      <c r="AI13" s="20">
        <f t="shared" si="8"/>
        <v>0</v>
      </c>
      <c r="AJ13" s="20">
        <f t="shared" si="9"/>
        <v>1</v>
      </c>
    </row>
    <row r="14" spans="1:36" x14ac:dyDescent="0.25">
      <c r="A14" s="13" t="s">
        <v>169</v>
      </c>
      <c r="B14" s="12" t="s">
        <v>170</v>
      </c>
      <c r="C14" s="17">
        <f>COUNTIFS('Data Dump'!$P:$P,'SPL FEED'!$A14,'Data Dump'!$S:$S,'SPL FEED'!C$2)</f>
        <v>0</v>
      </c>
      <c r="D14" s="17">
        <f>COUNTIFS('Data Dump'!$P:$P,'SPL FEED'!$A14,'Data Dump'!$S:$S,'SPL FEED'!D$2)</f>
        <v>0</v>
      </c>
      <c r="E14" s="17">
        <f>COUNTIFS('Data Dump'!$P:$P,'SPL FEED'!$A14,'Data Dump'!$S:$S,'SPL FEED'!E$2)</f>
        <v>0</v>
      </c>
      <c r="F14" s="20">
        <f t="shared" si="0"/>
        <v>0</v>
      </c>
      <c r="G14" s="17">
        <f>COUNTIFS('Data Dump'!$P:$P,'SPL FEED'!$A14,'Data Dump'!$S:$S,'SPL FEED'!G$2)</f>
        <v>0</v>
      </c>
      <c r="H14" s="17">
        <f>COUNTIFS('Data Dump'!$P:$P,'SPL FEED'!$A14,'Data Dump'!$S:$S,'SPL FEED'!H$2)</f>
        <v>0</v>
      </c>
      <c r="I14" s="17">
        <f>COUNTIFS('Data Dump'!$P:$P,'SPL FEED'!$A14,'Data Dump'!$S:$S,'SPL FEED'!I$2)</f>
        <v>0</v>
      </c>
      <c r="J14" s="20">
        <f t="shared" si="1"/>
        <v>0</v>
      </c>
      <c r="K14" s="17">
        <f>COUNTIFS('Data Dump'!$P:$P,'SPL FEED'!$A14,'Data Dump'!$S:$S,'SPL FEED'!K$2)</f>
        <v>0</v>
      </c>
      <c r="L14" s="17">
        <f>COUNTIFS('Data Dump'!$P:$P,'SPL FEED'!$A14,'Data Dump'!$S:$S,'SPL FEED'!L$2)</f>
        <v>0</v>
      </c>
      <c r="M14" s="17">
        <f>COUNTIFS('Data Dump'!$P:$P,'SPL FEED'!$A14,'Data Dump'!$S:$S,'SPL FEED'!M$2)</f>
        <v>0</v>
      </c>
      <c r="N14" s="20">
        <f t="shared" si="2"/>
        <v>0</v>
      </c>
      <c r="O14" s="17">
        <f>COUNTIFS('Data Dump'!$P:$P,'SPL FEED'!$A14,'Data Dump'!$S:$S,'SPL FEED'!O$2)</f>
        <v>0</v>
      </c>
      <c r="P14" s="17">
        <f>COUNTIFS('Data Dump'!$P:$P,'SPL FEED'!$A14,'Data Dump'!$S:$S,'SPL FEED'!P$2)</f>
        <v>0</v>
      </c>
      <c r="Q14" s="17">
        <f>COUNTIFS('Data Dump'!$P:$P,'SPL FEED'!$A14,'Data Dump'!$S:$S,'SPL FEED'!Q$2)</f>
        <v>0</v>
      </c>
      <c r="R14" s="20">
        <f t="shared" si="3"/>
        <v>0</v>
      </c>
      <c r="S14" s="20">
        <f t="shared" si="4"/>
        <v>0</v>
      </c>
      <c r="T14" s="17">
        <f>COUNTIFS('Data Dump'!$P:$P,'SPL FEED'!$A14,'Data Dump'!$S:$S,'SPL FEED'!T$2)</f>
        <v>0</v>
      </c>
      <c r="U14" s="17">
        <f>COUNTIFS('Data Dump'!$P:$P,'SPL FEED'!$A14,'Data Dump'!$S:$S,'SPL FEED'!U$2)</f>
        <v>1</v>
      </c>
      <c r="V14" s="17">
        <f>COUNTIFS('Data Dump'!$P:$P,'SPL FEED'!$A14,'Data Dump'!$S:$S,'SPL FEED'!V$2)</f>
        <v>0</v>
      </c>
      <c r="W14" s="20">
        <f t="shared" si="5"/>
        <v>1</v>
      </c>
      <c r="X14" s="17">
        <f>COUNTIFS('Data Dump'!$P:$P,'SPL FEED'!$A14,'Data Dump'!$S:$S,'SPL FEED'!X$2)</f>
        <v>0</v>
      </c>
      <c r="Y14" s="17">
        <f>COUNTIFS('Data Dump'!$P:$P,'SPL FEED'!$A14,'Data Dump'!$S:$S,'SPL FEED'!Y$2)</f>
        <v>0</v>
      </c>
      <c r="Z14" s="17">
        <f>COUNTIFS('Data Dump'!$P:$P,'SPL FEED'!$A14,'Data Dump'!$S:$S,'SPL FEED'!Z$2)</f>
        <v>0</v>
      </c>
      <c r="AA14" s="20">
        <f t="shared" si="6"/>
        <v>0</v>
      </c>
      <c r="AB14" s="17">
        <f>COUNTIFS('Data Dump'!$P:$P,'SPL FEED'!$A14,'Data Dump'!$S:$S,'SPL FEED'!AB$2)</f>
        <v>0</v>
      </c>
      <c r="AC14" s="17">
        <f>COUNTIFS('Data Dump'!$P:$P,'SPL FEED'!$A14,'Data Dump'!$S:$S,'SPL FEED'!AC$2)</f>
        <v>0</v>
      </c>
      <c r="AD14" s="17">
        <f>COUNTIFS('Data Dump'!$P:$P,'SPL FEED'!$A14,'Data Dump'!$S:$S,'SPL FEED'!AD$2)</f>
        <v>0</v>
      </c>
      <c r="AE14" s="20">
        <f t="shared" si="7"/>
        <v>0</v>
      </c>
      <c r="AF14" s="17">
        <f>COUNTIFS('Data Dump'!$P:$P,'SPL FEED'!$A14,'Data Dump'!$S:$S,'SPL FEED'!AF$2)</f>
        <v>0</v>
      </c>
      <c r="AG14" s="17">
        <f>COUNTIFS('Data Dump'!$P:$P,'SPL FEED'!$A14,'Data Dump'!$S:$S,'SPL FEED'!AG$2)</f>
        <v>0</v>
      </c>
      <c r="AH14" s="17">
        <f>COUNTIFS('Data Dump'!$P:$P,'SPL FEED'!$A14,'Data Dump'!$S:$S,'SPL FEED'!AH$2)</f>
        <v>0</v>
      </c>
      <c r="AI14" s="20">
        <f t="shared" si="8"/>
        <v>0</v>
      </c>
      <c r="AJ14" s="20">
        <f t="shared" si="9"/>
        <v>1</v>
      </c>
    </row>
    <row r="15" spans="1:36" x14ac:dyDescent="0.25">
      <c r="A15" s="13" t="s">
        <v>171</v>
      </c>
      <c r="B15" s="12" t="s">
        <v>172</v>
      </c>
      <c r="C15" s="17">
        <f>COUNTIFS('Data Dump'!$P:$P,'SPL FEED'!$A15,'Data Dump'!$S:$S,'SPL FEED'!C$2)</f>
        <v>1</v>
      </c>
      <c r="D15" s="17">
        <f>COUNTIFS('Data Dump'!$P:$P,'SPL FEED'!$A15,'Data Dump'!$S:$S,'SPL FEED'!D$2)</f>
        <v>0</v>
      </c>
      <c r="E15" s="17">
        <f>COUNTIFS('Data Dump'!$P:$P,'SPL FEED'!$A15,'Data Dump'!$S:$S,'SPL FEED'!E$2)</f>
        <v>0</v>
      </c>
      <c r="F15" s="20">
        <f t="shared" si="0"/>
        <v>1</v>
      </c>
      <c r="G15" s="17">
        <f>COUNTIFS('Data Dump'!$P:$P,'SPL FEED'!$A15,'Data Dump'!$S:$S,'SPL FEED'!G$2)</f>
        <v>0</v>
      </c>
      <c r="H15" s="17">
        <f>COUNTIFS('Data Dump'!$P:$P,'SPL FEED'!$A15,'Data Dump'!$S:$S,'SPL FEED'!H$2)</f>
        <v>1</v>
      </c>
      <c r="I15" s="17">
        <f>COUNTIFS('Data Dump'!$P:$P,'SPL FEED'!$A15,'Data Dump'!$S:$S,'SPL FEED'!I$2)</f>
        <v>1</v>
      </c>
      <c r="J15" s="20">
        <f t="shared" si="1"/>
        <v>2</v>
      </c>
      <c r="K15" s="17">
        <f>COUNTIFS('Data Dump'!$P:$P,'SPL FEED'!$A15,'Data Dump'!$S:$S,'SPL FEED'!K$2)</f>
        <v>0</v>
      </c>
      <c r="L15" s="17">
        <f>COUNTIFS('Data Dump'!$P:$P,'SPL FEED'!$A15,'Data Dump'!$S:$S,'SPL FEED'!L$2)</f>
        <v>0</v>
      </c>
      <c r="M15" s="17">
        <f>COUNTIFS('Data Dump'!$P:$P,'SPL FEED'!$A15,'Data Dump'!$S:$S,'SPL FEED'!M$2)</f>
        <v>2</v>
      </c>
      <c r="N15" s="20">
        <f t="shared" si="2"/>
        <v>2</v>
      </c>
      <c r="O15" s="17">
        <f>COUNTIFS('Data Dump'!$P:$P,'SPL FEED'!$A15,'Data Dump'!$S:$S,'SPL FEED'!O$2)</f>
        <v>0</v>
      </c>
      <c r="P15" s="17">
        <f>COUNTIFS('Data Dump'!$P:$P,'SPL FEED'!$A15,'Data Dump'!$S:$S,'SPL FEED'!P$2)</f>
        <v>0</v>
      </c>
      <c r="Q15" s="17">
        <f>COUNTIFS('Data Dump'!$P:$P,'SPL FEED'!$A15,'Data Dump'!$S:$S,'SPL FEED'!Q$2)</f>
        <v>0</v>
      </c>
      <c r="R15" s="20">
        <f t="shared" si="3"/>
        <v>0</v>
      </c>
      <c r="S15" s="20">
        <f t="shared" si="4"/>
        <v>5</v>
      </c>
      <c r="T15" s="17">
        <f>COUNTIFS('Data Dump'!$P:$P,'SPL FEED'!$A15,'Data Dump'!$S:$S,'SPL FEED'!T$2)</f>
        <v>0</v>
      </c>
      <c r="U15" s="17">
        <f>COUNTIFS('Data Dump'!$P:$P,'SPL FEED'!$A15,'Data Dump'!$S:$S,'SPL FEED'!U$2)</f>
        <v>0</v>
      </c>
      <c r="V15" s="17">
        <f>COUNTIFS('Data Dump'!$P:$P,'SPL FEED'!$A15,'Data Dump'!$S:$S,'SPL FEED'!V$2)</f>
        <v>0</v>
      </c>
      <c r="W15" s="20">
        <f t="shared" si="5"/>
        <v>0</v>
      </c>
      <c r="X15" s="17">
        <f>COUNTIFS('Data Dump'!$P:$P,'SPL FEED'!$A15,'Data Dump'!$S:$S,'SPL FEED'!X$2)</f>
        <v>1</v>
      </c>
      <c r="Y15" s="17">
        <f>COUNTIFS('Data Dump'!$P:$P,'SPL FEED'!$A15,'Data Dump'!$S:$S,'SPL FEED'!Y$2)</f>
        <v>3</v>
      </c>
      <c r="Z15" s="17">
        <f>COUNTIFS('Data Dump'!$P:$P,'SPL FEED'!$A15,'Data Dump'!$S:$S,'SPL FEED'!Z$2)</f>
        <v>0</v>
      </c>
      <c r="AA15" s="20">
        <f t="shared" si="6"/>
        <v>4</v>
      </c>
      <c r="AB15" s="17">
        <f>COUNTIFS('Data Dump'!$P:$P,'SPL FEED'!$A15,'Data Dump'!$S:$S,'SPL FEED'!AB$2)</f>
        <v>0</v>
      </c>
      <c r="AC15" s="17">
        <f>COUNTIFS('Data Dump'!$P:$P,'SPL FEED'!$A15,'Data Dump'!$S:$S,'SPL FEED'!AC$2)</f>
        <v>0</v>
      </c>
      <c r="AD15" s="17">
        <f>COUNTIFS('Data Dump'!$P:$P,'SPL FEED'!$A15,'Data Dump'!$S:$S,'SPL FEED'!AD$2)</f>
        <v>2</v>
      </c>
      <c r="AE15" s="20">
        <f t="shared" si="7"/>
        <v>2</v>
      </c>
      <c r="AF15" s="17">
        <f>COUNTIFS('Data Dump'!$P:$P,'SPL FEED'!$A15,'Data Dump'!$S:$S,'SPL FEED'!AF$2)</f>
        <v>0</v>
      </c>
      <c r="AG15" s="17">
        <f>COUNTIFS('Data Dump'!$P:$P,'SPL FEED'!$A15,'Data Dump'!$S:$S,'SPL FEED'!AG$2)</f>
        <v>2</v>
      </c>
      <c r="AH15" s="17">
        <f>COUNTIFS('Data Dump'!$P:$P,'SPL FEED'!$A15,'Data Dump'!$S:$S,'SPL FEED'!AH$2)</f>
        <v>0</v>
      </c>
      <c r="AI15" s="20">
        <f t="shared" si="8"/>
        <v>2</v>
      </c>
      <c r="AJ15" s="20">
        <f t="shared" si="9"/>
        <v>8</v>
      </c>
    </row>
    <row r="16" spans="1:36" x14ac:dyDescent="0.25">
      <c r="A16" s="13" t="s">
        <v>173</v>
      </c>
      <c r="B16" s="12" t="s">
        <v>174</v>
      </c>
      <c r="C16" s="17">
        <f>COUNTIFS('Data Dump'!$P:$P,'SPL FEED'!$A16,'Data Dump'!$S:$S,'SPL FEED'!C$2)</f>
        <v>0</v>
      </c>
      <c r="D16" s="17">
        <f>COUNTIFS('Data Dump'!$P:$P,'SPL FEED'!$A16,'Data Dump'!$S:$S,'SPL FEED'!D$2)</f>
        <v>0</v>
      </c>
      <c r="E16" s="17">
        <f>COUNTIFS('Data Dump'!$P:$P,'SPL FEED'!$A16,'Data Dump'!$S:$S,'SPL FEED'!E$2)</f>
        <v>1</v>
      </c>
      <c r="F16" s="20">
        <f t="shared" si="0"/>
        <v>1</v>
      </c>
      <c r="G16" s="17">
        <f>COUNTIFS('Data Dump'!$P:$P,'SPL FEED'!$A16,'Data Dump'!$S:$S,'SPL FEED'!G$2)</f>
        <v>0</v>
      </c>
      <c r="H16" s="17">
        <f>COUNTIFS('Data Dump'!$P:$P,'SPL FEED'!$A16,'Data Dump'!$S:$S,'SPL FEED'!H$2)</f>
        <v>0</v>
      </c>
      <c r="I16" s="17">
        <f>COUNTIFS('Data Dump'!$P:$P,'SPL FEED'!$A16,'Data Dump'!$S:$S,'SPL FEED'!I$2)</f>
        <v>0</v>
      </c>
      <c r="J16" s="20">
        <f t="shared" si="1"/>
        <v>0</v>
      </c>
      <c r="K16" s="17">
        <f>COUNTIFS('Data Dump'!$P:$P,'SPL FEED'!$A16,'Data Dump'!$S:$S,'SPL FEED'!K$2)</f>
        <v>0</v>
      </c>
      <c r="L16" s="17">
        <f>COUNTIFS('Data Dump'!$P:$P,'SPL FEED'!$A16,'Data Dump'!$S:$S,'SPL FEED'!L$2)</f>
        <v>0</v>
      </c>
      <c r="M16" s="17">
        <f>COUNTIFS('Data Dump'!$P:$P,'SPL FEED'!$A16,'Data Dump'!$S:$S,'SPL FEED'!M$2)</f>
        <v>0</v>
      </c>
      <c r="N16" s="20">
        <f t="shared" si="2"/>
        <v>0</v>
      </c>
      <c r="O16" s="17">
        <f>COUNTIFS('Data Dump'!$P:$P,'SPL FEED'!$A16,'Data Dump'!$S:$S,'SPL FEED'!O$2)</f>
        <v>0</v>
      </c>
      <c r="P16" s="17">
        <f>COUNTIFS('Data Dump'!$P:$P,'SPL FEED'!$A16,'Data Dump'!$S:$S,'SPL FEED'!P$2)</f>
        <v>0</v>
      </c>
      <c r="Q16" s="17">
        <f>COUNTIFS('Data Dump'!$P:$P,'SPL FEED'!$A16,'Data Dump'!$S:$S,'SPL FEED'!Q$2)</f>
        <v>0</v>
      </c>
      <c r="R16" s="20">
        <f t="shared" si="3"/>
        <v>0</v>
      </c>
      <c r="S16" s="20">
        <f t="shared" si="4"/>
        <v>1</v>
      </c>
      <c r="T16" s="17">
        <f>COUNTIFS('Data Dump'!$P:$P,'SPL FEED'!$A16,'Data Dump'!$S:$S,'SPL FEED'!T$2)</f>
        <v>0</v>
      </c>
      <c r="U16" s="17">
        <f>COUNTIFS('Data Dump'!$P:$P,'SPL FEED'!$A16,'Data Dump'!$S:$S,'SPL FEED'!U$2)</f>
        <v>0</v>
      </c>
      <c r="V16" s="17">
        <f>COUNTIFS('Data Dump'!$P:$P,'SPL FEED'!$A16,'Data Dump'!$S:$S,'SPL FEED'!V$2)</f>
        <v>0</v>
      </c>
      <c r="W16" s="20">
        <f t="shared" si="5"/>
        <v>0</v>
      </c>
      <c r="X16" s="17">
        <f>COUNTIFS('Data Dump'!$P:$P,'SPL FEED'!$A16,'Data Dump'!$S:$S,'SPL FEED'!X$2)</f>
        <v>0</v>
      </c>
      <c r="Y16" s="17">
        <f>COUNTIFS('Data Dump'!$P:$P,'SPL FEED'!$A16,'Data Dump'!$S:$S,'SPL FEED'!Y$2)</f>
        <v>0</v>
      </c>
      <c r="Z16" s="17">
        <f>COUNTIFS('Data Dump'!$P:$P,'SPL FEED'!$A16,'Data Dump'!$S:$S,'SPL FEED'!Z$2)</f>
        <v>0</v>
      </c>
      <c r="AA16" s="20">
        <f t="shared" si="6"/>
        <v>0</v>
      </c>
      <c r="AB16" s="17">
        <f>COUNTIFS('Data Dump'!$P:$P,'SPL FEED'!$A16,'Data Dump'!$S:$S,'SPL FEED'!AB$2)</f>
        <v>0</v>
      </c>
      <c r="AC16" s="17">
        <f>COUNTIFS('Data Dump'!$P:$P,'SPL FEED'!$A16,'Data Dump'!$S:$S,'SPL FEED'!AC$2)</f>
        <v>0</v>
      </c>
      <c r="AD16" s="17">
        <f>COUNTIFS('Data Dump'!$P:$P,'SPL FEED'!$A16,'Data Dump'!$S:$S,'SPL FEED'!AD$2)</f>
        <v>0</v>
      </c>
      <c r="AE16" s="20">
        <f t="shared" si="7"/>
        <v>0</v>
      </c>
      <c r="AF16" s="17">
        <f>COUNTIFS('Data Dump'!$P:$P,'SPL FEED'!$A16,'Data Dump'!$S:$S,'SPL FEED'!AF$2)</f>
        <v>0</v>
      </c>
      <c r="AG16" s="17">
        <f>COUNTIFS('Data Dump'!$P:$P,'SPL FEED'!$A16,'Data Dump'!$S:$S,'SPL FEED'!AG$2)</f>
        <v>0</v>
      </c>
      <c r="AH16" s="17">
        <f>COUNTIFS('Data Dump'!$P:$P,'SPL FEED'!$A16,'Data Dump'!$S:$S,'SPL FEED'!AH$2)</f>
        <v>0</v>
      </c>
      <c r="AI16" s="20">
        <f t="shared" si="8"/>
        <v>0</v>
      </c>
      <c r="AJ16" s="20">
        <f t="shared" si="9"/>
        <v>0</v>
      </c>
    </row>
    <row r="17" spans="1:36" x14ac:dyDescent="0.25">
      <c r="A17" s="13" t="s">
        <v>175</v>
      </c>
      <c r="B17" s="12" t="s">
        <v>176</v>
      </c>
      <c r="C17" s="17">
        <f>COUNTIFS('Data Dump'!$P:$P,'SPL FEED'!$A17,'Data Dump'!$S:$S,'SPL FEED'!C$2)</f>
        <v>0</v>
      </c>
      <c r="D17" s="17">
        <f>COUNTIFS('Data Dump'!$P:$P,'SPL FEED'!$A17,'Data Dump'!$S:$S,'SPL FEED'!D$2)</f>
        <v>0</v>
      </c>
      <c r="E17" s="17">
        <f>COUNTIFS('Data Dump'!$P:$P,'SPL FEED'!$A17,'Data Dump'!$S:$S,'SPL FEED'!E$2)</f>
        <v>0</v>
      </c>
      <c r="F17" s="20">
        <f t="shared" si="0"/>
        <v>0</v>
      </c>
      <c r="G17" s="17">
        <f>COUNTIFS('Data Dump'!$P:$P,'SPL FEED'!$A17,'Data Dump'!$S:$S,'SPL FEED'!G$2)</f>
        <v>0</v>
      </c>
      <c r="H17" s="17">
        <f>COUNTIFS('Data Dump'!$P:$P,'SPL FEED'!$A17,'Data Dump'!$S:$S,'SPL FEED'!H$2)</f>
        <v>0</v>
      </c>
      <c r="I17" s="17">
        <f>COUNTIFS('Data Dump'!$P:$P,'SPL FEED'!$A17,'Data Dump'!$S:$S,'SPL FEED'!I$2)</f>
        <v>0</v>
      </c>
      <c r="J17" s="20">
        <f t="shared" si="1"/>
        <v>0</v>
      </c>
      <c r="K17" s="17">
        <f>COUNTIFS('Data Dump'!$P:$P,'SPL FEED'!$A17,'Data Dump'!$S:$S,'SPL FEED'!K$2)</f>
        <v>0</v>
      </c>
      <c r="L17" s="17">
        <f>COUNTIFS('Data Dump'!$P:$P,'SPL FEED'!$A17,'Data Dump'!$S:$S,'SPL FEED'!L$2)</f>
        <v>0</v>
      </c>
      <c r="M17" s="17">
        <f>COUNTIFS('Data Dump'!$P:$P,'SPL FEED'!$A17,'Data Dump'!$S:$S,'SPL FEED'!M$2)</f>
        <v>0</v>
      </c>
      <c r="N17" s="20">
        <f t="shared" si="2"/>
        <v>0</v>
      </c>
      <c r="O17" s="17">
        <f>COUNTIFS('Data Dump'!$P:$P,'SPL FEED'!$A17,'Data Dump'!$S:$S,'SPL FEED'!O$2)</f>
        <v>0</v>
      </c>
      <c r="P17" s="17">
        <f>COUNTIFS('Data Dump'!$P:$P,'SPL FEED'!$A17,'Data Dump'!$S:$S,'SPL FEED'!P$2)</f>
        <v>0</v>
      </c>
      <c r="Q17" s="17">
        <f>COUNTIFS('Data Dump'!$P:$P,'SPL FEED'!$A17,'Data Dump'!$S:$S,'SPL FEED'!Q$2)</f>
        <v>0</v>
      </c>
      <c r="R17" s="20">
        <f t="shared" si="3"/>
        <v>0</v>
      </c>
      <c r="S17" s="20">
        <f t="shared" si="4"/>
        <v>0</v>
      </c>
      <c r="T17" s="17">
        <f>COUNTIFS('Data Dump'!$P:$P,'SPL FEED'!$A17,'Data Dump'!$S:$S,'SPL FEED'!T$2)</f>
        <v>0</v>
      </c>
      <c r="U17" s="17">
        <f>COUNTIFS('Data Dump'!$P:$P,'SPL FEED'!$A17,'Data Dump'!$S:$S,'SPL FEED'!U$2)</f>
        <v>0</v>
      </c>
      <c r="V17" s="17">
        <f>COUNTIFS('Data Dump'!$P:$P,'SPL FEED'!$A17,'Data Dump'!$S:$S,'SPL FEED'!V$2)</f>
        <v>0</v>
      </c>
      <c r="W17" s="20">
        <f t="shared" si="5"/>
        <v>0</v>
      </c>
      <c r="X17" s="17">
        <f>COUNTIFS('Data Dump'!$P:$P,'SPL FEED'!$A17,'Data Dump'!$S:$S,'SPL FEED'!X$2)</f>
        <v>0</v>
      </c>
      <c r="Y17" s="17">
        <f>COUNTIFS('Data Dump'!$P:$P,'SPL FEED'!$A17,'Data Dump'!$S:$S,'SPL FEED'!Y$2)</f>
        <v>0</v>
      </c>
      <c r="Z17" s="17">
        <f>COUNTIFS('Data Dump'!$P:$P,'SPL FEED'!$A17,'Data Dump'!$S:$S,'SPL FEED'!Z$2)</f>
        <v>0</v>
      </c>
      <c r="AA17" s="20">
        <f t="shared" si="6"/>
        <v>0</v>
      </c>
      <c r="AB17" s="17">
        <f>COUNTIFS('Data Dump'!$P:$P,'SPL FEED'!$A17,'Data Dump'!$S:$S,'SPL FEED'!AB$2)</f>
        <v>0</v>
      </c>
      <c r="AC17" s="17">
        <f>COUNTIFS('Data Dump'!$P:$P,'SPL FEED'!$A17,'Data Dump'!$S:$S,'SPL FEED'!AC$2)</f>
        <v>0</v>
      </c>
      <c r="AD17" s="17">
        <f>COUNTIFS('Data Dump'!$P:$P,'SPL FEED'!$A17,'Data Dump'!$S:$S,'SPL FEED'!AD$2)</f>
        <v>0</v>
      </c>
      <c r="AE17" s="20">
        <f t="shared" si="7"/>
        <v>0</v>
      </c>
      <c r="AF17" s="17">
        <f>COUNTIFS('Data Dump'!$P:$P,'SPL FEED'!$A17,'Data Dump'!$S:$S,'SPL FEED'!AF$2)</f>
        <v>0</v>
      </c>
      <c r="AG17" s="17">
        <f>COUNTIFS('Data Dump'!$P:$P,'SPL FEED'!$A17,'Data Dump'!$S:$S,'SPL FEED'!AG$2)</f>
        <v>0</v>
      </c>
      <c r="AH17" s="17">
        <f>COUNTIFS('Data Dump'!$P:$P,'SPL FEED'!$A17,'Data Dump'!$S:$S,'SPL FEED'!AH$2)</f>
        <v>0</v>
      </c>
      <c r="AI17" s="20">
        <f t="shared" si="8"/>
        <v>0</v>
      </c>
      <c r="AJ17" s="20">
        <f t="shared" si="9"/>
        <v>0</v>
      </c>
    </row>
    <row r="18" spans="1:36" x14ac:dyDescent="0.25">
      <c r="A18" s="13" t="s">
        <v>177</v>
      </c>
      <c r="B18" s="12" t="s">
        <v>178</v>
      </c>
      <c r="C18" s="17">
        <f>COUNTIFS('Data Dump'!$P:$P,'SPL FEED'!$A18,'Data Dump'!$S:$S,'SPL FEED'!C$2)</f>
        <v>0</v>
      </c>
      <c r="D18" s="17">
        <f>COUNTIFS('Data Dump'!$P:$P,'SPL FEED'!$A18,'Data Dump'!$S:$S,'SPL FEED'!D$2)</f>
        <v>0</v>
      </c>
      <c r="E18" s="17">
        <f>COUNTIFS('Data Dump'!$P:$P,'SPL FEED'!$A18,'Data Dump'!$S:$S,'SPL FEED'!E$2)</f>
        <v>0</v>
      </c>
      <c r="F18" s="20">
        <f t="shared" si="0"/>
        <v>0</v>
      </c>
      <c r="G18" s="17">
        <f>COUNTIFS('Data Dump'!$P:$P,'SPL FEED'!$A18,'Data Dump'!$S:$S,'SPL FEED'!G$2)</f>
        <v>0</v>
      </c>
      <c r="H18" s="17">
        <f>COUNTIFS('Data Dump'!$P:$P,'SPL FEED'!$A18,'Data Dump'!$S:$S,'SPL FEED'!H$2)</f>
        <v>0</v>
      </c>
      <c r="I18" s="17">
        <f>COUNTIFS('Data Dump'!$P:$P,'SPL FEED'!$A18,'Data Dump'!$S:$S,'SPL FEED'!I$2)</f>
        <v>0</v>
      </c>
      <c r="J18" s="20">
        <f t="shared" si="1"/>
        <v>0</v>
      </c>
      <c r="K18" s="17">
        <f>COUNTIFS('Data Dump'!$P:$P,'SPL FEED'!$A18,'Data Dump'!$S:$S,'SPL FEED'!K$2)</f>
        <v>0</v>
      </c>
      <c r="L18" s="17">
        <f>COUNTIFS('Data Dump'!$P:$P,'SPL FEED'!$A18,'Data Dump'!$S:$S,'SPL FEED'!L$2)</f>
        <v>0</v>
      </c>
      <c r="M18" s="17">
        <f>COUNTIFS('Data Dump'!$P:$P,'SPL FEED'!$A18,'Data Dump'!$S:$S,'SPL FEED'!M$2)</f>
        <v>0</v>
      </c>
      <c r="N18" s="20">
        <f t="shared" si="2"/>
        <v>0</v>
      </c>
      <c r="O18" s="17">
        <f>COUNTIFS('Data Dump'!$P:$P,'SPL FEED'!$A18,'Data Dump'!$S:$S,'SPL FEED'!O$2)</f>
        <v>0</v>
      </c>
      <c r="P18" s="17">
        <f>COUNTIFS('Data Dump'!$P:$P,'SPL FEED'!$A18,'Data Dump'!$S:$S,'SPL FEED'!P$2)</f>
        <v>0</v>
      </c>
      <c r="Q18" s="17">
        <f>COUNTIFS('Data Dump'!$P:$P,'SPL FEED'!$A18,'Data Dump'!$S:$S,'SPL FEED'!Q$2)</f>
        <v>0</v>
      </c>
      <c r="R18" s="20">
        <f t="shared" si="3"/>
        <v>0</v>
      </c>
      <c r="S18" s="20">
        <f t="shared" si="4"/>
        <v>0</v>
      </c>
      <c r="T18" s="17">
        <f>COUNTIFS('Data Dump'!$P:$P,'SPL FEED'!$A18,'Data Dump'!$S:$S,'SPL FEED'!T$2)</f>
        <v>0</v>
      </c>
      <c r="U18" s="17">
        <f>COUNTIFS('Data Dump'!$P:$P,'SPL FEED'!$A18,'Data Dump'!$S:$S,'SPL FEED'!U$2)</f>
        <v>0</v>
      </c>
      <c r="V18" s="17">
        <f>COUNTIFS('Data Dump'!$P:$P,'SPL FEED'!$A18,'Data Dump'!$S:$S,'SPL FEED'!V$2)</f>
        <v>0</v>
      </c>
      <c r="W18" s="20">
        <f t="shared" si="5"/>
        <v>0</v>
      </c>
      <c r="X18" s="17">
        <f>COUNTIFS('Data Dump'!$P:$P,'SPL FEED'!$A18,'Data Dump'!$S:$S,'SPL FEED'!X$2)</f>
        <v>0</v>
      </c>
      <c r="Y18" s="17">
        <f>COUNTIFS('Data Dump'!$P:$P,'SPL FEED'!$A18,'Data Dump'!$S:$S,'SPL FEED'!Y$2)</f>
        <v>0</v>
      </c>
      <c r="Z18" s="17">
        <f>COUNTIFS('Data Dump'!$P:$P,'SPL FEED'!$A18,'Data Dump'!$S:$S,'SPL FEED'!Z$2)</f>
        <v>0</v>
      </c>
      <c r="AA18" s="20">
        <f t="shared" si="6"/>
        <v>0</v>
      </c>
      <c r="AB18" s="17">
        <f>COUNTIFS('Data Dump'!$P:$P,'SPL FEED'!$A18,'Data Dump'!$S:$S,'SPL FEED'!AB$2)</f>
        <v>0</v>
      </c>
      <c r="AC18" s="17">
        <f>COUNTIFS('Data Dump'!$P:$P,'SPL FEED'!$A18,'Data Dump'!$S:$S,'SPL FEED'!AC$2)</f>
        <v>0</v>
      </c>
      <c r="AD18" s="17">
        <f>COUNTIFS('Data Dump'!$P:$P,'SPL FEED'!$A18,'Data Dump'!$S:$S,'SPL FEED'!AD$2)</f>
        <v>0</v>
      </c>
      <c r="AE18" s="20">
        <f t="shared" si="7"/>
        <v>0</v>
      </c>
      <c r="AF18" s="17">
        <f>COUNTIFS('Data Dump'!$P:$P,'SPL FEED'!$A18,'Data Dump'!$S:$S,'SPL FEED'!AF$2)</f>
        <v>0</v>
      </c>
      <c r="AG18" s="17">
        <f>COUNTIFS('Data Dump'!$P:$P,'SPL FEED'!$A18,'Data Dump'!$S:$S,'SPL FEED'!AG$2)</f>
        <v>0</v>
      </c>
      <c r="AH18" s="17">
        <f>COUNTIFS('Data Dump'!$P:$P,'SPL FEED'!$A18,'Data Dump'!$S:$S,'SPL FEED'!AH$2)</f>
        <v>0</v>
      </c>
      <c r="AI18" s="20">
        <f t="shared" si="8"/>
        <v>0</v>
      </c>
      <c r="AJ18" s="20">
        <f t="shared" si="9"/>
        <v>0</v>
      </c>
    </row>
    <row r="19" spans="1:36" x14ac:dyDescent="0.25">
      <c r="A19" s="13" t="s">
        <v>179</v>
      </c>
      <c r="B19" s="12" t="s">
        <v>180</v>
      </c>
      <c r="C19" s="17">
        <f>COUNTIFS('Data Dump'!$P:$P,'SPL FEED'!$A19,'Data Dump'!$S:$S,'SPL FEED'!C$2)</f>
        <v>0</v>
      </c>
      <c r="D19" s="17">
        <f>COUNTIFS('Data Dump'!$P:$P,'SPL FEED'!$A19,'Data Dump'!$S:$S,'SPL FEED'!D$2)</f>
        <v>0</v>
      </c>
      <c r="E19" s="17">
        <f>COUNTIFS('Data Dump'!$P:$P,'SPL FEED'!$A19,'Data Dump'!$S:$S,'SPL FEED'!E$2)</f>
        <v>1</v>
      </c>
      <c r="F19" s="20">
        <f t="shared" si="0"/>
        <v>1</v>
      </c>
      <c r="G19" s="17">
        <f>COUNTIFS('Data Dump'!$P:$P,'SPL FEED'!$A19,'Data Dump'!$S:$S,'SPL FEED'!G$2)</f>
        <v>0</v>
      </c>
      <c r="H19" s="17">
        <f>COUNTIFS('Data Dump'!$P:$P,'SPL FEED'!$A19,'Data Dump'!$S:$S,'SPL FEED'!H$2)</f>
        <v>1</v>
      </c>
      <c r="I19" s="17">
        <f>COUNTIFS('Data Dump'!$P:$P,'SPL FEED'!$A19,'Data Dump'!$S:$S,'SPL FEED'!I$2)</f>
        <v>2</v>
      </c>
      <c r="J19" s="20">
        <f t="shared" si="1"/>
        <v>3</v>
      </c>
      <c r="K19" s="17">
        <f>COUNTIFS('Data Dump'!$P:$P,'SPL FEED'!$A19,'Data Dump'!$S:$S,'SPL FEED'!K$2)</f>
        <v>0</v>
      </c>
      <c r="L19" s="17">
        <f>COUNTIFS('Data Dump'!$P:$P,'SPL FEED'!$A19,'Data Dump'!$S:$S,'SPL FEED'!L$2)</f>
        <v>1</v>
      </c>
      <c r="M19" s="17">
        <f>COUNTIFS('Data Dump'!$P:$P,'SPL FEED'!$A19,'Data Dump'!$S:$S,'SPL FEED'!M$2)</f>
        <v>1</v>
      </c>
      <c r="N19" s="20">
        <f t="shared" si="2"/>
        <v>2</v>
      </c>
      <c r="O19" s="17">
        <f>COUNTIFS('Data Dump'!$P:$P,'SPL FEED'!$A19,'Data Dump'!$S:$S,'SPL FEED'!O$2)</f>
        <v>1</v>
      </c>
      <c r="P19" s="17">
        <f>COUNTIFS('Data Dump'!$P:$P,'SPL FEED'!$A19,'Data Dump'!$S:$S,'SPL FEED'!P$2)</f>
        <v>0</v>
      </c>
      <c r="Q19" s="17">
        <f>COUNTIFS('Data Dump'!$P:$P,'SPL FEED'!$A19,'Data Dump'!$S:$S,'SPL FEED'!Q$2)</f>
        <v>0</v>
      </c>
      <c r="R19" s="20">
        <f t="shared" si="3"/>
        <v>1</v>
      </c>
      <c r="S19" s="20">
        <f t="shared" si="4"/>
        <v>7</v>
      </c>
      <c r="T19" s="17">
        <f>COUNTIFS('Data Dump'!$P:$P,'SPL FEED'!$A19,'Data Dump'!$S:$S,'SPL FEED'!T$2)</f>
        <v>0</v>
      </c>
      <c r="U19" s="17">
        <f>COUNTIFS('Data Dump'!$P:$P,'SPL FEED'!$A19,'Data Dump'!$S:$S,'SPL FEED'!U$2)</f>
        <v>0</v>
      </c>
      <c r="V19" s="17">
        <f>COUNTIFS('Data Dump'!$P:$P,'SPL FEED'!$A19,'Data Dump'!$S:$S,'SPL FEED'!V$2)</f>
        <v>0</v>
      </c>
      <c r="W19" s="20">
        <f t="shared" si="5"/>
        <v>0</v>
      </c>
      <c r="X19" s="17">
        <f>COUNTIFS('Data Dump'!$P:$P,'SPL FEED'!$A19,'Data Dump'!$S:$S,'SPL FEED'!X$2)</f>
        <v>0</v>
      </c>
      <c r="Y19" s="17">
        <f>COUNTIFS('Data Dump'!$P:$P,'SPL FEED'!$A19,'Data Dump'!$S:$S,'SPL FEED'!Y$2)</f>
        <v>0</v>
      </c>
      <c r="Z19" s="17">
        <f>COUNTIFS('Data Dump'!$P:$P,'SPL FEED'!$A19,'Data Dump'!$S:$S,'SPL FEED'!Z$2)</f>
        <v>0</v>
      </c>
      <c r="AA19" s="20">
        <f t="shared" si="6"/>
        <v>0</v>
      </c>
      <c r="AB19" s="17">
        <f>COUNTIFS('Data Dump'!$P:$P,'SPL FEED'!$A19,'Data Dump'!$S:$S,'SPL FEED'!AB$2)</f>
        <v>0</v>
      </c>
      <c r="AC19" s="17">
        <f>COUNTIFS('Data Dump'!$P:$P,'SPL FEED'!$A19,'Data Dump'!$S:$S,'SPL FEED'!AC$2)</f>
        <v>0</v>
      </c>
      <c r="AD19" s="17">
        <f>COUNTIFS('Data Dump'!$P:$P,'SPL FEED'!$A19,'Data Dump'!$S:$S,'SPL FEED'!AD$2)</f>
        <v>2</v>
      </c>
      <c r="AE19" s="20">
        <f t="shared" si="7"/>
        <v>2</v>
      </c>
      <c r="AF19" s="17">
        <f>COUNTIFS('Data Dump'!$P:$P,'SPL FEED'!$A19,'Data Dump'!$S:$S,'SPL FEED'!AF$2)</f>
        <v>0</v>
      </c>
      <c r="AG19" s="17">
        <f>COUNTIFS('Data Dump'!$P:$P,'SPL FEED'!$A19,'Data Dump'!$S:$S,'SPL FEED'!AG$2)</f>
        <v>1</v>
      </c>
      <c r="AH19" s="17">
        <f>COUNTIFS('Data Dump'!$P:$P,'SPL FEED'!$A19,'Data Dump'!$S:$S,'SPL FEED'!AH$2)</f>
        <v>1</v>
      </c>
      <c r="AI19" s="20">
        <f t="shared" si="8"/>
        <v>2</v>
      </c>
      <c r="AJ19" s="20">
        <f t="shared" si="9"/>
        <v>4</v>
      </c>
    </row>
    <row r="20" spans="1:36" x14ac:dyDescent="0.25">
      <c r="A20" s="13" t="s">
        <v>181</v>
      </c>
      <c r="B20" s="12" t="s">
        <v>182</v>
      </c>
      <c r="C20" s="17">
        <f>COUNTIFS('Data Dump'!$P:$P,'SPL FEED'!$A20,'Data Dump'!$S:$S,'SPL FEED'!C$2)</f>
        <v>0</v>
      </c>
      <c r="D20" s="17">
        <f>COUNTIFS('Data Dump'!$P:$P,'SPL FEED'!$A20,'Data Dump'!$S:$S,'SPL FEED'!D$2)</f>
        <v>0</v>
      </c>
      <c r="E20" s="17">
        <f>COUNTIFS('Data Dump'!$P:$P,'SPL FEED'!$A20,'Data Dump'!$S:$S,'SPL FEED'!E$2)</f>
        <v>0</v>
      </c>
      <c r="F20" s="20">
        <f t="shared" si="0"/>
        <v>0</v>
      </c>
      <c r="G20" s="17">
        <f>COUNTIFS('Data Dump'!$P:$P,'SPL FEED'!$A20,'Data Dump'!$S:$S,'SPL FEED'!G$2)</f>
        <v>0</v>
      </c>
      <c r="H20" s="17">
        <f>COUNTIFS('Data Dump'!$P:$P,'SPL FEED'!$A20,'Data Dump'!$S:$S,'SPL FEED'!H$2)</f>
        <v>0</v>
      </c>
      <c r="I20" s="17">
        <f>COUNTIFS('Data Dump'!$P:$P,'SPL FEED'!$A20,'Data Dump'!$S:$S,'SPL FEED'!I$2)</f>
        <v>0</v>
      </c>
      <c r="J20" s="20">
        <f t="shared" si="1"/>
        <v>0</v>
      </c>
      <c r="K20" s="17">
        <f>COUNTIFS('Data Dump'!$P:$P,'SPL FEED'!$A20,'Data Dump'!$S:$S,'SPL FEED'!K$2)</f>
        <v>0</v>
      </c>
      <c r="L20" s="17">
        <f>COUNTIFS('Data Dump'!$P:$P,'SPL FEED'!$A20,'Data Dump'!$S:$S,'SPL FEED'!L$2)</f>
        <v>0</v>
      </c>
      <c r="M20" s="17">
        <f>COUNTIFS('Data Dump'!$P:$P,'SPL FEED'!$A20,'Data Dump'!$S:$S,'SPL FEED'!M$2)</f>
        <v>0</v>
      </c>
      <c r="N20" s="20">
        <f t="shared" si="2"/>
        <v>0</v>
      </c>
      <c r="O20" s="17">
        <f>COUNTIFS('Data Dump'!$P:$P,'SPL FEED'!$A20,'Data Dump'!$S:$S,'SPL FEED'!O$2)</f>
        <v>0</v>
      </c>
      <c r="P20" s="17">
        <f>COUNTIFS('Data Dump'!$P:$P,'SPL FEED'!$A20,'Data Dump'!$S:$S,'SPL FEED'!P$2)</f>
        <v>0</v>
      </c>
      <c r="Q20" s="17">
        <f>COUNTIFS('Data Dump'!$P:$P,'SPL FEED'!$A20,'Data Dump'!$S:$S,'SPL FEED'!Q$2)</f>
        <v>0</v>
      </c>
      <c r="R20" s="20">
        <f t="shared" si="3"/>
        <v>0</v>
      </c>
      <c r="S20" s="20">
        <f t="shared" si="4"/>
        <v>0</v>
      </c>
      <c r="T20" s="17">
        <f>COUNTIFS('Data Dump'!$P:$P,'SPL FEED'!$A20,'Data Dump'!$S:$S,'SPL FEED'!T$2)</f>
        <v>0</v>
      </c>
      <c r="U20" s="17">
        <f>COUNTIFS('Data Dump'!$P:$P,'SPL FEED'!$A20,'Data Dump'!$S:$S,'SPL FEED'!U$2)</f>
        <v>0</v>
      </c>
      <c r="V20" s="17">
        <f>COUNTIFS('Data Dump'!$P:$P,'SPL FEED'!$A20,'Data Dump'!$S:$S,'SPL FEED'!V$2)</f>
        <v>0</v>
      </c>
      <c r="W20" s="20">
        <f t="shared" si="5"/>
        <v>0</v>
      </c>
      <c r="X20" s="17">
        <f>COUNTIFS('Data Dump'!$P:$P,'SPL FEED'!$A20,'Data Dump'!$S:$S,'SPL FEED'!X$2)</f>
        <v>0</v>
      </c>
      <c r="Y20" s="17">
        <f>COUNTIFS('Data Dump'!$P:$P,'SPL FEED'!$A20,'Data Dump'!$S:$S,'SPL FEED'!Y$2)</f>
        <v>0</v>
      </c>
      <c r="Z20" s="17">
        <f>COUNTIFS('Data Dump'!$P:$P,'SPL FEED'!$A20,'Data Dump'!$S:$S,'SPL FEED'!Z$2)</f>
        <v>1</v>
      </c>
      <c r="AA20" s="20">
        <f t="shared" si="6"/>
        <v>1</v>
      </c>
      <c r="AB20" s="17">
        <f>COUNTIFS('Data Dump'!$P:$P,'SPL FEED'!$A20,'Data Dump'!$S:$S,'SPL FEED'!AB$2)</f>
        <v>0</v>
      </c>
      <c r="AC20" s="17">
        <f>COUNTIFS('Data Dump'!$P:$P,'SPL FEED'!$A20,'Data Dump'!$S:$S,'SPL FEED'!AC$2)</f>
        <v>1</v>
      </c>
      <c r="AD20" s="17">
        <f>COUNTIFS('Data Dump'!$P:$P,'SPL FEED'!$A20,'Data Dump'!$S:$S,'SPL FEED'!AD$2)</f>
        <v>1</v>
      </c>
      <c r="AE20" s="20">
        <f t="shared" si="7"/>
        <v>2</v>
      </c>
      <c r="AF20" s="17">
        <f>COUNTIFS('Data Dump'!$P:$P,'SPL FEED'!$A20,'Data Dump'!$S:$S,'SPL FEED'!AF$2)</f>
        <v>0</v>
      </c>
      <c r="AG20" s="17">
        <f>COUNTIFS('Data Dump'!$P:$P,'SPL FEED'!$A20,'Data Dump'!$S:$S,'SPL FEED'!AG$2)</f>
        <v>0</v>
      </c>
      <c r="AH20" s="17">
        <f>COUNTIFS('Data Dump'!$P:$P,'SPL FEED'!$A20,'Data Dump'!$S:$S,'SPL FEED'!AH$2)</f>
        <v>1</v>
      </c>
      <c r="AI20" s="20">
        <f t="shared" si="8"/>
        <v>1</v>
      </c>
      <c r="AJ20" s="20">
        <f t="shared" si="9"/>
        <v>4</v>
      </c>
    </row>
    <row r="21" spans="1:36" x14ac:dyDescent="0.25">
      <c r="A21" s="13" t="s">
        <v>183</v>
      </c>
      <c r="B21" s="12" t="s">
        <v>184</v>
      </c>
      <c r="C21" s="17">
        <f>COUNTIFS('Data Dump'!$P:$P,'SPL FEED'!$A21,'Data Dump'!$S:$S,'SPL FEED'!C$2)</f>
        <v>0</v>
      </c>
      <c r="D21" s="17">
        <f>COUNTIFS('Data Dump'!$P:$P,'SPL FEED'!$A21,'Data Dump'!$S:$S,'SPL FEED'!D$2)</f>
        <v>0</v>
      </c>
      <c r="E21" s="17">
        <f>COUNTIFS('Data Dump'!$P:$P,'SPL FEED'!$A21,'Data Dump'!$S:$S,'SPL FEED'!E$2)</f>
        <v>0</v>
      </c>
      <c r="F21" s="20">
        <f t="shared" si="0"/>
        <v>0</v>
      </c>
      <c r="G21" s="17">
        <f>COUNTIFS('Data Dump'!$P:$P,'SPL FEED'!$A21,'Data Dump'!$S:$S,'SPL FEED'!G$2)</f>
        <v>0</v>
      </c>
      <c r="H21" s="17">
        <f>COUNTIFS('Data Dump'!$P:$P,'SPL FEED'!$A21,'Data Dump'!$S:$S,'SPL FEED'!H$2)</f>
        <v>0</v>
      </c>
      <c r="I21" s="17">
        <f>COUNTIFS('Data Dump'!$P:$P,'SPL FEED'!$A21,'Data Dump'!$S:$S,'SPL FEED'!I$2)</f>
        <v>0</v>
      </c>
      <c r="J21" s="20">
        <f t="shared" si="1"/>
        <v>0</v>
      </c>
      <c r="K21" s="17">
        <f>COUNTIFS('Data Dump'!$P:$P,'SPL FEED'!$A21,'Data Dump'!$S:$S,'SPL FEED'!K$2)</f>
        <v>0</v>
      </c>
      <c r="L21" s="17">
        <f>COUNTIFS('Data Dump'!$P:$P,'SPL FEED'!$A21,'Data Dump'!$S:$S,'SPL FEED'!L$2)</f>
        <v>0</v>
      </c>
      <c r="M21" s="17">
        <f>COUNTIFS('Data Dump'!$P:$P,'SPL FEED'!$A21,'Data Dump'!$S:$S,'SPL FEED'!M$2)</f>
        <v>0</v>
      </c>
      <c r="N21" s="20">
        <f t="shared" si="2"/>
        <v>0</v>
      </c>
      <c r="O21" s="17">
        <f>COUNTIFS('Data Dump'!$P:$P,'SPL FEED'!$A21,'Data Dump'!$S:$S,'SPL FEED'!O$2)</f>
        <v>0</v>
      </c>
      <c r="P21" s="17">
        <f>COUNTIFS('Data Dump'!$P:$P,'SPL FEED'!$A21,'Data Dump'!$S:$S,'SPL FEED'!P$2)</f>
        <v>0</v>
      </c>
      <c r="Q21" s="17">
        <f>COUNTIFS('Data Dump'!$P:$P,'SPL FEED'!$A21,'Data Dump'!$S:$S,'SPL FEED'!Q$2)</f>
        <v>0</v>
      </c>
      <c r="R21" s="20">
        <f t="shared" si="3"/>
        <v>0</v>
      </c>
      <c r="S21" s="20">
        <f t="shared" si="4"/>
        <v>0</v>
      </c>
      <c r="T21" s="17">
        <f>COUNTIFS('Data Dump'!$P:$P,'SPL FEED'!$A21,'Data Dump'!$S:$S,'SPL FEED'!T$2)</f>
        <v>0</v>
      </c>
      <c r="U21" s="17">
        <f>COUNTIFS('Data Dump'!$P:$P,'SPL FEED'!$A21,'Data Dump'!$S:$S,'SPL FEED'!U$2)</f>
        <v>0</v>
      </c>
      <c r="V21" s="17">
        <f>COUNTIFS('Data Dump'!$P:$P,'SPL FEED'!$A21,'Data Dump'!$S:$S,'SPL FEED'!V$2)</f>
        <v>0</v>
      </c>
      <c r="W21" s="20">
        <f t="shared" si="5"/>
        <v>0</v>
      </c>
      <c r="X21" s="17">
        <f>COUNTIFS('Data Dump'!$P:$P,'SPL FEED'!$A21,'Data Dump'!$S:$S,'SPL FEED'!X$2)</f>
        <v>0</v>
      </c>
      <c r="Y21" s="17">
        <f>COUNTIFS('Data Dump'!$P:$P,'SPL FEED'!$A21,'Data Dump'!$S:$S,'SPL FEED'!Y$2)</f>
        <v>0</v>
      </c>
      <c r="Z21" s="17">
        <f>COUNTIFS('Data Dump'!$P:$P,'SPL FEED'!$A21,'Data Dump'!$S:$S,'SPL FEED'!Z$2)</f>
        <v>0</v>
      </c>
      <c r="AA21" s="20">
        <f t="shared" si="6"/>
        <v>0</v>
      </c>
      <c r="AB21" s="17">
        <f>COUNTIFS('Data Dump'!$P:$P,'SPL FEED'!$A21,'Data Dump'!$S:$S,'SPL FEED'!AB$2)</f>
        <v>0</v>
      </c>
      <c r="AC21" s="17">
        <f>COUNTIFS('Data Dump'!$P:$P,'SPL FEED'!$A21,'Data Dump'!$S:$S,'SPL FEED'!AC$2)</f>
        <v>0</v>
      </c>
      <c r="AD21" s="17">
        <f>COUNTIFS('Data Dump'!$P:$P,'SPL FEED'!$A21,'Data Dump'!$S:$S,'SPL FEED'!AD$2)</f>
        <v>0</v>
      </c>
      <c r="AE21" s="20">
        <f t="shared" si="7"/>
        <v>0</v>
      </c>
      <c r="AF21" s="17">
        <f>COUNTIFS('Data Dump'!$P:$P,'SPL FEED'!$A21,'Data Dump'!$S:$S,'SPL FEED'!AF$2)</f>
        <v>0</v>
      </c>
      <c r="AG21" s="17">
        <f>COUNTIFS('Data Dump'!$P:$P,'SPL FEED'!$A21,'Data Dump'!$S:$S,'SPL FEED'!AG$2)</f>
        <v>0</v>
      </c>
      <c r="AH21" s="17">
        <f>COUNTIFS('Data Dump'!$P:$P,'SPL FEED'!$A21,'Data Dump'!$S:$S,'SPL FEED'!AH$2)</f>
        <v>0</v>
      </c>
      <c r="AI21" s="20">
        <f t="shared" si="8"/>
        <v>0</v>
      </c>
      <c r="AJ21" s="20">
        <f t="shared" si="9"/>
        <v>0</v>
      </c>
    </row>
    <row r="22" spans="1:36" x14ac:dyDescent="0.25">
      <c r="A22" s="13" t="s">
        <v>185</v>
      </c>
      <c r="B22" s="12" t="s">
        <v>186</v>
      </c>
      <c r="C22" s="17">
        <f>COUNTIFS('Data Dump'!$P:$P,'SPL FEED'!$A22,'Data Dump'!$S:$S,'SPL FEED'!C$2)</f>
        <v>0</v>
      </c>
      <c r="D22" s="17">
        <f>COUNTIFS('Data Dump'!$P:$P,'SPL FEED'!$A22,'Data Dump'!$S:$S,'SPL FEED'!D$2)</f>
        <v>0</v>
      </c>
      <c r="E22" s="17">
        <f>COUNTIFS('Data Dump'!$P:$P,'SPL FEED'!$A22,'Data Dump'!$S:$S,'SPL FEED'!E$2)</f>
        <v>0</v>
      </c>
      <c r="F22" s="20">
        <f t="shared" si="0"/>
        <v>0</v>
      </c>
      <c r="G22" s="17">
        <f>COUNTIFS('Data Dump'!$P:$P,'SPL FEED'!$A22,'Data Dump'!$S:$S,'SPL FEED'!G$2)</f>
        <v>0</v>
      </c>
      <c r="H22" s="17">
        <f>COUNTIFS('Data Dump'!$P:$P,'SPL FEED'!$A22,'Data Dump'!$S:$S,'SPL FEED'!H$2)</f>
        <v>0</v>
      </c>
      <c r="I22" s="17">
        <f>COUNTIFS('Data Dump'!$P:$P,'SPL FEED'!$A22,'Data Dump'!$S:$S,'SPL FEED'!I$2)</f>
        <v>0</v>
      </c>
      <c r="J22" s="20">
        <f t="shared" si="1"/>
        <v>0</v>
      </c>
      <c r="K22" s="17">
        <f>COUNTIFS('Data Dump'!$P:$P,'SPL FEED'!$A22,'Data Dump'!$S:$S,'SPL FEED'!K$2)</f>
        <v>0</v>
      </c>
      <c r="L22" s="17">
        <f>COUNTIFS('Data Dump'!$P:$P,'SPL FEED'!$A22,'Data Dump'!$S:$S,'SPL FEED'!L$2)</f>
        <v>0</v>
      </c>
      <c r="M22" s="17">
        <f>COUNTIFS('Data Dump'!$P:$P,'SPL FEED'!$A22,'Data Dump'!$S:$S,'SPL FEED'!M$2)</f>
        <v>0</v>
      </c>
      <c r="N22" s="20">
        <f t="shared" si="2"/>
        <v>0</v>
      </c>
      <c r="O22" s="17">
        <f>COUNTIFS('Data Dump'!$P:$P,'SPL FEED'!$A22,'Data Dump'!$S:$S,'SPL FEED'!O$2)</f>
        <v>0</v>
      </c>
      <c r="P22" s="17">
        <f>COUNTIFS('Data Dump'!$P:$P,'SPL FEED'!$A22,'Data Dump'!$S:$S,'SPL FEED'!P$2)</f>
        <v>0</v>
      </c>
      <c r="Q22" s="17">
        <f>COUNTIFS('Data Dump'!$P:$P,'SPL FEED'!$A22,'Data Dump'!$S:$S,'SPL FEED'!Q$2)</f>
        <v>0</v>
      </c>
      <c r="R22" s="20">
        <f t="shared" si="3"/>
        <v>0</v>
      </c>
      <c r="S22" s="20">
        <f t="shared" si="4"/>
        <v>0</v>
      </c>
      <c r="T22" s="17">
        <f>COUNTIFS('Data Dump'!$P:$P,'SPL FEED'!$A22,'Data Dump'!$S:$S,'SPL FEED'!T$2)</f>
        <v>0</v>
      </c>
      <c r="U22" s="17">
        <f>COUNTIFS('Data Dump'!$P:$P,'SPL FEED'!$A22,'Data Dump'!$S:$S,'SPL FEED'!U$2)</f>
        <v>0</v>
      </c>
      <c r="V22" s="17">
        <f>COUNTIFS('Data Dump'!$P:$P,'SPL FEED'!$A22,'Data Dump'!$S:$S,'SPL FEED'!V$2)</f>
        <v>0</v>
      </c>
      <c r="W22" s="20">
        <f t="shared" si="5"/>
        <v>0</v>
      </c>
      <c r="X22" s="17">
        <f>COUNTIFS('Data Dump'!$P:$P,'SPL FEED'!$A22,'Data Dump'!$S:$S,'SPL FEED'!X$2)</f>
        <v>0</v>
      </c>
      <c r="Y22" s="17">
        <f>COUNTIFS('Data Dump'!$P:$P,'SPL FEED'!$A22,'Data Dump'!$S:$S,'SPL FEED'!Y$2)</f>
        <v>0</v>
      </c>
      <c r="Z22" s="17">
        <f>COUNTIFS('Data Dump'!$P:$P,'SPL FEED'!$A22,'Data Dump'!$S:$S,'SPL FEED'!Z$2)</f>
        <v>0</v>
      </c>
      <c r="AA22" s="20">
        <f t="shared" si="6"/>
        <v>0</v>
      </c>
      <c r="AB22" s="17">
        <f>COUNTIFS('Data Dump'!$P:$P,'SPL FEED'!$A22,'Data Dump'!$S:$S,'SPL FEED'!AB$2)</f>
        <v>0</v>
      </c>
      <c r="AC22" s="17">
        <f>COUNTIFS('Data Dump'!$P:$P,'SPL FEED'!$A22,'Data Dump'!$S:$S,'SPL FEED'!AC$2)</f>
        <v>0</v>
      </c>
      <c r="AD22" s="17">
        <f>COUNTIFS('Data Dump'!$P:$P,'SPL FEED'!$A22,'Data Dump'!$S:$S,'SPL FEED'!AD$2)</f>
        <v>0</v>
      </c>
      <c r="AE22" s="20">
        <f t="shared" si="7"/>
        <v>0</v>
      </c>
      <c r="AF22" s="17">
        <f>COUNTIFS('Data Dump'!$P:$P,'SPL FEED'!$A22,'Data Dump'!$S:$S,'SPL FEED'!AF$2)</f>
        <v>0</v>
      </c>
      <c r="AG22" s="17">
        <f>COUNTIFS('Data Dump'!$P:$P,'SPL FEED'!$A22,'Data Dump'!$S:$S,'SPL FEED'!AG$2)</f>
        <v>0</v>
      </c>
      <c r="AH22" s="17">
        <f>COUNTIFS('Data Dump'!$P:$P,'SPL FEED'!$A22,'Data Dump'!$S:$S,'SPL FEED'!AH$2)</f>
        <v>0</v>
      </c>
      <c r="AI22" s="20">
        <f t="shared" si="8"/>
        <v>0</v>
      </c>
      <c r="AJ22" s="20">
        <f t="shared" si="9"/>
        <v>0</v>
      </c>
    </row>
    <row r="23" spans="1:36" x14ac:dyDescent="0.25">
      <c r="A23" s="13" t="s">
        <v>187</v>
      </c>
      <c r="B23" s="12" t="s">
        <v>188</v>
      </c>
      <c r="C23" s="17">
        <f>COUNTIFS('Data Dump'!$P:$P,'SPL FEED'!$A23,'Data Dump'!$S:$S,'SPL FEED'!C$2)</f>
        <v>1</v>
      </c>
      <c r="D23" s="17">
        <f>COUNTIFS('Data Dump'!$P:$P,'SPL FEED'!$A23,'Data Dump'!$S:$S,'SPL FEED'!D$2)</f>
        <v>0</v>
      </c>
      <c r="E23" s="17">
        <f>COUNTIFS('Data Dump'!$P:$P,'SPL FEED'!$A23,'Data Dump'!$S:$S,'SPL FEED'!E$2)</f>
        <v>0</v>
      </c>
      <c r="F23" s="20">
        <f t="shared" si="0"/>
        <v>1</v>
      </c>
      <c r="G23" s="17">
        <f>COUNTIFS('Data Dump'!$P:$P,'SPL FEED'!$A23,'Data Dump'!$S:$S,'SPL FEED'!G$2)</f>
        <v>0</v>
      </c>
      <c r="H23" s="17">
        <f>COUNTIFS('Data Dump'!$P:$P,'SPL FEED'!$A23,'Data Dump'!$S:$S,'SPL FEED'!H$2)</f>
        <v>0</v>
      </c>
      <c r="I23" s="17">
        <f>COUNTIFS('Data Dump'!$P:$P,'SPL FEED'!$A23,'Data Dump'!$S:$S,'SPL FEED'!I$2)</f>
        <v>0</v>
      </c>
      <c r="J23" s="20">
        <f t="shared" si="1"/>
        <v>0</v>
      </c>
      <c r="K23" s="17">
        <f>COUNTIFS('Data Dump'!$P:$P,'SPL FEED'!$A23,'Data Dump'!$S:$S,'SPL FEED'!K$2)</f>
        <v>0</v>
      </c>
      <c r="L23" s="17">
        <f>COUNTIFS('Data Dump'!$P:$P,'SPL FEED'!$A23,'Data Dump'!$S:$S,'SPL FEED'!L$2)</f>
        <v>0</v>
      </c>
      <c r="M23" s="17">
        <f>COUNTIFS('Data Dump'!$P:$P,'SPL FEED'!$A23,'Data Dump'!$S:$S,'SPL FEED'!M$2)</f>
        <v>0</v>
      </c>
      <c r="N23" s="20">
        <f t="shared" si="2"/>
        <v>0</v>
      </c>
      <c r="O23" s="17">
        <f>COUNTIFS('Data Dump'!$P:$P,'SPL FEED'!$A23,'Data Dump'!$S:$S,'SPL FEED'!O$2)</f>
        <v>0</v>
      </c>
      <c r="P23" s="17">
        <f>COUNTIFS('Data Dump'!$P:$P,'SPL FEED'!$A23,'Data Dump'!$S:$S,'SPL FEED'!P$2)</f>
        <v>0</v>
      </c>
      <c r="Q23" s="17">
        <f>COUNTIFS('Data Dump'!$P:$P,'SPL FEED'!$A23,'Data Dump'!$S:$S,'SPL FEED'!Q$2)</f>
        <v>0</v>
      </c>
      <c r="R23" s="20">
        <f t="shared" si="3"/>
        <v>0</v>
      </c>
      <c r="S23" s="20">
        <f t="shared" si="4"/>
        <v>1</v>
      </c>
      <c r="T23" s="17">
        <f>COUNTIFS('Data Dump'!$P:$P,'SPL FEED'!$A23,'Data Dump'!$S:$S,'SPL FEED'!T$2)</f>
        <v>0</v>
      </c>
      <c r="U23" s="17">
        <f>COUNTIFS('Data Dump'!$P:$P,'SPL FEED'!$A23,'Data Dump'!$S:$S,'SPL FEED'!U$2)</f>
        <v>0</v>
      </c>
      <c r="V23" s="17">
        <f>COUNTIFS('Data Dump'!$P:$P,'SPL FEED'!$A23,'Data Dump'!$S:$S,'SPL FEED'!V$2)</f>
        <v>0</v>
      </c>
      <c r="W23" s="20">
        <f t="shared" si="5"/>
        <v>0</v>
      </c>
      <c r="X23" s="17">
        <f>COUNTIFS('Data Dump'!$P:$P,'SPL FEED'!$A23,'Data Dump'!$S:$S,'SPL FEED'!X$2)</f>
        <v>0</v>
      </c>
      <c r="Y23" s="17">
        <f>COUNTIFS('Data Dump'!$P:$P,'SPL FEED'!$A23,'Data Dump'!$S:$S,'SPL FEED'!Y$2)</f>
        <v>0</v>
      </c>
      <c r="Z23" s="17">
        <f>COUNTIFS('Data Dump'!$P:$P,'SPL FEED'!$A23,'Data Dump'!$S:$S,'SPL FEED'!Z$2)</f>
        <v>0</v>
      </c>
      <c r="AA23" s="20">
        <f t="shared" si="6"/>
        <v>0</v>
      </c>
      <c r="AB23" s="17">
        <f>COUNTIFS('Data Dump'!$P:$P,'SPL FEED'!$A23,'Data Dump'!$S:$S,'SPL FEED'!AB$2)</f>
        <v>0</v>
      </c>
      <c r="AC23" s="17">
        <f>COUNTIFS('Data Dump'!$P:$P,'SPL FEED'!$A23,'Data Dump'!$S:$S,'SPL FEED'!AC$2)</f>
        <v>0</v>
      </c>
      <c r="AD23" s="17">
        <f>COUNTIFS('Data Dump'!$P:$P,'SPL FEED'!$A23,'Data Dump'!$S:$S,'SPL FEED'!AD$2)</f>
        <v>0</v>
      </c>
      <c r="AE23" s="20">
        <f t="shared" si="7"/>
        <v>0</v>
      </c>
      <c r="AF23" s="17">
        <f>COUNTIFS('Data Dump'!$P:$P,'SPL FEED'!$A23,'Data Dump'!$S:$S,'SPL FEED'!AF$2)</f>
        <v>0</v>
      </c>
      <c r="AG23" s="17">
        <f>COUNTIFS('Data Dump'!$P:$P,'SPL FEED'!$A23,'Data Dump'!$S:$S,'SPL FEED'!AG$2)</f>
        <v>0</v>
      </c>
      <c r="AH23" s="17">
        <f>COUNTIFS('Data Dump'!$P:$P,'SPL FEED'!$A23,'Data Dump'!$S:$S,'SPL FEED'!AH$2)</f>
        <v>0</v>
      </c>
      <c r="AI23" s="20">
        <f t="shared" si="8"/>
        <v>0</v>
      </c>
      <c r="AJ23" s="20">
        <f t="shared" si="9"/>
        <v>0</v>
      </c>
    </row>
    <row r="24" spans="1:36" x14ac:dyDescent="0.25">
      <c r="A24" s="13" t="s">
        <v>189</v>
      </c>
      <c r="B24" s="12" t="s">
        <v>190</v>
      </c>
      <c r="C24" s="17">
        <f>COUNTIFS('Data Dump'!$P:$P,'SPL FEED'!$A24,'Data Dump'!$S:$S,'SPL FEED'!C$2)</f>
        <v>1</v>
      </c>
      <c r="D24" s="17">
        <f>COUNTIFS('Data Dump'!$P:$P,'SPL FEED'!$A24,'Data Dump'!$S:$S,'SPL FEED'!D$2)</f>
        <v>1</v>
      </c>
      <c r="E24" s="17">
        <f>COUNTIFS('Data Dump'!$P:$P,'SPL FEED'!$A24,'Data Dump'!$S:$S,'SPL FEED'!E$2)</f>
        <v>0</v>
      </c>
      <c r="F24" s="20">
        <f t="shared" si="0"/>
        <v>2</v>
      </c>
      <c r="G24" s="17">
        <f>COUNTIFS('Data Dump'!$P:$P,'SPL FEED'!$A24,'Data Dump'!$S:$S,'SPL FEED'!G$2)</f>
        <v>1</v>
      </c>
      <c r="H24" s="17">
        <f>COUNTIFS('Data Dump'!$P:$P,'SPL FEED'!$A24,'Data Dump'!$S:$S,'SPL FEED'!H$2)</f>
        <v>0</v>
      </c>
      <c r="I24" s="17">
        <f>COUNTIFS('Data Dump'!$P:$P,'SPL FEED'!$A24,'Data Dump'!$S:$S,'SPL FEED'!I$2)</f>
        <v>0</v>
      </c>
      <c r="J24" s="20">
        <f t="shared" si="1"/>
        <v>1</v>
      </c>
      <c r="K24" s="17">
        <f>COUNTIFS('Data Dump'!$P:$P,'SPL FEED'!$A24,'Data Dump'!$S:$S,'SPL FEED'!K$2)</f>
        <v>0</v>
      </c>
      <c r="L24" s="17">
        <f>COUNTIFS('Data Dump'!$P:$P,'SPL FEED'!$A24,'Data Dump'!$S:$S,'SPL FEED'!L$2)</f>
        <v>0</v>
      </c>
      <c r="M24" s="17">
        <f>COUNTIFS('Data Dump'!$P:$P,'SPL FEED'!$A24,'Data Dump'!$S:$S,'SPL FEED'!M$2)</f>
        <v>3</v>
      </c>
      <c r="N24" s="20">
        <f t="shared" si="2"/>
        <v>3</v>
      </c>
      <c r="O24" s="17">
        <f>COUNTIFS('Data Dump'!$P:$P,'SPL FEED'!$A24,'Data Dump'!$S:$S,'SPL FEED'!O$2)</f>
        <v>1</v>
      </c>
      <c r="P24" s="17">
        <f>COUNTIFS('Data Dump'!$P:$P,'SPL FEED'!$A24,'Data Dump'!$S:$S,'SPL FEED'!P$2)</f>
        <v>3</v>
      </c>
      <c r="Q24" s="17">
        <f>COUNTIFS('Data Dump'!$P:$P,'SPL FEED'!$A24,'Data Dump'!$S:$S,'SPL FEED'!Q$2)</f>
        <v>0</v>
      </c>
      <c r="R24" s="20">
        <f t="shared" si="3"/>
        <v>4</v>
      </c>
      <c r="S24" s="20">
        <f t="shared" si="4"/>
        <v>10</v>
      </c>
      <c r="T24" s="17">
        <f>COUNTIFS('Data Dump'!$P:$P,'SPL FEED'!$A24,'Data Dump'!$S:$S,'SPL FEED'!T$2)</f>
        <v>1</v>
      </c>
      <c r="U24" s="17">
        <f>COUNTIFS('Data Dump'!$P:$P,'SPL FEED'!$A24,'Data Dump'!$S:$S,'SPL FEED'!U$2)</f>
        <v>1</v>
      </c>
      <c r="V24" s="17">
        <f>COUNTIFS('Data Dump'!$P:$P,'SPL FEED'!$A24,'Data Dump'!$S:$S,'SPL FEED'!V$2)</f>
        <v>1</v>
      </c>
      <c r="W24" s="20">
        <f t="shared" si="5"/>
        <v>3</v>
      </c>
      <c r="X24" s="17">
        <f>COUNTIFS('Data Dump'!$P:$P,'SPL FEED'!$A24,'Data Dump'!$S:$S,'SPL FEED'!X$2)</f>
        <v>1</v>
      </c>
      <c r="Y24" s="17">
        <f>COUNTIFS('Data Dump'!$P:$P,'SPL FEED'!$A24,'Data Dump'!$S:$S,'SPL FEED'!Y$2)</f>
        <v>2</v>
      </c>
      <c r="Z24" s="17">
        <f>COUNTIFS('Data Dump'!$P:$P,'SPL FEED'!$A24,'Data Dump'!$S:$S,'SPL FEED'!Z$2)</f>
        <v>1</v>
      </c>
      <c r="AA24" s="20">
        <f t="shared" si="6"/>
        <v>4</v>
      </c>
      <c r="AB24" s="17">
        <f>COUNTIFS('Data Dump'!$P:$P,'SPL FEED'!$A24,'Data Dump'!$S:$S,'SPL FEED'!AB$2)</f>
        <v>0</v>
      </c>
      <c r="AC24" s="17">
        <f>COUNTIFS('Data Dump'!$P:$P,'SPL FEED'!$A24,'Data Dump'!$S:$S,'SPL FEED'!AC$2)</f>
        <v>1</v>
      </c>
      <c r="AD24" s="17">
        <f>COUNTIFS('Data Dump'!$P:$P,'SPL FEED'!$A24,'Data Dump'!$S:$S,'SPL FEED'!AD$2)</f>
        <v>2</v>
      </c>
      <c r="AE24" s="20">
        <f t="shared" si="7"/>
        <v>3</v>
      </c>
      <c r="AF24" s="17">
        <f>COUNTIFS('Data Dump'!$P:$P,'SPL FEED'!$A24,'Data Dump'!$S:$S,'SPL FEED'!AF$2)</f>
        <v>0</v>
      </c>
      <c r="AG24" s="17">
        <f>COUNTIFS('Data Dump'!$P:$P,'SPL FEED'!$A24,'Data Dump'!$S:$S,'SPL FEED'!AG$2)</f>
        <v>1</v>
      </c>
      <c r="AH24" s="17">
        <f>COUNTIFS('Data Dump'!$P:$P,'SPL FEED'!$A24,'Data Dump'!$S:$S,'SPL FEED'!AH$2)</f>
        <v>2</v>
      </c>
      <c r="AI24" s="20">
        <f t="shared" si="8"/>
        <v>3</v>
      </c>
      <c r="AJ24" s="20">
        <f t="shared" si="9"/>
        <v>13</v>
      </c>
    </row>
    <row r="25" spans="1:36" x14ac:dyDescent="0.25">
      <c r="A25" s="13" t="s">
        <v>191</v>
      </c>
      <c r="B25" s="12" t="s">
        <v>192</v>
      </c>
      <c r="C25" s="17">
        <f>COUNTIFS('Data Dump'!$P:$P,'SPL FEED'!$A25,'Data Dump'!$S:$S,'SPL FEED'!C$2)</f>
        <v>0</v>
      </c>
      <c r="D25" s="17">
        <f>COUNTIFS('Data Dump'!$P:$P,'SPL FEED'!$A25,'Data Dump'!$S:$S,'SPL FEED'!D$2)</f>
        <v>0</v>
      </c>
      <c r="E25" s="17">
        <f>COUNTIFS('Data Dump'!$P:$P,'SPL FEED'!$A25,'Data Dump'!$S:$S,'SPL FEED'!E$2)</f>
        <v>0</v>
      </c>
      <c r="F25" s="20">
        <f t="shared" si="0"/>
        <v>0</v>
      </c>
      <c r="G25" s="17">
        <f>COUNTIFS('Data Dump'!$P:$P,'SPL FEED'!$A25,'Data Dump'!$S:$S,'SPL FEED'!G$2)</f>
        <v>0</v>
      </c>
      <c r="H25" s="17">
        <f>COUNTIFS('Data Dump'!$P:$P,'SPL FEED'!$A25,'Data Dump'!$S:$S,'SPL FEED'!H$2)</f>
        <v>0</v>
      </c>
      <c r="I25" s="17">
        <f>COUNTIFS('Data Dump'!$P:$P,'SPL FEED'!$A25,'Data Dump'!$S:$S,'SPL FEED'!I$2)</f>
        <v>0</v>
      </c>
      <c r="J25" s="20">
        <f t="shared" si="1"/>
        <v>0</v>
      </c>
      <c r="K25" s="17">
        <f>COUNTIFS('Data Dump'!$P:$P,'SPL FEED'!$A25,'Data Dump'!$S:$S,'SPL FEED'!K$2)</f>
        <v>0</v>
      </c>
      <c r="L25" s="17">
        <f>COUNTIFS('Data Dump'!$P:$P,'SPL FEED'!$A25,'Data Dump'!$S:$S,'SPL FEED'!L$2)</f>
        <v>0</v>
      </c>
      <c r="M25" s="17">
        <f>COUNTIFS('Data Dump'!$P:$P,'SPL FEED'!$A25,'Data Dump'!$S:$S,'SPL FEED'!M$2)</f>
        <v>0</v>
      </c>
      <c r="N25" s="20">
        <f t="shared" si="2"/>
        <v>0</v>
      </c>
      <c r="O25" s="17">
        <f>COUNTIFS('Data Dump'!$P:$P,'SPL FEED'!$A25,'Data Dump'!$S:$S,'SPL FEED'!O$2)</f>
        <v>0</v>
      </c>
      <c r="P25" s="17">
        <f>COUNTIFS('Data Dump'!$P:$P,'SPL FEED'!$A25,'Data Dump'!$S:$S,'SPL FEED'!P$2)</f>
        <v>0</v>
      </c>
      <c r="Q25" s="17">
        <f>COUNTIFS('Data Dump'!$P:$P,'SPL FEED'!$A25,'Data Dump'!$S:$S,'SPL FEED'!Q$2)</f>
        <v>0</v>
      </c>
      <c r="R25" s="20">
        <f t="shared" si="3"/>
        <v>0</v>
      </c>
      <c r="S25" s="20">
        <f t="shared" si="4"/>
        <v>0</v>
      </c>
      <c r="T25" s="17">
        <f>COUNTIFS('Data Dump'!$P:$P,'SPL FEED'!$A25,'Data Dump'!$S:$S,'SPL FEED'!T$2)</f>
        <v>0</v>
      </c>
      <c r="U25" s="17">
        <f>COUNTIFS('Data Dump'!$P:$P,'SPL FEED'!$A25,'Data Dump'!$S:$S,'SPL FEED'!U$2)</f>
        <v>0</v>
      </c>
      <c r="V25" s="17">
        <f>COUNTIFS('Data Dump'!$P:$P,'SPL FEED'!$A25,'Data Dump'!$S:$S,'SPL FEED'!V$2)</f>
        <v>0</v>
      </c>
      <c r="W25" s="20">
        <f t="shared" si="5"/>
        <v>0</v>
      </c>
      <c r="X25" s="17">
        <f>COUNTIFS('Data Dump'!$P:$P,'SPL FEED'!$A25,'Data Dump'!$S:$S,'SPL FEED'!X$2)</f>
        <v>0</v>
      </c>
      <c r="Y25" s="17">
        <f>COUNTIFS('Data Dump'!$P:$P,'SPL FEED'!$A25,'Data Dump'!$S:$S,'SPL FEED'!Y$2)</f>
        <v>0</v>
      </c>
      <c r="Z25" s="17">
        <f>COUNTIFS('Data Dump'!$P:$P,'SPL FEED'!$A25,'Data Dump'!$S:$S,'SPL FEED'!Z$2)</f>
        <v>0</v>
      </c>
      <c r="AA25" s="20">
        <f t="shared" si="6"/>
        <v>0</v>
      </c>
      <c r="AB25" s="17">
        <f>COUNTIFS('Data Dump'!$P:$P,'SPL FEED'!$A25,'Data Dump'!$S:$S,'SPL FEED'!AB$2)</f>
        <v>0</v>
      </c>
      <c r="AC25" s="17">
        <f>COUNTIFS('Data Dump'!$P:$P,'SPL FEED'!$A25,'Data Dump'!$S:$S,'SPL FEED'!AC$2)</f>
        <v>0</v>
      </c>
      <c r="AD25" s="17">
        <f>COUNTIFS('Data Dump'!$P:$P,'SPL FEED'!$A25,'Data Dump'!$S:$S,'SPL FEED'!AD$2)</f>
        <v>0</v>
      </c>
      <c r="AE25" s="20">
        <f t="shared" si="7"/>
        <v>0</v>
      </c>
      <c r="AF25" s="17">
        <f>COUNTIFS('Data Dump'!$P:$P,'SPL FEED'!$A25,'Data Dump'!$S:$S,'SPL FEED'!AF$2)</f>
        <v>0</v>
      </c>
      <c r="AG25" s="17">
        <f>COUNTIFS('Data Dump'!$P:$P,'SPL FEED'!$A25,'Data Dump'!$S:$S,'SPL FEED'!AG$2)</f>
        <v>0</v>
      </c>
      <c r="AH25" s="17">
        <f>COUNTIFS('Data Dump'!$P:$P,'SPL FEED'!$A25,'Data Dump'!$S:$S,'SPL FEED'!AH$2)</f>
        <v>0</v>
      </c>
      <c r="AI25" s="20">
        <f t="shared" si="8"/>
        <v>0</v>
      </c>
      <c r="AJ25" s="20">
        <f t="shared" si="9"/>
        <v>0</v>
      </c>
    </row>
    <row r="26" spans="1:36" x14ac:dyDescent="0.25">
      <c r="A26" s="13" t="s">
        <v>193</v>
      </c>
      <c r="B26" s="12" t="s">
        <v>194</v>
      </c>
      <c r="C26" s="17">
        <f>COUNTIFS('Data Dump'!$P:$P,'SPL FEED'!$A26,'Data Dump'!$S:$S,'SPL FEED'!C$2)</f>
        <v>0</v>
      </c>
      <c r="D26" s="17">
        <f>COUNTIFS('Data Dump'!$P:$P,'SPL FEED'!$A26,'Data Dump'!$S:$S,'SPL FEED'!D$2)</f>
        <v>0</v>
      </c>
      <c r="E26" s="17">
        <f>COUNTIFS('Data Dump'!$P:$P,'SPL FEED'!$A26,'Data Dump'!$S:$S,'SPL FEED'!E$2)</f>
        <v>0</v>
      </c>
      <c r="F26" s="20">
        <f t="shared" si="0"/>
        <v>0</v>
      </c>
      <c r="G26" s="17">
        <f>COUNTIFS('Data Dump'!$P:$P,'SPL FEED'!$A26,'Data Dump'!$S:$S,'SPL FEED'!G$2)</f>
        <v>0</v>
      </c>
      <c r="H26" s="17">
        <f>COUNTIFS('Data Dump'!$P:$P,'SPL FEED'!$A26,'Data Dump'!$S:$S,'SPL FEED'!H$2)</f>
        <v>0</v>
      </c>
      <c r="I26" s="17">
        <f>COUNTIFS('Data Dump'!$P:$P,'SPL FEED'!$A26,'Data Dump'!$S:$S,'SPL FEED'!I$2)</f>
        <v>0</v>
      </c>
      <c r="J26" s="20">
        <f t="shared" si="1"/>
        <v>0</v>
      </c>
      <c r="K26" s="17">
        <f>COUNTIFS('Data Dump'!$P:$P,'SPL FEED'!$A26,'Data Dump'!$S:$S,'SPL FEED'!K$2)</f>
        <v>0</v>
      </c>
      <c r="L26" s="17">
        <f>COUNTIFS('Data Dump'!$P:$P,'SPL FEED'!$A26,'Data Dump'!$S:$S,'SPL FEED'!L$2)</f>
        <v>0</v>
      </c>
      <c r="M26" s="17">
        <f>COUNTIFS('Data Dump'!$P:$P,'SPL FEED'!$A26,'Data Dump'!$S:$S,'SPL FEED'!M$2)</f>
        <v>0</v>
      </c>
      <c r="N26" s="20">
        <f t="shared" si="2"/>
        <v>0</v>
      </c>
      <c r="O26" s="17">
        <f>COUNTIFS('Data Dump'!$P:$P,'SPL FEED'!$A26,'Data Dump'!$S:$S,'SPL FEED'!O$2)</f>
        <v>0</v>
      </c>
      <c r="P26" s="17">
        <f>COUNTIFS('Data Dump'!$P:$P,'SPL FEED'!$A26,'Data Dump'!$S:$S,'SPL FEED'!P$2)</f>
        <v>0</v>
      </c>
      <c r="Q26" s="17">
        <f>COUNTIFS('Data Dump'!$P:$P,'SPL FEED'!$A26,'Data Dump'!$S:$S,'SPL FEED'!Q$2)</f>
        <v>0</v>
      </c>
      <c r="R26" s="20">
        <f t="shared" si="3"/>
        <v>0</v>
      </c>
      <c r="S26" s="20">
        <f t="shared" si="4"/>
        <v>0</v>
      </c>
      <c r="T26" s="17">
        <f>COUNTIFS('Data Dump'!$P:$P,'SPL FEED'!$A26,'Data Dump'!$S:$S,'SPL FEED'!T$2)</f>
        <v>0</v>
      </c>
      <c r="U26" s="17">
        <f>COUNTIFS('Data Dump'!$P:$P,'SPL FEED'!$A26,'Data Dump'!$S:$S,'SPL FEED'!U$2)</f>
        <v>0</v>
      </c>
      <c r="V26" s="17">
        <f>COUNTIFS('Data Dump'!$P:$P,'SPL FEED'!$A26,'Data Dump'!$S:$S,'SPL FEED'!V$2)</f>
        <v>0</v>
      </c>
      <c r="W26" s="20">
        <f t="shared" si="5"/>
        <v>0</v>
      </c>
      <c r="X26" s="17">
        <f>COUNTIFS('Data Dump'!$P:$P,'SPL FEED'!$A26,'Data Dump'!$S:$S,'SPL FEED'!X$2)</f>
        <v>0</v>
      </c>
      <c r="Y26" s="17">
        <f>COUNTIFS('Data Dump'!$P:$P,'SPL FEED'!$A26,'Data Dump'!$S:$S,'SPL FEED'!Y$2)</f>
        <v>0</v>
      </c>
      <c r="Z26" s="17">
        <f>COUNTIFS('Data Dump'!$P:$P,'SPL FEED'!$A26,'Data Dump'!$S:$S,'SPL FEED'!Z$2)</f>
        <v>0</v>
      </c>
      <c r="AA26" s="20">
        <f t="shared" si="6"/>
        <v>0</v>
      </c>
      <c r="AB26" s="17">
        <f>COUNTIFS('Data Dump'!$P:$P,'SPL FEED'!$A26,'Data Dump'!$S:$S,'SPL FEED'!AB$2)</f>
        <v>0</v>
      </c>
      <c r="AC26" s="17">
        <f>COUNTIFS('Data Dump'!$P:$P,'SPL FEED'!$A26,'Data Dump'!$S:$S,'SPL FEED'!AC$2)</f>
        <v>0</v>
      </c>
      <c r="AD26" s="17">
        <f>COUNTIFS('Data Dump'!$P:$P,'SPL FEED'!$A26,'Data Dump'!$S:$S,'SPL FEED'!AD$2)</f>
        <v>0</v>
      </c>
      <c r="AE26" s="20">
        <f t="shared" si="7"/>
        <v>0</v>
      </c>
      <c r="AF26" s="17">
        <f>COUNTIFS('Data Dump'!$P:$P,'SPL FEED'!$A26,'Data Dump'!$S:$S,'SPL FEED'!AF$2)</f>
        <v>0</v>
      </c>
      <c r="AG26" s="17">
        <f>COUNTIFS('Data Dump'!$P:$P,'SPL FEED'!$A26,'Data Dump'!$S:$S,'SPL FEED'!AG$2)</f>
        <v>0</v>
      </c>
      <c r="AH26" s="17">
        <f>COUNTIFS('Data Dump'!$P:$P,'SPL FEED'!$A26,'Data Dump'!$S:$S,'SPL FEED'!AH$2)</f>
        <v>1</v>
      </c>
      <c r="AI26" s="20">
        <f t="shared" si="8"/>
        <v>1</v>
      </c>
      <c r="AJ26" s="20">
        <f t="shared" si="9"/>
        <v>1</v>
      </c>
    </row>
    <row r="27" spans="1:36" x14ac:dyDescent="0.25">
      <c r="A27" s="13" t="s">
        <v>195</v>
      </c>
      <c r="B27" s="12" t="s">
        <v>196</v>
      </c>
      <c r="C27" s="17">
        <f>COUNTIFS('Data Dump'!$P:$P,'SPL FEED'!$A27,'Data Dump'!$S:$S,'SPL FEED'!C$2)</f>
        <v>0</v>
      </c>
      <c r="D27" s="17">
        <f>COUNTIFS('Data Dump'!$P:$P,'SPL FEED'!$A27,'Data Dump'!$S:$S,'SPL FEED'!D$2)</f>
        <v>0</v>
      </c>
      <c r="E27" s="17">
        <f>COUNTIFS('Data Dump'!$P:$P,'SPL FEED'!$A27,'Data Dump'!$S:$S,'SPL FEED'!E$2)</f>
        <v>0</v>
      </c>
      <c r="F27" s="20">
        <f t="shared" si="0"/>
        <v>0</v>
      </c>
      <c r="G27" s="17">
        <f>COUNTIFS('Data Dump'!$P:$P,'SPL FEED'!$A27,'Data Dump'!$S:$S,'SPL FEED'!G$2)</f>
        <v>0</v>
      </c>
      <c r="H27" s="17">
        <f>COUNTIFS('Data Dump'!$P:$P,'SPL FEED'!$A27,'Data Dump'!$S:$S,'SPL FEED'!H$2)</f>
        <v>0</v>
      </c>
      <c r="I27" s="17">
        <f>COUNTIFS('Data Dump'!$P:$P,'SPL FEED'!$A27,'Data Dump'!$S:$S,'SPL FEED'!I$2)</f>
        <v>0</v>
      </c>
      <c r="J27" s="20">
        <f t="shared" si="1"/>
        <v>0</v>
      </c>
      <c r="K27" s="17">
        <f>COUNTIFS('Data Dump'!$P:$P,'SPL FEED'!$A27,'Data Dump'!$S:$S,'SPL FEED'!K$2)</f>
        <v>0</v>
      </c>
      <c r="L27" s="17">
        <f>COUNTIFS('Data Dump'!$P:$P,'SPL FEED'!$A27,'Data Dump'!$S:$S,'SPL FEED'!L$2)</f>
        <v>0</v>
      </c>
      <c r="M27" s="17">
        <f>COUNTIFS('Data Dump'!$P:$P,'SPL FEED'!$A27,'Data Dump'!$S:$S,'SPL FEED'!M$2)</f>
        <v>0</v>
      </c>
      <c r="N27" s="20">
        <f t="shared" si="2"/>
        <v>0</v>
      </c>
      <c r="O27" s="17">
        <f>COUNTIFS('Data Dump'!$P:$P,'SPL FEED'!$A27,'Data Dump'!$S:$S,'SPL FEED'!O$2)</f>
        <v>0</v>
      </c>
      <c r="P27" s="17">
        <f>COUNTIFS('Data Dump'!$P:$P,'SPL FEED'!$A27,'Data Dump'!$S:$S,'SPL FEED'!P$2)</f>
        <v>0</v>
      </c>
      <c r="Q27" s="17">
        <f>COUNTIFS('Data Dump'!$P:$P,'SPL FEED'!$A27,'Data Dump'!$S:$S,'SPL FEED'!Q$2)</f>
        <v>0</v>
      </c>
      <c r="R27" s="20">
        <f t="shared" si="3"/>
        <v>0</v>
      </c>
      <c r="S27" s="20">
        <f t="shared" si="4"/>
        <v>0</v>
      </c>
      <c r="T27" s="17">
        <f>COUNTIFS('Data Dump'!$P:$P,'SPL FEED'!$A27,'Data Dump'!$S:$S,'SPL FEED'!T$2)</f>
        <v>0</v>
      </c>
      <c r="U27" s="17">
        <f>COUNTIFS('Data Dump'!$P:$P,'SPL FEED'!$A27,'Data Dump'!$S:$S,'SPL FEED'!U$2)</f>
        <v>0</v>
      </c>
      <c r="V27" s="17">
        <f>COUNTIFS('Data Dump'!$P:$P,'SPL FEED'!$A27,'Data Dump'!$S:$S,'SPL FEED'!V$2)</f>
        <v>0</v>
      </c>
      <c r="W27" s="20">
        <f t="shared" si="5"/>
        <v>0</v>
      </c>
      <c r="X27" s="17">
        <f>COUNTIFS('Data Dump'!$P:$P,'SPL FEED'!$A27,'Data Dump'!$S:$S,'SPL FEED'!X$2)</f>
        <v>0</v>
      </c>
      <c r="Y27" s="17">
        <f>COUNTIFS('Data Dump'!$P:$P,'SPL FEED'!$A27,'Data Dump'!$S:$S,'SPL FEED'!Y$2)</f>
        <v>0</v>
      </c>
      <c r="Z27" s="17">
        <f>COUNTIFS('Data Dump'!$P:$P,'SPL FEED'!$A27,'Data Dump'!$S:$S,'SPL FEED'!Z$2)</f>
        <v>0</v>
      </c>
      <c r="AA27" s="20">
        <f t="shared" si="6"/>
        <v>0</v>
      </c>
      <c r="AB27" s="17">
        <f>COUNTIFS('Data Dump'!$P:$P,'SPL FEED'!$A27,'Data Dump'!$S:$S,'SPL FEED'!AB$2)</f>
        <v>0</v>
      </c>
      <c r="AC27" s="17">
        <f>COUNTIFS('Data Dump'!$P:$P,'SPL FEED'!$A27,'Data Dump'!$S:$S,'SPL FEED'!AC$2)</f>
        <v>0</v>
      </c>
      <c r="AD27" s="17">
        <f>COUNTIFS('Data Dump'!$P:$P,'SPL FEED'!$A27,'Data Dump'!$S:$S,'SPL FEED'!AD$2)</f>
        <v>0</v>
      </c>
      <c r="AE27" s="20">
        <f t="shared" si="7"/>
        <v>0</v>
      </c>
      <c r="AF27" s="17">
        <f>COUNTIFS('Data Dump'!$P:$P,'SPL FEED'!$A27,'Data Dump'!$S:$S,'SPL FEED'!AF$2)</f>
        <v>0</v>
      </c>
      <c r="AG27" s="17">
        <f>COUNTIFS('Data Dump'!$P:$P,'SPL FEED'!$A27,'Data Dump'!$S:$S,'SPL FEED'!AG$2)</f>
        <v>0</v>
      </c>
      <c r="AH27" s="17">
        <f>COUNTIFS('Data Dump'!$P:$P,'SPL FEED'!$A27,'Data Dump'!$S:$S,'SPL FEED'!AH$2)</f>
        <v>0</v>
      </c>
      <c r="AI27" s="20">
        <f t="shared" si="8"/>
        <v>0</v>
      </c>
      <c r="AJ27" s="20">
        <f t="shared" si="9"/>
        <v>0</v>
      </c>
    </row>
    <row r="28" spans="1:36" x14ac:dyDescent="0.25">
      <c r="A28" s="13" t="s">
        <v>197</v>
      </c>
      <c r="B28" s="12" t="s">
        <v>198</v>
      </c>
      <c r="C28" s="17">
        <f>COUNTIFS('Data Dump'!$P:$P,'SPL FEED'!$A28,'Data Dump'!$S:$S,'SPL FEED'!C$2)</f>
        <v>0</v>
      </c>
      <c r="D28" s="17">
        <f>COUNTIFS('Data Dump'!$P:$P,'SPL FEED'!$A28,'Data Dump'!$S:$S,'SPL FEED'!D$2)</f>
        <v>1</v>
      </c>
      <c r="E28" s="17">
        <f>COUNTIFS('Data Dump'!$P:$P,'SPL FEED'!$A28,'Data Dump'!$S:$S,'SPL FEED'!E$2)</f>
        <v>0</v>
      </c>
      <c r="F28" s="20">
        <f t="shared" si="0"/>
        <v>1</v>
      </c>
      <c r="G28" s="17">
        <f>COUNTIFS('Data Dump'!$P:$P,'SPL FEED'!$A28,'Data Dump'!$S:$S,'SPL FEED'!G$2)</f>
        <v>0</v>
      </c>
      <c r="H28" s="17">
        <f>COUNTIFS('Data Dump'!$P:$P,'SPL FEED'!$A28,'Data Dump'!$S:$S,'SPL FEED'!H$2)</f>
        <v>0</v>
      </c>
      <c r="I28" s="17">
        <f>COUNTIFS('Data Dump'!$P:$P,'SPL FEED'!$A28,'Data Dump'!$S:$S,'SPL FEED'!I$2)</f>
        <v>0</v>
      </c>
      <c r="J28" s="20">
        <f t="shared" si="1"/>
        <v>0</v>
      </c>
      <c r="K28" s="17">
        <f>COUNTIFS('Data Dump'!$P:$P,'SPL FEED'!$A28,'Data Dump'!$S:$S,'SPL FEED'!K$2)</f>
        <v>0</v>
      </c>
      <c r="L28" s="17">
        <f>COUNTIFS('Data Dump'!$P:$P,'SPL FEED'!$A28,'Data Dump'!$S:$S,'SPL FEED'!L$2)</f>
        <v>0</v>
      </c>
      <c r="M28" s="17">
        <f>COUNTIFS('Data Dump'!$P:$P,'SPL FEED'!$A28,'Data Dump'!$S:$S,'SPL FEED'!M$2)</f>
        <v>1</v>
      </c>
      <c r="N28" s="20">
        <f t="shared" si="2"/>
        <v>1</v>
      </c>
      <c r="O28" s="17">
        <f>COUNTIFS('Data Dump'!$P:$P,'SPL FEED'!$A28,'Data Dump'!$S:$S,'SPL FEED'!O$2)</f>
        <v>1</v>
      </c>
      <c r="P28" s="17">
        <f>COUNTIFS('Data Dump'!$P:$P,'SPL FEED'!$A28,'Data Dump'!$S:$S,'SPL FEED'!P$2)</f>
        <v>0</v>
      </c>
      <c r="Q28" s="17">
        <f>COUNTIFS('Data Dump'!$P:$P,'SPL FEED'!$A28,'Data Dump'!$S:$S,'SPL FEED'!Q$2)</f>
        <v>0</v>
      </c>
      <c r="R28" s="20">
        <f t="shared" si="3"/>
        <v>1</v>
      </c>
      <c r="S28" s="20">
        <f t="shared" si="4"/>
        <v>3</v>
      </c>
      <c r="T28" s="17">
        <f>COUNTIFS('Data Dump'!$P:$P,'SPL FEED'!$A28,'Data Dump'!$S:$S,'SPL FEED'!T$2)</f>
        <v>0</v>
      </c>
      <c r="U28" s="17">
        <f>COUNTIFS('Data Dump'!$P:$P,'SPL FEED'!$A28,'Data Dump'!$S:$S,'SPL FEED'!U$2)</f>
        <v>0</v>
      </c>
      <c r="V28" s="17">
        <f>COUNTIFS('Data Dump'!$P:$P,'SPL FEED'!$A28,'Data Dump'!$S:$S,'SPL FEED'!V$2)</f>
        <v>0</v>
      </c>
      <c r="W28" s="20">
        <f t="shared" si="5"/>
        <v>0</v>
      </c>
      <c r="X28" s="17">
        <f>COUNTIFS('Data Dump'!$P:$P,'SPL FEED'!$A28,'Data Dump'!$S:$S,'SPL FEED'!X$2)</f>
        <v>1</v>
      </c>
      <c r="Y28" s="17">
        <f>COUNTIFS('Data Dump'!$P:$P,'SPL FEED'!$A28,'Data Dump'!$S:$S,'SPL FEED'!Y$2)</f>
        <v>1</v>
      </c>
      <c r="Z28" s="17">
        <f>COUNTIFS('Data Dump'!$P:$P,'SPL FEED'!$A28,'Data Dump'!$S:$S,'SPL FEED'!Z$2)</f>
        <v>0</v>
      </c>
      <c r="AA28" s="20">
        <f t="shared" si="6"/>
        <v>2</v>
      </c>
      <c r="AB28" s="17">
        <f>COUNTIFS('Data Dump'!$P:$P,'SPL FEED'!$A28,'Data Dump'!$S:$S,'SPL FEED'!AB$2)</f>
        <v>0</v>
      </c>
      <c r="AC28" s="17">
        <f>COUNTIFS('Data Dump'!$P:$P,'SPL FEED'!$A28,'Data Dump'!$S:$S,'SPL FEED'!AC$2)</f>
        <v>0</v>
      </c>
      <c r="AD28" s="17">
        <f>COUNTIFS('Data Dump'!$P:$P,'SPL FEED'!$A28,'Data Dump'!$S:$S,'SPL FEED'!AD$2)</f>
        <v>0</v>
      </c>
      <c r="AE28" s="20">
        <f t="shared" si="7"/>
        <v>0</v>
      </c>
      <c r="AF28" s="17">
        <f>COUNTIFS('Data Dump'!$P:$P,'SPL FEED'!$A28,'Data Dump'!$S:$S,'SPL FEED'!AF$2)</f>
        <v>0</v>
      </c>
      <c r="AG28" s="17">
        <f>COUNTIFS('Data Dump'!$P:$P,'SPL FEED'!$A28,'Data Dump'!$S:$S,'SPL FEED'!AG$2)</f>
        <v>0</v>
      </c>
      <c r="AH28" s="17">
        <f>COUNTIFS('Data Dump'!$P:$P,'SPL FEED'!$A28,'Data Dump'!$S:$S,'SPL FEED'!AH$2)</f>
        <v>1</v>
      </c>
      <c r="AI28" s="20">
        <f t="shared" si="8"/>
        <v>1</v>
      </c>
      <c r="AJ28" s="20">
        <f t="shared" si="9"/>
        <v>3</v>
      </c>
    </row>
    <row r="29" spans="1:36" x14ac:dyDescent="0.25">
      <c r="A29" s="13" t="s">
        <v>199</v>
      </c>
      <c r="B29" s="12" t="s">
        <v>200</v>
      </c>
      <c r="C29" s="17">
        <f>COUNTIFS('Data Dump'!$P:$P,'SPL FEED'!$A29,'Data Dump'!$S:$S,'SPL FEED'!C$2)</f>
        <v>1</v>
      </c>
      <c r="D29" s="17">
        <f>COUNTIFS('Data Dump'!$P:$P,'SPL FEED'!$A29,'Data Dump'!$S:$S,'SPL FEED'!D$2)</f>
        <v>0</v>
      </c>
      <c r="E29" s="17">
        <f>COUNTIFS('Data Dump'!$P:$P,'SPL FEED'!$A29,'Data Dump'!$S:$S,'SPL FEED'!E$2)</f>
        <v>0</v>
      </c>
      <c r="F29" s="20">
        <f t="shared" si="0"/>
        <v>1</v>
      </c>
      <c r="G29" s="17">
        <f>COUNTIFS('Data Dump'!$P:$P,'SPL FEED'!$A29,'Data Dump'!$S:$S,'SPL FEED'!G$2)</f>
        <v>0</v>
      </c>
      <c r="H29" s="17">
        <f>COUNTIFS('Data Dump'!$P:$P,'SPL FEED'!$A29,'Data Dump'!$S:$S,'SPL FEED'!H$2)</f>
        <v>0</v>
      </c>
      <c r="I29" s="17">
        <f>COUNTIFS('Data Dump'!$P:$P,'SPL FEED'!$A29,'Data Dump'!$S:$S,'SPL FEED'!I$2)</f>
        <v>0</v>
      </c>
      <c r="J29" s="20">
        <f t="shared" si="1"/>
        <v>0</v>
      </c>
      <c r="K29" s="17">
        <f>COUNTIFS('Data Dump'!$P:$P,'SPL FEED'!$A29,'Data Dump'!$S:$S,'SPL FEED'!K$2)</f>
        <v>0</v>
      </c>
      <c r="L29" s="17">
        <f>COUNTIFS('Data Dump'!$P:$P,'SPL FEED'!$A29,'Data Dump'!$S:$S,'SPL FEED'!L$2)</f>
        <v>0</v>
      </c>
      <c r="M29" s="17">
        <f>COUNTIFS('Data Dump'!$P:$P,'SPL FEED'!$A29,'Data Dump'!$S:$S,'SPL FEED'!M$2)</f>
        <v>0</v>
      </c>
      <c r="N29" s="20">
        <f t="shared" si="2"/>
        <v>0</v>
      </c>
      <c r="O29" s="17">
        <f>COUNTIFS('Data Dump'!$P:$P,'SPL FEED'!$A29,'Data Dump'!$S:$S,'SPL FEED'!O$2)</f>
        <v>0</v>
      </c>
      <c r="P29" s="17">
        <f>COUNTIFS('Data Dump'!$P:$P,'SPL FEED'!$A29,'Data Dump'!$S:$S,'SPL FEED'!P$2)</f>
        <v>0</v>
      </c>
      <c r="Q29" s="17">
        <f>COUNTIFS('Data Dump'!$P:$P,'SPL FEED'!$A29,'Data Dump'!$S:$S,'SPL FEED'!Q$2)</f>
        <v>0</v>
      </c>
      <c r="R29" s="20">
        <f t="shared" si="3"/>
        <v>0</v>
      </c>
      <c r="S29" s="20">
        <f t="shared" si="4"/>
        <v>1</v>
      </c>
      <c r="T29" s="17">
        <f>COUNTIFS('Data Dump'!$P:$P,'SPL FEED'!$A29,'Data Dump'!$S:$S,'SPL FEED'!T$2)</f>
        <v>0</v>
      </c>
      <c r="U29" s="17">
        <f>COUNTIFS('Data Dump'!$P:$P,'SPL FEED'!$A29,'Data Dump'!$S:$S,'SPL FEED'!U$2)</f>
        <v>0</v>
      </c>
      <c r="V29" s="17">
        <f>COUNTIFS('Data Dump'!$P:$P,'SPL FEED'!$A29,'Data Dump'!$S:$S,'SPL FEED'!V$2)</f>
        <v>0</v>
      </c>
      <c r="W29" s="20">
        <f t="shared" si="5"/>
        <v>0</v>
      </c>
      <c r="X29" s="17">
        <f>COUNTIFS('Data Dump'!$P:$P,'SPL FEED'!$A29,'Data Dump'!$S:$S,'SPL FEED'!X$2)</f>
        <v>0</v>
      </c>
      <c r="Y29" s="17">
        <f>COUNTIFS('Data Dump'!$P:$P,'SPL FEED'!$A29,'Data Dump'!$S:$S,'SPL FEED'!Y$2)</f>
        <v>0</v>
      </c>
      <c r="Z29" s="17">
        <f>COUNTIFS('Data Dump'!$P:$P,'SPL FEED'!$A29,'Data Dump'!$S:$S,'SPL FEED'!Z$2)</f>
        <v>0</v>
      </c>
      <c r="AA29" s="20">
        <f t="shared" si="6"/>
        <v>0</v>
      </c>
      <c r="AB29" s="17">
        <f>COUNTIFS('Data Dump'!$P:$P,'SPL FEED'!$A29,'Data Dump'!$S:$S,'SPL FEED'!AB$2)</f>
        <v>0</v>
      </c>
      <c r="AC29" s="17">
        <f>COUNTIFS('Data Dump'!$P:$P,'SPL FEED'!$A29,'Data Dump'!$S:$S,'SPL FEED'!AC$2)</f>
        <v>0</v>
      </c>
      <c r="AD29" s="17">
        <f>COUNTIFS('Data Dump'!$P:$P,'SPL FEED'!$A29,'Data Dump'!$S:$S,'SPL FEED'!AD$2)</f>
        <v>0</v>
      </c>
      <c r="AE29" s="20">
        <f t="shared" si="7"/>
        <v>0</v>
      </c>
      <c r="AF29" s="17">
        <f>COUNTIFS('Data Dump'!$P:$P,'SPL FEED'!$A29,'Data Dump'!$S:$S,'SPL FEED'!AF$2)</f>
        <v>0</v>
      </c>
      <c r="AG29" s="17">
        <f>COUNTIFS('Data Dump'!$P:$P,'SPL FEED'!$A29,'Data Dump'!$S:$S,'SPL FEED'!AG$2)</f>
        <v>0</v>
      </c>
      <c r="AH29" s="17">
        <f>COUNTIFS('Data Dump'!$P:$P,'SPL FEED'!$A29,'Data Dump'!$S:$S,'SPL FEED'!AH$2)</f>
        <v>0</v>
      </c>
      <c r="AI29" s="20">
        <f t="shared" si="8"/>
        <v>0</v>
      </c>
      <c r="AJ29" s="20">
        <f t="shared" si="9"/>
        <v>0</v>
      </c>
    </row>
    <row r="30" spans="1:36" x14ac:dyDescent="0.25">
      <c r="A30" s="13" t="s">
        <v>201</v>
      </c>
      <c r="B30" s="12" t="s">
        <v>202</v>
      </c>
      <c r="C30" s="17">
        <f>COUNTIFS('Data Dump'!$P:$P,'SPL FEED'!$A30,'Data Dump'!$S:$S,'SPL FEED'!C$2)</f>
        <v>0</v>
      </c>
      <c r="D30" s="17">
        <f>COUNTIFS('Data Dump'!$P:$P,'SPL FEED'!$A30,'Data Dump'!$S:$S,'SPL FEED'!D$2)</f>
        <v>0</v>
      </c>
      <c r="E30" s="17">
        <f>COUNTIFS('Data Dump'!$P:$P,'SPL FEED'!$A30,'Data Dump'!$S:$S,'SPL FEED'!E$2)</f>
        <v>1</v>
      </c>
      <c r="F30" s="20">
        <f t="shared" si="0"/>
        <v>1</v>
      </c>
      <c r="G30" s="17">
        <f>COUNTIFS('Data Dump'!$P:$P,'SPL FEED'!$A30,'Data Dump'!$S:$S,'SPL FEED'!G$2)</f>
        <v>0</v>
      </c>
      <c r="H30" s="17">
        <f>COUNTIFS('Data Dump'!$P:$P,'SPL FEED'!$A30,'Data Dump'!$S:$S,'SPL FEED'!H$2)</f>
        <v>0</v>
      </c>
      <c r="I30" s="17">
        <f>COUNTIFS('Data Dump'!$P:$P,'SPL FEED'!$A30,'Data Dump'!$S:$S,'SPL FEED'!I$2)</f>
        <v>0</v>
      </c>
      <c r="J30" s="20">
        <f t="shared" si="1"/>
        <v>0</v>
      </c>
      <c r="K30" s="17">
        <f>COUNTIFS('Data Dump'!$P:$P,'SPL FEED'!$A30,'Data Dump'!$S:$S,'SPL FEED'!K$2)</f>
        <v>0</v>
      </c>
      <c r="L30" s="17">
        <f>COUNTIFS('Data Dump'!$P:$P,'SPL FEED'!$A30,'Data Dump'!$S:$S,'SPL FEED'!L$2)</f>
        <v>0</v>
      </c>
      <c r="M30" s="17">
        <f>COUNTIFS('Data Dump'!$P:$P,'SPL FEED'!$A30,'Data Dump'!$S:$S,'SPL FEED'!M$2)</f>
        <v>0</v>
      </c>
      <c r="N30" s="20">
        <f t="shared" si="2"/>
        <v>0</v>
      </c>
      <c r="O30" s="17">
        <f>COUNTIFS('Data Dump'!$P:$P,'SPL FEED'!$A30,'Data Dump'!$S:$S,'SPL FEED'!O$2)</f>
        <v>0</v>
      </c>
      <c r="P30" s="17">
        <f>COUNTIFS('Data Dump'!$P:$P,'SPL FEED'!$A30,'Data Dump'!$S:$S,'SPL FEED'!P$2)</f>
        <v>0</v>
      </c>
      <c r="Q30" s="17">
        <f>COUNTIFS('Data Dump'!$P:$P,'SPL FEED'!$A30,'Data Dump'!$S:$S,'SPL FEED'!Q$2)</f>
        <v>0</v>
      </c>
      <c r="R30" s="20">
        <f t="shared" si="3"/>
        <v>0</v>
      </c>
      <c r="S30" s="20">
        <f t="shared" si="4"/>
        <v>1</v>
      </c>
      <c r="T30" s="17">
        <f>COUNTIFS('Data Dump'!$P:$P,'SPL FEED'!$A30,'Data Dump'!$S:$S,'SPL FEED'!T$2)</f>
        <v>0</v>
      </c>
      <c r="U30" s="17">
        <f>COUNTIFS('Data Dump'!$P:$P,'SPL FEED'!$A30,'Data Dump'!$S:$S,'SPL FEED'!U$2)</f>
        <v>0</v>
      </c>
      <c r="V30" s="17">
        <f>COUNTIFS('Data Dump'!$P:$P,'SPL FEED'!$A30,'Data Dump'!$S:$S,'SPL FEED'!V$2)</f>
        <v>0</v>
      </c>
      <c r="W30" s="20">
        <f t="shared" si="5"/>
        <v>0</v>
      </c>
      <c r="X30" s="17">
        <f>COUNTIFS('Data Dump'!$P:$P,'SPL FEED'!$A30,'Data Dump'!$S:$S,'SPL FEED'!X$2)</f>
        <v>0</v>
      </c>
      <c r="Y30" s="17">
        <f>COUNTIFS('Data Dump'!$P:$P,'SPL FEED'!$A30,'Data Dump'!$S:$S,'SPL FEED'!Y$2)</f>
        <v>0</v>
      </c>
      <c r="Z30" s="17">
        <f>COUNTIFS('Data Dump'!$P:$P,'SPL FEED'!$A30,'Data Dump'!$S:$S,'SPL FEED'!Z$2)</f>
        <v>0</v>
      </c>
      <c r="AA30" s="20">
        <f t="shared" si="6"/>
        <v>0</v>
      </c>
      <c r="AB30" s="17">
        <f>COUNTIFS('Data Dump'!$P:$P,'SPL FEED'!$A30,'Data Dump'!$S:$S,'SPL FEED'!AB$2)</f>
        <v>0</v>
      </c>
      <c r="AC30" s="17">
        <f>COUNTIFS('Data Dump'!$P:$P,'SPL FEED'!$A30,'Data Dump'!$S:$S,'SPL FEED'!AC$2)</f>
        <v>0</v>
      </c>
      <c r="AD30" s="17">
        <f>COUNTIFS('Data Dump'!$P:$P,'SPL FEED'!$A30,'Data Dump'!$S:$S,'SPL FEED'!AD$2)</f>
        <v>0</v>
      </c>
      <c r="AE30" s="20">
        <f t="shared" si="7"/>
        <v>0</v>
      </c>
      <c r="AF30" s="17">
        <f>COUNTIFS('Data Dump'!$P:$P,'SPL FEED'!$A30,'Data Dump'!$S:$S,'SPL FEED'!AF$2)</f>
        <v>0</v>
      </c>
      <c r="AG30" s="17">
        <f>COUNTIFS('Data Dump'!$P:$P,'SPL FEED'!$A30,'Data Dump'!$S:$S,'SPL FEED'!AG$2)</f>
        <v>0</v>
      </c>
      <c r="AH30" s="17">
        <f>COUNTIFS('Data Dump'!$P:$P,'SPL FEED'!$A30,'Data Dump'!$S:$S,'SPL FEED'!AH$2)</f>
        <v>0</v>
      </c>
      <c r="AI30" s="20">
        <f t="shared" si="8"/>
        <v>0</v>
      </c>
      <c r="AJ30" s="20">
        <f t="shared" si="9"/>
        <v>0</v>
      </c>
    </row>
    <row r="31" spans="1:36" x14ac:dyDescent="0.25">
      <c r="A31" s="13" t="s">
        <v>203</v>
      </c>
      <c r="B31" s="12" t="s">
        <v>204</v>
      </c>
      <c r="C31" s="17">
        <f>COUNTIFS('Data Dump'!$P:$P,'SPL FEED'!$A31,'Data Dump'!$S:$S,'SPL FEED'!C$2)</f>
        <v>0</v>
      </c>
      <c r="D31" s="17">
        <f>COUNTIFS('Data Dump'!$P:$P,'SPL FEED'!$A31,'Data Dump'!$S:$S,'SPL FEED'!D$2)</f>
        <v>0</v>
      </c>
      <c r="E31" s="17">
        <f>COUNTIFS('Data Dump'!$P:$P,'SPL FEED'!$A31,'Data Dump'!$S:$S,'SPL FEED'!E$2)</f>
        <v>1</v>
      </c>
      <c r="F31" s="20">
        <f t="shared" si="0"/>
        <v>1</v>
      </c>
      <c r="G31" s="17">
        <f>COUNTIFS('Data Dump'!$P:$P,'SPL FEED'!$A31,'Data Dump'!$S:$S,'SPL FEED'!G$2)</f>
        <v>0</v>
      </c>
      <c r="H31" s="17">
        <f>COUNTIFS('Data Dump'!$P:$P,'SPL FEED'!$A31,'Data Dump'!$S:$S,'SPL FEED'!H$2)</f>
        <v>1</v>
      </c>
      <c r="I31" s="17">
        <f>COUNTIFS('Data Dump'!$P:$P,'SPL FEED'!$A31,'Data Dump'!$S:$S,'SPL FEED'!I$2)</f>
        <v>0</v>
      </c>
      <c r="J31" s="20">
        <f t="shared" si="1"/>
        <v>1</v>
      </c>
      <c r="K31" s="17">
        <f>COUNTIFS('Data Dump'!$P:$P,'SPL FEED'!$A31,'Data Dump'!$S:$S,'SPL FEED'!K$2)</f>
        <v>0</v>
      </c>
      <c r="L31" s="17">
        <f>COUNTIFS('Data Dump'!$P:$P,'SPL FEED'!$A31,'Data Dump'!$S:$S,'SPL FEED'!L$2)</f>
        <v>0</v>
      </c>
      <c r="M31" s="17">
        <f>COUNTIFS('Data Dump'!$P:$P,'SPL FEED'!$A31,'Data Dump'!$S:$S,'SPL FEED'!M$2)</f>
        <v>0</v>
      </c>
      <c r="N31" s="20">
        <f t="shared" si="2"/>
        <v>0</v>
      </c>
      <c r="O31" s="17">
        <f>COUNTIFS('Data Dump'!$P:$P,'SPL FEED'!$A31,'Data Dump'!$S:$S,'SPL FEED'!O$2)</f>
        <v>0</v>
      </c>
      <c r="P31" s="17">
        <f>COUNTIFS('Data Dump'!$P:$P,'SPL FEED'!$A31,'Data Dump'!$S:$S,'SPL FEED'!P$2)</f>
        <v>0</v>
      </c>
      <c r="Q31" s="17">
        <f>COUNTIFS('Data Dump'!$P:$P,'SPL FEED'!$A31,'Data Dump'!$S:$S,'SPL FEED'!Q$2)</f>
        <v>0</v>
      </c>
      <c r="R31" s="20">
        <f t="shared" si="3"/>
        <v>0</v>
      </c>
      <c r="S31" s="20">
        <f t="shared" si="4"/>
        <v>2</v>
      </c>
      <c r="T31" s="17">
        <f>COUNTIFS('Data Dump'!$P:$P,'SPL FEED'!$A31,'Data Dump'!$S:$S,'SPL FEED'!T$2)</f>
        <v>0</v>
      </c>
      <c r="U31" s="17">
        <f>COUNTIFS('Data Dump'!$P:$P,'SPL FEED'!$A31,'Data Dump'!$S:$S,'SPL FEED'!U$2)</f>
        <v>0</v>
      </c>
      <c r="V31" s="17">
        <f>COUNTIFS('Data Dump'!$P:$P,'SPL FEED'!$A31,'Data Dump'!$S:$S,'SPL FEED'!V$2)</f>
        <v>0</v>
      </c>
      <c r="W31" s="20">
        <f t="shared" si="5"/>
        <v>0</v>
      </c>
      <c r="X31" s="17">
        <f>COUNTIFS('Data Dump'!$P:$P,'SPL FEED'!$A31,'Data Dump'!$S:$S,'SPL FEED'!X$2)</f>
        <v>0</v>
      </c>
      <c r="Y31" s="17">
        <f>COUNTIFS('Data Dump'!$P:$P,'SPL FEED'!$A31,'Data Dump'!$S:$S,'SPL FEED'!Y$2)</f>
        <v>0</v>
      </c>
      <c r="Z31" s="17">
        <f>COUNTIFS('Data Dump'!$P:$P,'SPL FEED'!$A31,'Data Dump'!$S:$S,'SPL FEED'!Z$2)</f>
        <v>0</v>
      </c>
      <c r="AA31" s="20">
        <f t="shared" si="6"/>
        <v>0</v>
      </c>
      <c r="AB31" s="17">
        <f>COUNTIFS('Data Dump'!$P:$P,'SPL FEED'!$A31,'Data Dump'!$S:$S,'SPL FEED'!AB$2)</f>
        <v>0</v>
      </c>
      <c r="AC31" s="17">
        <f>COUNTIFS('Data Dump'!$P:$P,'SPL FEED'!$A31,'Data Dump'!$S:$S,'SPL FEED'!AC$2)</f>
        <v>0</v>
      </c>
      <c r="AD31" s="17">
        <f>COUNTIFS('Data Dump'!$P:$P,'SPL FEED'!$A31,'Data Dump'!$S:$S,'SPL FEED'!AD$2)</f>
        <v>0</v>
      </c>
      <c r="AE31" s="20">
        <f t="shared" si="7"/>
        <v>0</v>
      </c>
      <c r="AF31" s="17">
        <f>COUNTIFS('Data Dump'!$P:$P,'SPL FEED'!$A31,'Data Dump'!$S:$S,'SPL FEED'!AF$2)</f>
        <v>0</v>
      </c>
      <c r="AG31" s="17">
        <f>COUNTIFS('Data Dump'!$P:$P,'SPL FEED'!$A31,'Data Dump'!$S:$S,'SPL FEED'!AG$2)</f>
        <v>0</v>
      </c>
      <c r="AH31" s="17">
        <f>COUNTIFS('Data Dump'!$P:$P,'SPL FEED'!$A31,'Data Dump'!$S:$S,'SPL FEED'!AH$2)</f>
        <v>0</v>
      </c>
      <c r="AI31" s="20">
        <f t="shared" si="8"/>
        <v>0</v>
      </c>
      <c r="AJ31" s="20">
        <f t="shared" si="9"/>
        <v>0</v>
      </c>
    </row>
    <row r="32" spans="1:36" x14ac:dyDescent="0.25">
      <c r="A32" s="13" t="s">
        <v>205</v>
      </c>
      <c r="B32" s="12" t="s">
        <v>206</v>
      </c>
      <c r="C32" s="17">
        <f>COUNTIFS('Data Dump'!$P:$P,'SPL FEED'!$A32,'Data Dump'!$S:$S,'SPL FEED'!C$2)</f>
        <v>0</v>
      </c>
      <c r="D32" s="17">
        <f>COUNTIFS('Data Dump'!$P:$P,'SPL FEED'!$A32,'Data Dump'!$S:$S,'SPL FEED'!D$2)</f>
        <v>0</v>
      </c>
      <c r="E32" s="17">
        <f>COUNTIFS('Data Dump'!$P:$P,'SPL FEED'!$A32,'Data Dump'!$S:$S,'SPL FEED'!E$2)</f>
        <v>0</v>
      </c>
      <c r="F32" s="20">
        <f t="shared" si="0"/>
        <v>0</v>
      </c>
      <c r="G32" s="17">
        <f>COUNTIFS('Data Dump'!$P:$P,'SPL FEED'!$A32,'Data Dump'!$S:$S,'SPL FEED'!G$2)</f>
        <v>0</v>
      </c>
      <c r="H32" s="17">
        <f>COUNTIFS('Data Dump'!$P:$P,'SPL FEED'!$A32,'Data Dump'!$S:$S,'SPL FEED'!H$2)</f>
        <v>0</v>
      </c>
      <c r="I32" s="17">
        <f>COUNTIFS('Data Dump'!$P:$P,'SPL FEED'!$A32,'Data Dump'!$S:$S,'SPL FEED'!I$2)</f>
        <v>0</v>
      </c>
      <c r="J32" s="20">
        <f t="shared" si="1"/>
        <v>0</v>
      </c>
      <c r="K32" s="17">
        <f>COUNTIFS('Data Dump'!$P:$P,'SPL FEED'!$A32,'Data Dump'!$S:$S,'SPL FEED'!K$2)</f>
        <v>0</v>
      </c>
      <c r="L32" s="17">
        <f>COUNTIFS('Data Dump'!$P:$P,'SPL FEED'!$A32,'Data Dump'!$S:$S,'SPL FEED'!L$2)</f>
        <v>0</v>
      </c>
      <c r="M32" s="17">
        <f>COUNTIFS('Data Dump'!$P:$P,'SPL FEED'!$A32,'Data Dump'!$S:$S,'SPL FEED'!M$2)</f>
        <v>0</v>
      </c>
      <c r="N32" s="20">
        <f t="shared" si="2"/>
        <v>0</v>
      </c>
      <c r="O32" s="17">
        <f>COUNTIFS('Data Dump'!$P:$P,'SPL FEED'!$A32,'Data Dump'!$S:$S,'SPL FEED'!O$2)</f>
        <v>0</v>
      </c>
      <c r="P32" s="17">
        <f>COUNTIFS('Data Dump'!$P:$P,'SPL FEED'!$A32,'Data Dump'!$S:$S,'SPL FEED'!P$2)</f>
        <v>0</v>
      </c>
      <c r="Q32" s="17">
        <f>COUNTIFS('Data Dump'!$P:$P,'SPL FEED'!$A32,'Data Dump'!$S:$S,'SPL FEED'!Q$2)</f>
        <v>0</v>
      </c>
      <c r="R32" s="20">
        <f t="shared" si="3"/>
        <v>0</v>
      </c>
      <c r="S32" s="20">
        <f t="shared" si="4"/>
        <v>0</v>
      </c>
      <c r="T32" s="17">
        <f>COUNTIFS('Data Dump'!$P:$P,'SPL FEED'!$A32,'Data Dump'!$S:$S,'SPL FEED'!T$2)</f>
        <v>0</v>
      </c>
      <c r="U32" s="17">
        <f>COUNTIFS('Data Dump'!$P:$P,'SPL FEED'!$A32,'Data Dump'!$S:$S,'SPL FEED'!U$2)</f>
        <v>0</v>
      </c>
      <c r="V32" s="17">
        <f>COUNTIFS('Data Dump'!$P:$P,'SPL FEED'!$A32,'Data Dump'!$S:$S,'SPL FEED'!V$2)</f>
        <v>0</v>
      </c>
      <c r="W32" s="20">
        <f t="shared" si="5"/>
        <v>0</v>
      </c>
      <c r="X32" s="17">
        <f>COUNTIFS('Data Dump'!$P:$P,'SPL FEED'!$A32,'Data Dump'!$S:$S,'SPL FEED'!X$2)</f>
        <v>0</v>
      </c>
      <c r="Y32" s="17">
        <f>COUNTIFS('Data Dump'!$P:$P,'SPL FEED'!$A32,'Data Dump'!$S:$S,'SPL FEED'!Y$2)</f>
        <v>0</v>
      </c>
      <c r="Z32" s="17">
        <f>COUNTIFS('Data Dump'!$P:$P,'SPL FEED'!$A32,'Data Dump'!$S:$S,'SPL FEED'!Z$2)</f>
        <v>0</v>
      </c>
      <c r="AA32" s="20">
        <f t="shared" si="6"/>
        <v>0</v>
      </c>
      <c r="AB32" s="17">
        <f>COUNTIFS('Data Dump'!$P:$P,'SPL FEED'!$A32,'Data Dump'!$S:$S,'SPL FEED'!AB$2)</f>
        <v>0</v>
      </c>
      <c r="AC32" s="17">
        <f>COUNTIFS('Data Dump'!$P:$P,'SPL FEED'!$A32,'Data Dump'!$S:$S,'SPL FEED'!AC$2)</f>
        <v>0</v>
      </c>
      <c r="AD32" s="17">
        <f>COUNTIFS('Data Dump'!$P:$P,'SPL FEED'!$A32,'Data Dump'!$S:$S,'SPL FEED'!AD$2)</f>
        <v>0</v>
      </c>
      <c r="AE32" s="20">
        <f t="shared" si="7"/>
        <v>0</v>
      </c>
      <c r="AF32" s="17">
        <f>COUNTIFS('Data Dump'!$P:$P,'SPL FEED'!$A32,'Data Dump'!$S:$S,'SPL FEED'!AF$2)</f>
        <v>0</v>
      </c>
      <c r="AG32" s="17">
        <f>COUNTIFS('Data Dump'!$P:$P,'SPL FEED'!$A32,'Data Dump'!$S:$S,'SPL FEED'!AG$2)</f>
        <v>0</v>
      </c>
      <c r="AH32" s="17">
        <f>COUNTIFS('Data Dump'!$P:$P,'SPL FEED'!$A32,'Data Dump'!$S:$S,'SPL FEED'!AH$2)</f>
        <v>0</v>
      </c>
      <c r="AI32" s="20">
        <f t="shared" si="8"/>
        <v>0</v>
      </c>
      <c r="AJ32" s="20">
        <f t="shared" si="9"/>
        <v>0</v>
      </c>
    </row>
    <row r="33" spans="1:36" x14ac:dyDescent="0.25">
      <c r="A33" s="13" t="s">
        <v>207</v>
      </c>
      <c r="B33" s="12" t="s">
        <v>208</v>
      </c>
      <c r="C33" s="17">
        <f>COUNTIFS('Data Dump'!$P:$P,'SPL FEED'!$A33,'Data Dump'!$S:$S,'SPL FEED'!C$2)</f>
        <v>0</v>
      </c>
      <c r="D33" s="17">
        <f>COUNTIFS('Data Dump'!$P:$P,'SPL FEED'!$A33,'Data Dump'!$S:$S,'SPL FEED'!D$2)</f>
        <v>1</v>
      </c>
      <c r="E33" s="17">
        <f>COUNTIFS('Data Dump'!$P:$P,'SPL FEED'!$A33,'Data Dump'!$S:$S,'SPL FEED'!E$2)</f>
        <v>0</v>
      </c>
      <c r="F33" s="20">
        <f t="shared" si="0"/>
        <v>1</v>
      </c>
      <c r="G33" s="17">
        <f>COUNTIFS('Data Dump'!$P:$P,'SPL FEED'!$A33,'Data Dump'!$S:$S,'SPL FEED'!G$2)</f>
        <v>0</v>
      </c>
      <c r="H33" s="17">
        <f>COUNTIFS('Data Dump'!$P:$P,'SPL FEED'!$A33,'Data Dump'!$S:$S,'SPL FEED'!H$2)</f>
        <v>0</v>
      </c>
      <c r="I33" s="17">
        <f>COUNTIFS('Data Dump'!$P:$P,'SPL FEED'!$A33,'Data Dump'!$S:$S,'SPL FEED'!I$2)</f>
        <v>0</v>
      </c>
      <c r="J33" s="20">
        <f t="shared" si="1"/>
        <v>0</v>
      </c>
      <c r="K33" s="17">
        <f>COUNTIFS('Data Dump'!$P:$P,'SPL FEED'!$A33,'Data Dump'!$S:$S,'SPL FEED'!K$2)</f>
        <v>0</v>
      </c>
      <c r="L33" s="17">
        <f>COUNTIFS('Data Dump'!$P:$P,'SPL FEED'!$A33,'Data Dump'!$S:$S,'SPL FEED'!L$2)</f>
        <v>0</v>
      </c>
      <c r="M33" s="17">
        <f>COUNTIFS('Data Dump'!$P:$P,'SPL FEED'!$A33,'Data Dump'!$S:$S,'SPL FEED'!M$2)</f>
        <v>0</v>
      </c>
      <c r="N33" s="20">
        <f t="shared" si="2"/>
        <v>0</v>
      </c>
      <c r="O33" s="17">
        <f>COUNTIFS('Data Dump'!$P:$P,'SPL FEED'!$A33,'Data Dump'!$S:$S,'SPL FEED'!O$2)</f>
        <v>0</v>
      </c>
      <c r="P33" s="17">
        <f>COUNTIFS('Data Dump'!$P:$P,'SPL FEED'!$A33,'Data Dump'!$S:$S,'SPL FEED'!P$2)</f>
        <v>0</v>
      </c>
      <c r="Q33" s="17">
        <f>COUNTIFS('Data Dump'!$P:$P,'SPL FEED'!$A33,'Data Dump'!$S:$S,'SPL FEED'!Q$2)</f>
        <v>0</v>
      </c>
      <c r="R33" s="20">
        <f t="shared" si="3"/>
        <v>0</v>
      </c>
      <c r="S33" s="20">
        <f t="shared" si="4"/>
        <v>1</v>
      </c>
      <c r="T33" s="17">
        <f>COUNTIFS('Data Dump'!$P:$P,'SPL FEED'!$A33,'Data Dump'!$S:$S,'SPL FEED'!T$2)</f>
        <v>0</v>
      </c>
      <c r="U33" s="17">
        <f>COUNTIFS('Data Dump'!$P:$P,'SPL FEED'!$A33,'Data Dump'!$S:$S,'SPL FEED'!U$2)</f>
        <v>0</v>
      </c>
      <c r="V33" s="17">
        <f>COUNTIFS('Data Dump'!$P:$P,'SPL FEED'!$A33,'Data Dump'!$S:$S,'SPL FEED'!V$2)</f>
        <v>0</v>
      </c>
      <c r="W33" s="20">
        <f t="shared" si="5"/>
        <v>0</v>
      </c>
      <c r="X33" s="17">
        <f>COUNTIFS('Data Dump'!$P:$P,'SPL FEED'!$A33,'Data Dump'!$S:$S,'SPL FEED'!X$2)</f>
        <v>0</v>
      </c>
      <c r="Y33" s="17">
        <f>COUNTIFS('Data Dump'!$P:$P,'SPL FEED'!$A33,'Data Dump'!$S:$S,'SPL FEED'!Y$2)</f>
        <v>0</v>
      </c>
      <c r="Z33" s="17">
        <f>COUNTIFS('Data Dump'!$P:$P,'SPL FEED'!$A33,'Data Dump'!$S:$S,'SPL FEED'!Z$2)</f>
        <v>0</v>
      </c>
      <c r="AA33" s="20">
        <f t="shared" si="6"/>
        <v>0</v>
      </c>
      <c r="AB33" s="17">
        <f>COUNTIFS('Data Dump'!$P:$P,'SPL FEED'!$A33,'Data Dump'!$S:$S,'SPL FEED'!AB$2)</f>
        <v>0</v>
      </c>
      <c r="AC33" s="17">
        <f>COUNTIFS('Data Dump'!$P:$P,'SPL FEED'!$A33,'Data Dump'!$S:$S,'SPL FEED'!AC$2)</f>
        <v>0</v>
      </c>
      <c r="AD33" s="17">
        <f>COUNTIFS('Data Dump'!$P:$P,'SPL FEED'!$A33,'Data Dump'!$S:$S,'SPL FEED'!AD$2)</f>
        <v>0</v>
      </c>
      <c r="AE33" s="20">
        <f t="shared" si="7"/>
        <v>0</v>
      </c>
      <c r="AF33" s="17">
        <f>COUNTIFS('Data Dump'!$P:$P,'SPL FEED'!$A33,'Data Dump'!$S:$S,'SPL FEED'!AF$2)</f>
        <v>0</v>
      </c>
      <c r="AG33" s="17">
        <f>COUNTIFS('Data Dump'!$P:$P,'SPL FEED'!$A33,'Data Dump'!$S:$S,'SPL FEED'!AG$2)</f>
        <v>0</v>
      </c>
      <c r="AH33" s="17">
        <f>COUNTIFS('Data Dump'!$P:$P,'SPL FEED'!$A33,'Data Dump'!$S:$S,'SPL FEED'!AH$2)</f>
        <v>0</v>
      </c>
      <c r="AI33" s="20">
        <f t="shared" si="8"/>
        <v>0</v>
      </c>
      <c r="AJ33" s="20">
        <f t="shared" si="9"/>
        <v>0</v>
      </c>
    </row>
    <row r="34" spans="1:36" x14ac:dyDescent="0.25">
      <c r="A34" s="13" t="s">
        <v>209</v>
      </c>
      <c r="B34" s="12" t="s">
        <v>210</v>
      </c>
      <c r="C34" s="17">
        <f>COUNTIFS('Data Dump'!$P:$P,'SPL FEED'!$A34,'Data Dump'!$S:$S,'SPL FEED'!C$2)</f>
        <v>0</v>
      </c>
      <c r="D34" s="17">
        <f>COUNTIFS('Data Dump'!$P:$P,'SPL FEED'!$A34,'Data Dump'!$S:$S,'SPL FEED'!D$2)</f>
        <v>0</v>
      </c>
      <c r="E34" s="17">
        <f>COUNTIFS('Data Dump'!$P:$P,'SPL FEED'!$A34,'Data Dump'!$S:$S,'SPL FEED'!E$2)</f>
        <v>0</v>
      </c>
      <c r="F34" s="20">
        <f t="shared" si="0"/>
        <v>0</v>
      </c>
      <c r="G34" s="17">
        <f>COUNTIFS('Data Dump'!$P:$P,'SPL FEED'!$A34,'Data Dump'!$S:$S,'SPL FEED'!G$2)</f>
        <v>1</v>
      </c>
      <c r="H34" s="17">
        <f>COUNTIFS('Data Dump'!$P:$P,'SPL FEED'!$A34,'Data Dump'!$S:$S,'SPL FEED'!H$2)</f>
        <v>0</v>
      </c>
      <c r="I34" s="17">
        <f>COUNTIFS('Data Dump'!$P:$P,'SPL FEED'!$A34,'Data Dump'!$S:$S,'SPL FEED'!I$2)</f>
        <v>0</v>
      </c>
      <c r="J34" s="20">
        <f t="shared" si="1"/>
        <v>1</v>
      </c>
      <c r="K34" s="17">
        <f>COUNTIFS('Data Dump'!$P:$P,'SPL FEED'!$A34,'Data Dump'!$S:$S,'SPL FEED'!K$2)</f>
        <v>0</v>
      </c>
      <c r="L34" s="17">
        <f>COUNTIFS('Data Dump'!$P:$P,'SPL FEED'!$A34,'Data Dump'!$S:$S,'SPL FEED'!L$2)</f>
        <v>1</v>
      </c>
      <c r="M34" s="17">
        <f>COUNTIFS('Data Dump'!$P:$P,'SPL FEED'!$A34,'Data Dump'!$S:$S,'SPL FEED'!M$2)</f>
        <v>0</v>
      </c>
      <c r="N34" s="20">
        <f t="shared" si="2"/>
        <v>1</v>
      </c>
      <c r="O34" s="17">
        <f>COUNTIFS('Data Dump'!$P:$P,'SPL FEED'!$A34,'Data Dump'!$S:$S,'SPL FEED'!O$2)</f>
        <v>0</v>
      </c>
      <c r="P34" s="17">
        <f>COUNTIFS('Data Dump'!$P:$P,'SPL FEED'!$A34,'Data Dump'!$S:$S,'SPL FEED'!P$2)</f>
        <v>0</v>
      </c>
      <c r="Q34" s="17">
        <f>COUNTIFS('Data Dump'!$P:$P,'SPL FEED'!$A34,'Data Dump'!$S:$S,'SPL FEED'!Q$2)</f>
        <v>0</v>
      </c>
      <c r="R34" s="20">
        <f t="shared" si="3"/>
        <v>0</v>
      </c>
      <c r="S34" s="20">
        <f t="shared" si="4"/>
        <v>2</v>
      </c>
      <c r="T34" s="17">
        <f>COUNTIFS('Data Dump'!$P:$P,'SPL FEED'!$A34,'Data Dump'!$S:$S,'SPL FEED'!T$2)</f>
        <v>0</v>
      </c>
      <c r="U34" s="17">
        <f>COUNTIFS('Data Dump'!$P:$P,'SPL FEED'!$A34,'Data Dump'!$S:$S,'SPL FEED'!U$2)</f>
        <v>0</v>
      </c>
      <c r="V34" s="17">
        <f>COUNTIFS('Data Dump'!$P:$P,'SPL FEED'!$A34,'Data Dump'!$S:$S,'SPL FEED'!V$2)</f>
        <v>0</v>
      </c>
      <c r="W34" s="20">
        <f t="shared" si="5"/>
        <v>0</v>
      </c>
      <c r="X34" s="17">
        <f>COUNTIFS('Data Dump'!$P:$P,'SPL FEED'!$A34,'Data Dump'!$S:$S,'SPL FEED'!X$2)</f>
        <v>0</v>
      </c>
      <c r="Y34" s="17">
        <f>COUNTIFS('Data Dump'!$P:$P,'SPL FEED'!$A34,'Data Dump'!$S:$S,'SPL FEED'!Y$2)</f>
        <v>0</v>
      </c>
      <c r="Z34" s="17">
        <f>COUNTIFS('Data Dump'!$P:$P,'SPL FEED'!$A34,'Data Dump'!$S:$S,'SPL FEED'!Z$2)</f>
        <v>0</v>
      </c>
      <c r="AA34" s="20">
        <f t="shared" si="6"/>
        <v>0</v>
      </c>
      <c r="AB34" s="17">
        <f>COUNTIFS('Data Dump'!$P:$P,'SPL FEED'!$A34,'Data Dump'!$S:$S,'SPL FEED'!AB$2)</f>
        <v>0</v>
      </c>
      <c r="AC34" s="17">
        <f>COUNTIFS('Data Dump'!$P:$P,'SPL FEED'!$A34,'Data Dump'!$S:$S,'SPL FEED'!AC$2)</f>
        <v>0</v>
      </c>
      <c r="AD34" s="17">
        <f>COUNTIFS('Data Dump'!$P:$P,'SPL FEED'!$A34,'Data Dump'!$S:$S,'SPL FEED'!AD$2)</f>
        <v>0</v>
      </c>
      <c r="AE34" s="20">
        <f t="shared" si="7"/>
        <v>0</v>
      </c>
      <c r="AF34" s="17">
        <f>COUNTIFS('Data Dump'!$P:$P,'SPL FEED'!$A34,'Data Dump'!$S:$S,'SPL FEED'!AF$2)</f>
        <v>0</v>
      </c>
      <c r="AG34" s="17">
        <f>COUNTIFS('Data Dump'!$P:$P,'SPL FEED'!$A34,'Data Dump'!$S:$S,'SPL FEED'!AG$2)</f>
        <v>0</v>
      </c>
      <c r="AH34" s="17">
        <f>COUNTIFS('Data Dump'!$P:$P,'SPL FEED'!$A34,'Data Dump'!$S:$S,'SPL FEED'!AH$2)</f>
        <v>1</v>
      </c>
      <c r="AI34" s="20">
        <f t="shared" si="8"/>
        <v>1</v>
      </c>
      <c r="AJ34" s="20">
        <f t="shared" si="9"/>
        <v>1</v>
      </c>
    </row>
    <row r="35" spans="1:36" x14ac:dyDescent="0.25">
      <c r="A35" s="13" t="s">
        <v>211</v>
      </c>
      <c r="B35" s="12" t="s">
        <v>212</v>
      </c>
      <c r="C35" s="17">
        <f>COUNTIFS('Data Dump'!$P:$P,'SPL FEED'!$A35,'Data Dump'!$S:$S,'SPL FEED'!C$2)</f>
        <v>0</v>
      </c>
      <c r="D35" s="17">
        <f>COUNTIFS('Data Dump'!$P:$P,'SPL FEED'!$A35,'Data Dump'!$S:$S,'SPL FEED'!D$2)</f>
        <v>0</v>
      </c>
      <c r="E35" s="17">
        <f>COUNTIFS('Data Dump'!$P:$P,'SPL FEED'!$A35,'Data Dump'!$S:$S,'SPL FEED'!E$2)</f>
        <v>0</v>
      </c>
      <c r="F35" s="20">
        <f t="shared" si="0"/>
        <v>0</v>
      </c>
      <c r="G35" s="17">
        <f>COUNTIFS('Data Dump'!$P:$P,'SPL FEED'!$A35,'Data Dump'!$S:$S,'SPL FEED'!G$2)</f>
        <v>0</v>
      </c>
      <c r="H35" s="17">
        <f>COUNTIFS('Data Dump'!$P:$P,'SPL FEED'!$A35,'Data Dump'!$S:$S,'SPL FEED'!H$2)</f>
        <v>1</v>
      </c>
      <c r="I35" s="17">
        <f>COUNTIFS('Data Dump'!$P:$P,'SPL FEED'!$A35,'Data Dump'!$S:$S,'SPL FEED'!I$2)</f>
        <v>1</v>
      </c>
      <c r="J35" s="20">
        <f t="shared" si="1"/>
        <v>2</v>
      </c>
      <c r="K35" s="17">
        <f>COUNTIFS('Data Dump'!$P:$P,'SPL FEED'!$A35,'Data Dump'!$S:$S,'SPL FEED'!K$2)</f>
        <v>0</v>
      </c>
      <c r="L35" s="17">
        <f>COUNTIFS('Data Dump'!$P:$P,'SPL FEED'!$A35,'Data Dump'!$S:$S,'SPL FEED'!L$2)</f>
        <v>0</v>
      </c>
      <c r="M35" s="17">
        <f>COUNTIFS('Data Dump'!$P:$P,'SPL FEED'!$A35,'Data Dump'!$S:$S,'SPL FEED'!M$2)</f>
        <v>0</v>
      </c>
      <c r="N35" s="20">
        <f t="shared" si="2"/>
        <v>0</v>
      </c>
      <c r="O35" s="17">
        <f>COUNTIFS('Data Dump'!$P:$P,'SPL FEED'!$A35,'Data Dump'!$S:$S,'SPL FEED'!O$2)</f>
        <v>0</v>
      </c>
      <c r="P35" s="17">
        <f>COUNTIFS('Data Dump'!$P:$P,'SPL FEED'!$A35,'Data Dump'!$S:$S,'SPL FEED'!P$2)</f>
        <v>0</v>
      </c>
      <c r="Q35" s="17">
        <f>COUNTIFS('Data Dump'!$P:$P,'SPL FEED'!$A35,'Data Dump'!$S:$S,'SPL FEED'!Q$2)</f>
        <v>0</v>
      </c>
      <c r="R35" s="20">
        <f t="shared" si="3"/>
        <v>0</v>
      </c>
      <c r="S35" s="20">
        <f t="shared" si="4"/>
        <v>2</v>
      </c>
      <c r="T35" s="17">
        <f>COUNTIFS('Data Dump'!$P:$P,'SPL FEED'!$A35,'Data Dump'!$S:$S,'SPL FEED'!T$2)</f>
        <v>0</v>
      </c>
      <c r="U35" s="17">
        <f>COUNTIFS('Data Dump'!$P:$P,'SPL FEED'!$A35,'Data Dump'!$S:$S,'SPL FEED'!U$2)</f>
        <v>0</v>
      </c>
      <c r="V35" s="17">
        <f>COUNTIFS('Data Dump'!$P:$P,'SPL FEED'!$A35,'Data Dump'!$S:$S,'SPL FEED'!V$2)</f>
        <v>0</v>
      </c>
      <c r="W35" s="20">
        <f t="shared" si="5"/>
        <v>0</v>
      </c>
      <c r="X35" s="17">
        <f>COUNTIFS('Data Dump'!$P:$P,'SPL FEED'!$A35,'Data Dump'!$S:$S,'SPL FEED'!X$2)</f>
        <v>0</v>
      </c>
      <c r="Y35" s="17">
        <f>COUNTIFS('Data Dump'!$P:$P,'SPL FEED'!$A35,'Data Dump'!$S:$S,'SPL FEED'!Y$2)</f>
        <v>2</v>
      </c>
      <c r="Z35" s="17">
        <f>COUNTIFS('Data Dump'!$P:$P,'SPL FEED'!$A35,'Data Dump'!$S:$S,'SPL FEED'!Z$2)</f>
        <v>0</v>
      </c>
      <c r="AA35" s="20">
        <f t="shared" si="6"/>
        <v>2</v>
      </c>
      <c r="AB35" s="17">
        <f>COUNTIFS('Data Dump'!$P:$P,'SPL FEED'!$A35,'Data Dump'!$S:$S,'SPL FEED'!AB$2)</f>
        <v>0</v>
      </c>
      <c r="AC35" s="17">
        <f>COUNTIFS('Data Dump'!$P:$P,'SPL FEED'!$A35,'Data Dump'!$S:$S,'SPL FEED'!AC$2)</f>
        <v>0</v>
      </c>
      <c r="AD35" s="17">
        <f>COUNTIFS('Data Dump'!$P:$P,'SPL FEED'!$A35,'Data Dump'!$S:$S,'SPL FEED'!AD$2)</f>
        <v>0</v>
      </c>
      <c r="AE35" s="20">
        <f t="shared" si="7"/>
        <v>0</v>
      </c>
      <c r="AF35" s="17">
        <f>COUNTIFS('Data Dump'!$P:$P,'SPL FEED'!$A35,'Data Dump'!$S:$S,'SPL FEED'!AF$2)</f>
        <v>0</v>
      </c>
      <c r="AG35" s="17">
        <f>COUNTIFS('Data Dump'!$P:$P,'SPL FEED'!$A35,'Data Dump'!$S:$S,'SPL FEED'!AG$2)</f>
        <v>0</v>
      </c>
      <c r="AH35" s="17">
        <f>COUNTIFS('Data Dump'!$P:$P,'SPL FEED'!$A35,'Data Dump'!$S:$S,'SPL FEED'!AH$2)</f>
        <v>0</v>
      </c>
      <c r="AI35" s="20">
        <f t="shared" si="8"/>
        <v>0</v>
      </c>
      <c r="AJ35" s="20">
        <f t="shared" si="9"/>
        <v>2</v>
      </c>
    </row>
    <row r="36" spans="1:36" x14ac:dyDescent="0.25">
      <c r="A36" s="13" t="s">
        <v>213</v>
      </c>
      <c r="B36" s="12" t="s">
        <v>214</v>
      </c>
      <c r="C36" s="17">
        <f>COUNTIFS('Data Dump'!$P:$P,'SPL FEED'!$A36,'Data Dump'!$S:$S,'SPL FEED'!C$2)</f>
        <v>0</v>
      </c>
      <c r="D36" s="17">
        <f>COUNTIFS('Data Dump'!$P:$P,'SPL FEED'!$A36,'Data Dump'!$S:$S,'SPL FEED'!D$2)</f>
        <v>0</v>
      </c>
      <c r="E36" s="17">
        <f>COUNTIFS('Data Dump'!$P:$P,'SPL FEED'!$A36,'Data Dump'!$S:$S,'SPL FEED'!E$2)</f>
        <v>0</v>
      </c>
      <c r="F36" s="20">
        <f t="shared" si="0"/>
        <v>0</v>
      </c>
      <c r="G36" s="17">
        <f>COUNTIFS('Data Dump'!$P:$P,'SPL FEED'!$A36,'Data Dump'!$S:$S,'SPL FEED'!G$2)</f>
        <v>0</v>
      </c>
      <c r="H36" s="17">
        <f>COUNTIFS('Data Dump'!$P:$P,'SPL FEED'!$A36,'Data Dump'!$S:$S,'SPL FEED'!H$2)</f>
        <v>0</v>
      </c>
      <c r="I36" s="17">
        <f>COUNTIFS('Data Dump'!$P:$P,'SPL FEED'!$A36,'Data Dump'!$S:$S,'SPL FEED'!I$2)</f>
        <v>0</v>
      </c>
      <c r="J36" s="20">
        <f t="shared" si="1"/>
        <v>0</v>
      </c>
      <c r="K36" s="17">
        <f>COUNTIFS('Data Dump'!$P:$P,'SPL FEED'!$A36,'Data Dump'!$S:$S,'SPL FEED'!K$2)</f>
        <v>0</v>
      </c>
      <c r="L36" s="17">
        <f>COUNTIFS('Data Dump'!$P:$P,'SPL FEED'!$A36,'Data Dump'!$S:$S,'SPL FEED'!L$2)</f>
        <v>0</v>
      </c>
      <c r="M36" s="17">
        <f>COUNTIFS('Data Dump'!$P:$P,'SPL FEED'!$A36,'Data Dump'!$S:$S,'SPL FEED'!M$2)</f>
        <v>0</v>
      </c>
      <c r="N36" s="20">
        <f t="shared" si="2"/>
        <v>0</v>
      </c>
      <c r="O36" s="17">
        <f>COUNTIFS('Data Dump'!$P:$P,'SPL FEED'!$A36,'Data Dump'!$S:$S,'SPL FEED'!O$2)</f>
        <v>0</v>
      </c>
      <c r="P36" s="17">
        <f>COUNTIFS('Data Dump'!$P:$P,'SPL FEED'!$A36,'Data Dump'!$S:$S,'SPL FEED'!P$2)</f>
        <v>0</v>
      </c>
      <c r="Q36" s="17">
        <f>COUNTIFS('Data Dump'!$P:$P,'SPL FEED'!$A36,'Data Dump'!$S:$S,'SPL FEED'!Q$2)</f>
        <v>0</v>
      </c>
      <c r="R36" s="20">
        <f t="shared" si="3"/>
        <v>0</v>
      </c>
      <c r="S36" s="20">
        <f t="shared" si="4"/>
        <v>0</v>
      </c>
      <c r="T36" s="17">
        <f>COUNTIFS('Data Dump'!$P:$P,'SPL FEED'!$A36,'Data Dump'!$S:$S,'SPL FEED'!T$2)</f>
        <v>0</v>
      </c>
      <c r="U36" s="17">
        <f>COUNTIFS('Data Dump'!$P:$P,'SPL FEED'!$A36,'Data Dump'!$S:$S,'SPL FEED'!U$2)</f>
        <v>0</v>
      </c>
      <c r="V36" s="17">
        <f>COUNTIFS('Data Dump'!$P:$P,'SPL FEED'!$A36,'Data Dump'!$S:$S,'SPL FEED'!V$2)</f>
        <v>0</v>
      </c>
      <c r="W36" s="20">
        <f t="shared" si="5"/>
        <v>0</v>
      </c>
      <c r="X36" s="17">
        <f>COUNTIFS('Data Dump'!$P:$P,'SPL FEED'!$A36,'Data Dump'!$S:$S,'SPL FEED'!X$2)</f>
        <v>0</v>
      </c>
      <c r="Y36" s="17">
        <f>COUNTIFS('Data Dump'!$P:$P,'SPL FEED'!$A36,'Data Dump'!$S:$S,'SPL FEED'!Y$2)</f>
        <v>0</v>
      </c>
      <c r="Z36" s="17">
        <f>COUNTIFS('Data Dump'!$P:$P,'SPL FEED'!$A36,'Data Dump'!$S:$S,'SPL FEED'!Z$2)</f>
        <v>0</v>
      </c>
      <c r="AA36" s="20">
        <f t="shared" si="6"/>
        <v>0</v>
      </c>
      <c r="AB36" s="17">
        <f>COUNTIFS('Data Dump'!$P:$P,'SPL FEED'!$A36,'Data Dump'!$S:$S,'SPL FEED'!AB$2)</f>
        <v>0</v>
      </c>
      <c r="AC36" s="17">
        <f>COUNTIFS('Data Dump'!$P:$P,'SPL FEED'!$A36,'Data Dump'!$S:$S,'SPL FEED'!AC$2)</f>
        <v>0</v>
      </c>
      <c r="AD36" s="17">
        <f>COUNTIFS('Data Dump'!$P:$P,'SPL FEED'!$A36,'Data Dump'!$S:$S,'SPL FEED'!AD$2)</f>
        <v>0</v>
      </c>
      <c r="AE36" s="20">
        <f t="shared" si="7"/>
        <v>0</v>
      </c>
      <c r="AF36" s="17">
        <f>COUNTIFS('Data Dump'!$P:$P,'SPL FEED'!$A36,'Data Dump'!$S:$S,'SPL FEED'!AF$2)</f>
        <v>0</v>
      </c>
      <c r="AG36" s="17">
        <f>COUNTIFS('Data Dump'!$P:$P,'SPL FEED'!$A36,'Data Dump'!$S:$S,'SPL FEED'!AG$2)</f>
        <v>0</v>
      </c>
      <c r="AH36" s="17">
        <f>COUNTIFS('Data Dump'!$P:$P,'SPL FEED'!$A36,'Data Dump'!$S:$S,'SPL FEED'!AH$2)</f>
        <v>0</v>
      </c>
      <c r="AI36" s="20">
        <f t="shared" si="8"/>
        <v>0</v>
      </c>
      <c r="AJ36" s="20">
        <f t="shared" si="9"/>
        <v>0</v>
      </c>
    </row>
    <row r="37" spans="1:36" x14ac:dyDescent="0.25">
      <c r="A37" s="13" t="s">
        <v>215</v>
      </c>
      <c r="B37" s="12" t="s">
        <v>216</v>
      </c>
      <c r="C37" s="17">
        <f>COUNTIFS('Data Dump'!$P:$P,'SPL FEED'!$A37,'Data Dump'!$S:$S,'SPL FEED'!C$2)</f>
        <v>0</v>
      </c>
      <c r="D37" s="17">
        <f>COUNTIFS('Data Dump'!$P:$P,'SPL FEED'!$A37,'Data Dump'!$S:$S,'SPL FEED'!D$2)</f>
        <v>1</v>
      </c>
      <c r="E37" s="17">
        <f>COUNTIFS('Data Dump'!$P:$P,'SPL FEED'!$A37,'Data Dump'!$S:$S,'SPL FEED'!E$2)</f>
        <v>2</v>
      </c>
      <c r="F37" s="20">
        <f t="shared" si="0"/>
        <v>3</v>
      </c>
      <c r="G37" s="17">
        <f>COUNTIFS('Data Dump'!$P:$P,'SPL FEED'!$A37,'Data Dump'!$S:$S,'SPL FEED'!G$2)</f>
        <v>1</v>
      </c>
      <c r="H37" s="17">
        <f>COUNTIFS('Data Dump'!$P:$P,'SPL FEED'!$A37,'Data Dump'!$S:$S,'SPL FEED'!H$2)</f>
        <v>1</v>
      </c>
      <c r="I37" s="17">
        <f>COUNTIFS('Data Dump'!$P:$P,'SPL FEED'!$A37,'Data Dump'!$S:$S,'SPL FEED'!I$2)</f>
        <v>0</v>
      </c>
      <c r="J37" s="20">
        <f t="shared" si="1"/>
        <v>2</v>
      </c>
      <c r="K37" s="17">
        <f>COUNTIFS('Data Dump'!$P:$P,'SPL FEED'!$A37,'Data Dump'!$S:$S,'SPL FEED'!K$2)</f>
        <v>0</v>
      </c>
      <c r="L37" s="17">
        <f>COUNTIFS('Data Dump'!$P:$P,'SPL FEED'!$A37,'Data Dump'!$S:$S,'SPL FEED'!L$2)</f>
        <v>0</v>
      </c>
      <c r="M37" s="17">
        <f>COUNTIFS('Data Dump'!$P:$P,'SPL FEED'!$A37,'Data Dump'!$S:$S,'SPL FEED'!M$2)</f>
        <v>4</v>
      </c>
      <c r="N37" s="20">
        <f t="shared" si="2"/>
        <v>4</v>
      </c>
      <c r="O37" s="17">
        <f>COUNTIFS('Data Dump'!$P:$P,'SPL FEED'!$A37,'Data Dump'!$S:$S,'SPL FEED'!O$2)</f>
        <v>1</v>
      </c>
      <c r="P37" s="17">
        <f>COUNTIFS('Data Dump'!$P:$P,'SPL FEED'!$A37,'Data Dump'!$S:$S,'SPL FEED'!P$2)</f>
        <v>4</v>
      </c>
      <c r="Q37" s="17">
        <f>COUNTIFS('Data Dump'!$P:$P,'SPL FEED'!$A37,'Data Dump'!$S:$S,'SPL FEED'!Q$2)</f>
        <v>0</v>
      </c>
      <c r="R37" s="20">
        <f t="shared" si="3"/>
        <v>5</v>
      </c>
      <c r="S37" s="20">
        <f t="shared" si="4"/>
        <v>14</v>
      </c>
      <c r="T37" s="17">
        <f>COUNTIFS('Data Dump'!$P:$P,'SPL FEED'!$A37,'Data Dump'!$S:$S,'SPL FEED'!T$2)</f>
        <v>0</v>
      </c>
      <c r="U37" s="17">
        <f>COUNTIFS('Data Dump'!$P:$P,'SPL FEED'!$A37,'Data Dump'!$S:$S,'SPL FEED'!U$2)</f>
        <v>2</v>
      </c>
      <c r="V37" s="17">
        <f>COUNTIFS('Data Dump'!$P:$P,'SPL FEED'!$A37,'Data Dump'!$S:$S,'SPL FEED'!V$2)</f>
        <v>1</v>
      </c>
      <c r="W37" s="20">
        <f t="shared" si="5"/>
        <v>3</v>
      </c>
      <c r="X37" s="17">
        <f>COUNTIFS('Data Dump'!$P:$P,'SPL FEED'!$A37,'Data Dump'!$S:$S,'SPL FEED'!X$2)</f>
        <v>0</v>
      </c>
      <c r="Y37" s="17">
        <f>COUNTIFS('Data Dump'!$P:$P,'SPL FEED'!$A37,'Data Dump'!$S:$S,'SPL FEED'!Y$2)</f>
        <v>1</v>
      </c>
      <c r="Z37" s="17">
        <f>COUNTIFS('Data Dump'!$P:$P,'SPL FEED'!$A37,'Data Dump'!$S:$S,'SPL FEED'!Z$2)</f>
        <v>1</v>
      </c>
      <c r="AA37" s="20">
        <f t="shared" si="6"/>
        <v>2</v>
      </c>
      <c r="AB37" s="17">
        <f>COUNTIFS('Data Dump'!$P:$P,'SPL FEED'!$A37,'Data Dump'!$S:$S,'SPL FEED'!AB$2)</f>
        <v>0</v>
      </c>
      <c r="AC37" s="17">
        <f>COUNTIFS('Data Dump'!$P:$P,'SPL FEED'!$A37,'Data Dump'!$S:$S,'SPL FEED'!AC$2)</f>
        <v>0</v>
      </c>
      <c r="AD37" s="17">
        <f>COUNTIFS('Data Dump'!$P:$P,'SPL FEED'!$A37,'Data Dump'!$S:$S,'SPL FEED'!AD$2)</f>
        <v>0</v>
      </c>
      <c r="AE37" s="20">
        <f t="shared" si="7"/>
        <v>0</v>
      </c>
      <c r="AF37" s="17">
        <f>COUNTIFS('Data Dump'!$P:$P,'SPL FEED'!$A37,'Data Dump'!$S:$S,'SPL FEED'!AF$2)</f>
        <v>0</v>
      </c>
      <c r="AG37" s="17">
        <f>COUNTIFS('Data Dump'!$P:$P,'SPL FEED'!$A37,'Data Dump'!$S:$S,'SPL FEED'!AG$2)</f>
        <v>5</v>
      </c>
      <c r="AH37" s="17">
        <f>COUNTIFS('Data Dump'!$P:$P,'SPL FEED'!$A37,'Data Dump'!$S:$S,'SPL FEED'!AH$2)</f>
        <v>0</v>
      </c>
      <c r="AI37" s="20">
        <f t="shared" si="8"/>
        <v>5</v>
      </c>
      <c r="AJ37" s="20">
        <f t="shared" si="9"/>
        <v>10</v>
      </c>
    </row>
    <row r="38" spans="1:36" x14ac:dyDescent="0.25">
      <c r="A38" s="13" t="s">
        <v>217</v>
      </c>
      <c r="B38" s="12" t="s">
        <v>218</v>
      </c>
      <c r="C38" s="17">
        <f>COUNTIFS('Data Dump'!$P:$P,'SPL FEED'!$A38,'Data Dump'!$S:$S,'SPL FEED'!C$2)</f>
        <v>1</v>
      </c>
      <c r="D38" s="17">
        <f>COUNTIFS('Data Dump'!$P:$P,'SPL FEED'!$A38,'Data Dump'!$S:$S,'SPL FEED'!D$2)</f>
        <v>1</v>
      </c>
      <c r="E38" s="17">
        <f>COUNTIFS('Data Dump'!$P:$P,'SPL FEED'!$A38,'Data Dump'!$S:$S,'SPL FEED'!E$2)</f>
        <v>0</v>
      </c>
      <c r="F38" s="20">
        <f t="shared" si="0"/>
        <v>2</v>
      </c>
      <c r="G38" s="17">
        <f>COUNTIFS('Data Dump'!$P:$P,'SPL FEED'!$A38,'Data Dump'!$S:$S,'SPL FEED'!G$2)</f>
        <v>1</v>
      </c>
      <c r="H38" s="17">
        <f>COUNTIFS('Data Dump'!$P:$P,'SPL FEED'!$A38,'Data Dump'!$S:$S,'SPL FEED'!H$2)</f>
        <v>0</v>
      </c>
      <c r="I38" s="17">
        <f>COUNTIFS('Data Dump'!$P:$P,'SPL FEED'!$A38,'Data Dump'!$S:$S,'SPL FEED'!I$2)</f>
        <v>0</v>
      </c>
      <c r="J38" s="20">
        <f t="shared" si="1"/>
        <v>1</v>
      </c>
      <c r="K38" s="17">
        <f>COUNTIFS('Data Dump'!$P:$P,'SPL FEED'!$A38,'Data Dump'!$S:$S,'SPL FEED'!K$2)</f>
        <v>0</v>
      </c>
      <c r="L38" s="17">
        <f>COUNTIFS('Data Dump'!$P:$P,'SPL FEED'!$A38,'Data Dump'!$S:$S,'SPL FEED'!L$2)</f>
        <v>0</v>
      </c>
      <c r="M38" s="17">
        <f>COUNTIFS('Data Dump'!$P:$P,'SPL FEED'!$A38,'Data Dump'!$S:$S,'SPL FEED'!M$2)</f>
        <v>0</v>
      </c>
      <c r="N38" s="20">
        <f t="shared" si="2"/>
        <v>0</v>
      </c>
      <c r="O38" s="17">
        <f>COUNTIFS('Data Dump'!$P:$P,'SPL FEED'!$A38,'Data Dump'!$S:$S,'SPL FEED'!O$2)</f>
        <v>0</v>
      </c>
      <c r="P38" s="17">
        <f>COUNTIFS('Data Dump'!$P:$P,'SPL FEED'!$A38,'Data Dump'!$S:$S,'SPL FEED'!P$2)</f>
        <v>0</v>
      </c>
      <c r="Q38" s="17">
        <f>COUNTIFS('Data Dump'!$P:$P,'SPL FEED'!$A38,'Data Dump'!$S:$S,'SPL FEED'!Q$2)</f>
        <v>0</v>
      </c>
      <c r="R38" s="20">
        <f t="shared" si="3"/>
        <v>0</v>
      </c>
      <c r="S38" s="20">
        <f t="shared" si="4"/>
        <v>3</v>
      </c>
      <c r="T38" s="17">
        <f>COUNTIFS('Data Dump'!$P:$P,'SPL FEED'!$A38,'Data Dump'!$S:$S,'SPL FEED'!T$2)</f>
        <v>0</v>
      </c>
      <c r="U38" s="17">
        <f>COUNTIFS('Data Dump'!$P:$P,'SPL FEED'!$A38,'Data Dump'!$S:$S,'SPL FEED'!U$2)</f>
        <v>0</v>
      </c>
      <c r="V38" s="17">
        <f>COUNTIFS('Data Dump'!$P:$P,'SPL FEED'!$A38,'Data Dump'!$S:$S,'SPL FEED'!V$2)</f>
        <v>1</v>
      </c>
      <c r="W38" s="20">
        <f t="shared" si="5"/>
        <v>1</v>
      </c>
      <c r="X38" s="17">
        <f>COUNTIFS('Data Dump'!$P:$P,'SPL FEED'!$A38,'Data Dump'!$S:$S,'SPL FEED'!X$2)</f>
        <v>0</v>
      </c>
      <c r="Y38" s="17">
        <f>COUNTIFS('Data Dump'!$P:$P,'SPL FEED'!$A38,'Data Dump'!$S:$S,'SPL FEED'!Y$2)</f>
        <v>0</v>
      </c>
      <c r="Z38" s="17">
        <f>COUNTIFS('Data Dump'!$P:$P,'SPL FEED'!$A38,'Data Dump'!$S:$S,'SPL FEED'!Z$2)</f>
        <v>0</v>
      </c>
      <c r="AA38" s="20">
        <f t="shared" si="6"/>
        <v>0</v>
      </c>
      <c r="AB38" s="17">
        <f>COUNTIFS('Data Dump'!$P:$P,'SPL FEED'!$A38,'Data Dump'!$S:$S,'SPL FEED'!AB$2)</f>
        <v>0</v>
      </c>
      <c r="AC38" s="17">
        <f>COUNTIFS('Data Dump'!$P:$P,'SPL FEED'!$A38,'Data Dump'!$S:$S,'SPL FEED'!AC$2)</f>
        <v>0</v>
      </c>
      <c r="AD38" s="17">
        <f>COUNTIFS('Data Dump'!$P:$P,'SPL FEED'!$A38,'Data Dump'!$S:$S,'SPL FEED'!AD$2)</f>
        <v>0</v>
      </c>
      <c r="AE38" s="20">
        <f t="shared" si="7"/>
        <v>0</v>
      </c>
      <c r="AF38" s="17">
        <f>COUNTIFS('Data Dump'!$P:$P,'SPL FEED'!$A38,'Data Dump'!$S:$S,'SPL FEED'!AF$2)</f>
        <v>0</v>
      </c>
      <c r="AG38" s="17">
        <f>COUNTIFS('Data Dump'!$P:$P,'SPL FEED'!$A38,'Data Dump'!$S:$S,'SPL FEED'!AG$2)</f>
        <v>0</v>
      </c>
      <c r="AH38" s="17">
        <f>COUNTIFS('Data Dump'!$P:$P,'SPL FEED'!$A38,'Data Dump'!$S:$S,'SPL FEED'!AH$2)</f>
        <v>0</v>
      </c>
      <c r="AI38" s="20">
        <f t="shared" si="8"/>
        <v>0</v>
      </c>
      <c r="AJ38" s="20">
        <f t="shared" si="9"/>
        <v>1</v>
      </c>
    </row>
    <row r="39" spans="1:36" x14ac:dyDescent="0.25">
      <c r="A39" s="13" t="s">
        <v>219</v>
      </c>
      <c r="B39" s="12" t="s">
        <v>220</v>
      </c>
      <c r="C39" s="17">
        <f>COUNTIFS('Data Dump'!$P:$P,'SPL FEED'!$A39,'Data Dump'!$S:$S,'SPL FEED'!C$2)</f>
        <v>1</v>
      </c>
      <c r="D39" s="17">
        <f>COUNTIFS('Data Dump'!$P:$P,'SPL FEED'!$A39,'Data Dump'!$S:$S,'SPL FEED'!D$2)</f>
        <v>0</v>
      </c>
      <c r="E39" s="17">
        <f>COUNTIFS('Data Dump'!$P:$P,'SPL FEED'!$A39,'Data Dump'!$S:$S,'SPL FEED'!E$2)</f>
        <v>0</v>
      </c>
      <c r="F39" s="20">
        <f t="shared" si="0"/>
        <v>1</v>
      </c>
      <c r="G39" s="17">
        <f>COUNTIFS('Data Dump'!$P:$P,'SPL FEED'!$A39,'Data Dump'!$S:$S,'SPL FEED'!G$2)</f>
        <v>0</v>
      </c>
      <c r="H39" s="17">
        <f>COUNTIFS('Data Dump'!$P:$P,'SPL FEED'!$A39,'Data Dump'!$S:$S,'SPL FEED'!H$2)</f>
        <v>0</v>
      </c>
      <c r="I39" s="17">
        <f>COUNTIFS('Data Dump'!$P:$P,'SPL FEED'!$A39,'Data Dump'!$S:$S,'SPL FEED'!I$2)</f>
        <v>0</v>
      </c>
      <c r="J39" s="20">
        <f t="shared" si="1"/>
        <v>0</v>
      </c>
      <c r="K39" s="17">
        <f>COUNTIFS('Data Dump'!$P:$P,'SPL FEED'!$A39,'Data Dump'!$S:$S,'SPL FEED'!K$2)</f>
        <v>0</v>
      </c>
      <c r="L39" s="17">
        <f>COUNTIFS('Data Dump'!$P:$P,'SPL FEED'!$A39,'Data Dump'!$S:$S,'SPL FEED'!L$2)</f>
        <v>0</v>
      </c>
      <c r="M39" s="17">
        <f>COUNTIFS('Data Dump'!$P:$P,'SPL FEED'!$A39,'Data Dump'!$S:$S,'SPL FEED'!M$2)</f>
        <v>2</v>
      </c>
      <c r="N39" s="20">
        <f t="shared" si="2"/>
        <v>2</v>
      </c>
      <c r="O39" s="17">
        <f>COUNTIFS('Data Dump'!$P:$P,'SPL FEED'!$A39,'Data Dump'!$S:$S,'SPL FEED'!O$2)</f>
        <v>0</v>
      </c>
      <c r="P39" s="17">
        <f>COUNTIFS('Data Dump'!$P:$P,'SPL FEED'!$A39,'Data Dump'!$S:$S,'SPL FEED'!P$2)</f>
        <v>0</v>
      </c>
      <c r="Q39" s="17">
        <f>COUNTIFS('Data Dump'!$P:$P,'SPL FEED'!$A39,'Data Dump'!$S:$S,'SPL FEED'!Q$2)</f>
        <v>1</v>
      </c>
      <c r="R39" s="20">
        <f t="shared" si="3"/>
        <v>1</v>
      </c>
      <c r="S39" s="20">
        <f t="shared" si="4"/>
        <v>4</v>
      </c>
      <c r="T39" s="17">
        <f>COUNTIFS('Data Dump'!$P:$P,'SPL FEED'!$A39,'Data Dump'!$S:$S,'SPL FEED'!T$2)</f>
        <v>0</v>
      </c>
      <c r="U39" s="17">
        <f>COUNTIFS('Data Dump'!$P:$P,'SPL FEED'!$A39,'Data Dump'!$S:$S,'SPL FEED'!U$2)</f>
        <v>0</v>
      </c>
      <c r="V39" s="17">
        <f>COUNTIFS('Data Dump'!$P:$P,'SPL FEED'!$A39,'Data Dump'!$S:$S,'SPL FEED'!V$2)</f>
        <v>0</v>
      </c>
      <c r="W39" s="20">
        <f t="shared" si="5"/>
        <v>0</v>
      </c>
      <c r="X39" s="17">
        <f>COUNTIFS('Data Dump'!$P:$P,'SPL FEED'!$A39,'Data Dump'!$S:$S,'SPL FEED'!X$2)</f>
        <v>0</v>
      </c>
      <c r="Y39" s="17">
        <f>COUNTIFS('Data Dump'!$P:$P,'SPL FEED'!$A39,'Data Dump'!$S:$S,'SPL FEED'!Y$2)</f>
        <v>0</v>
      </c>
      <c r="Z39" s="17">
        <f>COUNTIFS('Data Dump'!$P:$P,'SPL FEED'!$A39,'Data Dump'!$S:$S,'SPL FEED'!Z$2)</f>
        <v>1</v>
      </c>
      <c r="AA39" s="20">
        <f t="shared" si="6"/>
        <v>1</v>
      </c>
      <c r="AB39" s="17">
        <f>COUNTIFS('Data Dump'!$P:$P,'SPL FEED'!$A39,'Data Dump'!$S:$S,'SPL FEED'!AB$2)</f>
        <v>0</v>
      </c>
      <c r="AC39" s="17">
        <f>COUNTIFS('Data Dump'!$P:$P,'SPL FEED'!$A39,'Data Dump'!$S:$S,'SPL FEED'!AC$2)</f>
        <v>0</v>
      </c>
      <c r="AD39" s="17">
        <f>COUNTIFS('Data Dump'!$P:$P,'SPL FEED'!$A39,'Data Dump'!$S:$S,'SPL FEED'!AD$2)</f>
        <v>0</v>
      </c>
      <c r="AE39" s="20">
        <f t="shared" si="7"/>
        <v>0</v>
      </c>
      <c r="AF39" s="17">
        <f>COUNTIFS('Data Dump'!$P:$P,'SPL FEED'!$A39,'Data Dump'!$S:$S,'SPL FEED'!AF$2)</f>
        <v>0</v>
      </c>
      <c r="AG39" s="17">
        <f>COUNTIFS('Data Dump'!$P:$P,'SPL FEED'!$A39,'Data Dump'!$S:$S,'SPL FEED'!AG$2)</f>
        <v>0</v>
      </c>
      <c r="AH39" s="17">
        <f>COUNTIFS('Data Dump'!$P:$P,'SPL FEED'!$A39,'Data Dump'!$S:$S,'SPL FEED'!AH$2)</f>
        <v>2</v>
      </c>
      <c r="AI39" s="20">
        <f t="shared" si="8"/>
        <v>2</v>
      </c>
      <c r="AJ39" s="20">
        <f t="shared" si="9"/>
        <v>3</v>
      </c>
    </row>
    <row r="40" spans="1:36" x14ac:dyDescent="0.25">
      <c r="A40" s="13" t="s">
        <v>221</v>
      </c>
      <c r="B40" s="12" t="s">
        <v>222</v>
      </c>
      <c r="C40" s="17">
        <f>COUNTIFS('Data Dump'!$P:$P,'SPL FEED'!$A40,'Data Dump'!$S:$S,'SPL FEED'!C$2)</f>
        <v>0</v>
      </c>
      <c r="D40" s="17">
        <f>COUNTIFS('Data Dump'!$P:$P,'SPL FEED'!$A40,'Data Dump'!$S:$S,'SPL FEED'!D$2)</f>
        <v>0</v>
      </c>
      <c r="E40" s="17">
        <f>COUNTIFS('Data Dump'!$P:$P,'SPL FEED'!$A40,'Data Dump'!$S:$S,'SPL FEED'!E$2)</f>
        <v>0</v>
      </c>
      <c r="F40" s="20">
        <f t="shared" si="0"/>
        <v>0</v>
      </c>
      <c r="G40" s="17">
        <f>COUNTIFS('Data Dump'!$P:$P,'SPL FEED'!$A40,'Data Dump'!$S:$S,'SPL FEED'!G$2)</f>
        <v>0</v>
      </c>
      <c r="H40" s="17">
        <f>COUNTIFS('Data Dump'!$P:$P,'SPL FEED'!$A40,'Data Dump'!$S:$S,'SPL FEED'!H$2)</f>
        <v>0</v>
      </c>
      <c r="I40" s="17">
        <f>COUNTIFS('Data Dump'!$P:$P,'SPL FEED'!$A40,'Data Dump'!$S:$S,'SPL FEED'!I$2)</f>
        <v>0</v>
      </c>
      <c r="J40" s="20">
        <f t="shared" si="1"/>
        <v>0</v>
      </c>
      <c r="K40" s="17">
        <f>COUNTIFS('Data Dump'!$P:$P,'SPL FEED'!$A40,'Data Dump'!$S:$S,'SPL FEED'!K$2)</f>
        <v>0</v>
      </c>
      <c r="L40" s="17">
        <f>COUNTIFS('Data Dump'!$P:$P,'SPL FEED'!$A40,'Data Dump'!$S:$S,'SPL FEED'!L$2)</f>
        <v>0</v>
      </c>
      <c r="M40" s="17">
        <f>COUNTIFS('Data Dump'!$P:$P,'SPL FEED'!$A40,'Data Dump'!$S:$S,'SPL FEED'!M$2)</f>
        <v>0</v>
      </c>
      <c r="N40" s="20">
        <f t="shared" si="2"/>
        <v>0</v>
      </c>
      <c r="O40" s="17">
        <f>COUNTIFS('Data Dump'!$P:$P,'SPL FEED'!$A40,'Data Dump'!$S:$S,'SPL FEED'!O$2)</f>
        <v>0</v>
      </c>
      <c r="P40" s="17">
        <f>COUNTIFS('Data Dump'!$P:$P,'SPL FEED'!$A40,'Data Dump'!$S:$S,'SPL FEED'!P$2)</f>
        <v>0</v>
      </c>
      <c r="Q40" s="17">
        <f>COUNTIFS('Data Dump'!$P:$P,'SPL FEED'!$A40,'Data Dump'!$S:$S,'SPL FEED'!Q$2)</f>
        <v>0</v>
      </c>
      <c r="R40" s="20">
        <f t="shared" si="3"/>
        <v>0</v>
      </c>
      <c r="S40" s="20">
        <f t="shared" si="4"/>
        <v>0</v>
      </c>
      <c r="T40" s="17">
        <f>COUNTIFS('Data Dump'!$P:$P,'SPL FEED'!$A40,'Data Dump'!$S:$S,'SPL FEED'!T$2)</f>
        <v>0</v>
      </c>
      <c r="U40" s="17">
        <f>COUNTIFS('Data Dump'!$P:$P,'SPL FEED'!$A40,'Data Dump'!$S:$S,'SPL FEED'!U$2)</f>
        <v>0</v>
      </c>
      <c r="V40" s="17">
        <f>COUNTIFS('Data Dump'!$P:$P,'SPL FEED'!$A40,'Data Dump'!$S:$S,'SPL FEED'!V$2)</f>
        <v>0</v>
      </c>
      <c r="W40" s="20">
        <f t="shared" si="5"/>
        <v>0</v>
      </c>
      <c r="X40" s="17">
        <f>COUNTIFS('Data Dump'!$P:$P,'SPL FEED'!$A40,'Data Dump'!$S:$S,'SPL FEED'!X$2)</f>
        <v>0</v>
      </c>
      <c r="Y40" s="17">
        <f>COUNTIFS('Data Dump'!$P:$P,'SPL FEED'!$A40,'Data Dump'!$S:$S,'SPL FEED'!Y$2)</f>
        <v>0</v>
      </c>
      <c r="Z40" s="17">
        <f>COUNTIFS('Data Dump'!$P:$P,'SPL FEED'!$A40,'Data Dump'!$S:$S,'SPL FEED'!Z$2)</f>
        <v>0</v>
      </c>
      <c r="AA40" s="20">
        <f t="shared" si="6"/>
        <v>0</v>
      </c>
      <c r="AB40" s="17">
        <f>COUNTIFS('Data Dump'!$P:$P,'SPL FEED'!$A40,'Data Dump'!$S:$S,'SPL FEED'!AB$2)</f>
        <v>0</v>
      </c>
      <c r="AC40" s="17">
        <f>COUNTIFS('Data Dump'!$P:$P,'SPL FEED'!$A40,'Data Dump'!$S:$S,'SPL FEED'!AC$2)</f>
        <v>0</v>
      </c>
      <c r="AD40" s="17">
        <f>COUNTIFS('Data Dump'!$P:$P,'SPL FEED'!$A40,'Data Dump'!$S:$S,'SPL FEED'!AD$2)</f>
        <v>0</v>
      </c>
      <c r="AE40" s="20">
        <f t="shared" si="7"/>
        <v>0</v>
      </c>
      <c r="AF40" s="17">
        <f>COUNTIFS('Data Dump'!$P:$P,'SPL FEED'!$A40,'Data Dump'!$S:$S,'SPL FEED'!AF$2)</f>
        <v>0</v>
      </c>
      <c r="AG40" s="17">
        <f>COUNTIFS('Data Dump'!$P:$P,'SPL FEED'!$A40,'Data Dump'!$S:$S,'SPL FEED'!AG$2)</f>
        <v>0</v>
      </c>
      <c r="AH40" s="17">
        <f>COUNTIFS('Data Dump'!$P:$P,'SPL FEED'!$A40,'Data Dump'!$S:$S,'SPL FEED'!AH$2)</f>
        <v>0</v>
      </c>
      <c r="AI40" s="20">
        <f t="shared" si="8"/>
        <v>0</v>
      </c>
      <c r="AJ40" s="20">
        <f t="shared" si="9"/>
        <v>0</v>
      </c>
    </row>
    <row r="41" spans="1:36" x14ac:dyDescent="0.25">
      <c r="A41" s="13" t="s">
        <v>223</v>
      </c>
      <c r="B41" s="12" t="s">
        <v>224</v>
      </c>
      <c r="C41" s="17">
        <f>COUNTIFS('Data Dump'!$P:$P,'SPL FEED'!$A41,'Data Dump'!$S:$S,'SPL FEED'!C$2)</f>
        <v>0</v>
      </c>
      <c r="D41" s="17">
        <f>COUNTIFS('Data Dump'!$P:$P,'SPL FEED'!$A41,'Data Dump'!$S:$S,'SPL FEED'!D$2)</f>
        <v>1</v>
      </c>
      <c r="E41" s="17">
        <f>COUNTIFS('Data Dump'!$P:$P,'SPL FEED'!$A41,'Data Dump'!$S:$S,'SPL FEED'!E$2)</f>
        <v>0</v>
      </c>
      <c r="F41" s="20">
        <f t="shared" si="0"/>
        <v>1</v>
      </c>
      <c r="G41" s="17">
        <f>COUNTIFS('Data Dump'!$P:$P,'SPL FEED'!$A41,'Data Dump'!$S:$S,'SPL FEED'!G$2)</f>
        <v>0</v>
      </c>
      <c r="H41" s="17">
        <f>COUNTIFS('Data Dump'!$P:$P,'SPL FEED'!$A41,'Data Dump'!$S:$S,'SPL FEED'!H$2)</f>
        <v>0</v>
      </c>
      <c r="I41" s="17">
        <f>COUNTIFS('Data Dump'!$P:$P,'SPL FEED'!$A41,'Data Dump'!$S:$S,'SPL FEED'!I$2)</f>
        <v>0</v>
      </c>
      <c r="J41" s="20">
        <f t="shared" si="1"/>
        <v>0</v>
      </c>
      <c r="K41" s="17">
        <f>COUNTIFS('Data Dump'!$P:$P,'SPL FEED'!$A41,'Data Dump'!$S:$S,'SPL FEED'!K$2)</f>
        <v>0</v>
      </c>
      <c r="L41" s="17">
        <f>COUNTIFS('Data Dump'!$P:$P,'SPL FEED'!$A41,'Data Dump'!$S:$S,'SPL FEED'!L$2)</f>
        <v>0</v>
      </c>
      <c r="M41" s="17">
        <f>COUNTIFS('Data Dump'!$P:$P,'SPL FEED'!$A41,'Data Dump'!$S:$S,'SPL FEED'!M$2)</f>
        <v>0</v>
      </c>
      <c r="N41" s="20">
        <f t="shared" si="2"/>
        <v>0</v>
      </c>
      <c r="O41" s="17">
        <f>COUNTIFS('Data Dump'!$P:$P,'SPL FEED'!$A41,'Data Dump'!$S:$S,'SPL FEED'!O$2)</f>
        <v>0</v>
      </c>
      <c r="P41" s="17">
        <f>COUNTIFS('Data Dump'!$P:$P,'SPL FEED'!$A41,'Data Dump'!$S:$S,'SPL FEED'!P$2)</f>
        <v>0</v>
      </c>
      <c r="Q41" s="17">
        <f>COUNTIFS('Data Dump'!$P:$P,'SPL FEED'!$A41,'Data Dump'!$S:$S,'SPL FEED'!Q$2)</f>
        <v>0</v>
      </c>
      <c r="R41" s="20">
        <f t="shared" si="3"/>
        <v>0</v>
      </c>
      <c r="S41" s="20">
        <f t="shared" si="4"/>
        <v>1</v>
      </c>
      <c r="T41" s="17">
        <f>COUNTIFS('Data Dump'!$P:$P,'SPL FEED'!$A41,'Data Dump'!$S:$S,'SPL FEED'!T$2)</f>
        <v>0</v>
      </c>
      <c r="U41" s="17">
        <f>COUNTIFS('Data Dump'!$P:$P,'SPL FEED'!$A41,'Data Dump'!$S:$S,'SPL FEED'!U$2)</f>
        <v>0</v>
      </c>
      <c r="V41" s="17">
        <f>COUNTIFS('Data Dump'!$P:$P,'SPL FEED'!$A41,'Data Dump'!$S:$S,'SPL FEED'!V$2)</f>
        <v>0</v>
      </c>
      <c r="W41" s="20">
        <f t="shared" si="5"/>
        <v>0</v>
      </c>
      <c r="X41" s="17">
        <f>COUNTIFS('Data Dump'!$P:$P,'SPL FEED'!$A41,'Data Dump'!$S:$S,'SPL FEED'!X$2)</f>
        <v>0</v>
      </c>
      <c r="Y41" s="17">
        <f>COUNTIFS('Data Dump'!$P:$P,'SPL FEED'!$A41,'Data Dump'!$S:$S,'SPL FEED'!Y$2)</f>
        <v>0</v>
      </c>
      <c r="Z41" s="17">
        <f>COUNTIFS('Data Dump'!$P:$P,'SPL FEED'!$A41,'Data Dump'!$S:$S,'SPL FEED'!Z$2)</f>
        <v>0</v>
      </c>
      <c r="AA41" s="20">
        <f t="shared" si="6"/>
        <v>0</v>
      </c>
      <c r="AB41" s="17">
        <f>COUNTIFS('Data Dump'!$P:$P,'SPL FEED'!$A41,'Data Dump'!$S:$S,'SPL FEED'!AB$2)</f>
        <v>0</v>
      </c>
      <c r="AC41" s="17">
        <f>COUNTIFS('Data Dump'!$P:$P,'SPL FEED'!$A41,'Data Dump'!$S:$S,'SPL FEED'!AC$2)</f>
        <v>0</v>
      </c>
      <c r="AD41" s="17">
        <f>COUNTIFS('Data Dump'!$P:$P,'SPL FEED'!$A41,'Data Dump'!$S:$S,'SPL FEED'!AD$2)</f>
        <v>0</v>
      </c>
      <c r="AE41" s="20">
        <f t="shared" si="7"/>
        <v>0</v>
      </c>
      <c r="AF41" s="17">
        <f>COUNTIFS('Data Dump'!$P:$P,'SPL FEED'!$A41,'Data Dump'!$S:$S,'SPL FEED'!AF$2)</f>
        <v>0</v>
      </c>
      <c r="AG41" s="17">
        <f>COUNTIFS('Data Dump'!$P:$P,'SPL FEED'!$A41,'Data Dump'!$S:$S,'SPL FEED'!AG$2)</f>
        <v>0</v>
      </c>
      <c r="AH41" s="17">
        <f>COUNTIFS('Data Dump'!$P:$P,'SPL FEED'!$A41,'Data Dump'!$S:$S,'SPL FEED'!AH$2)</f>
        <v>0</v>
      </c>
      <c r="AI41" s="20">
        <f t="shared" si="8"/>
        <v>0</v>
      </c>
      <c r="AJ41" s="20">
        <f t="shared" si="9"/>
        <v>0</v>
      </c>
    </row>
    <row r="42" spans="1:36" x14ac:dyDescent="0.25">
      <c r="A42" s="13" t="s">
        <v>225</v>
      </c>
      <c r="B42" s="12" t="s">
        <v>226</v>
      </c>
      <c r="C42" s="17">
        <f>COUNTIFS('Data Dump'!$P:$P,'SPL FEED'!$A42,'Data Dump'!$S:$S,'SPL FEED'!C$2)</f>
        <v>0</v>
      </c>
      <c r="D42" s="17">
        <f>COUNTIFS('Data Dump'!$P:$P,'SPL FEED'!$A42,'Data Dump'!$S:$S,'SPL FEED'!D$2)</f>
        <v>0</v>
      </c>
      <c r="E42" s="17">
        <f>COUNTIFS('Data Dump'!$P:$P,'SPL FEED'!$A42,'Data Dump'!$S:$S,'SPL FEED'!E$2)</f>
        <v>0</v>
      </c>
      <c r="F42" s="20">
        <f t="shared" si="0"/>
        <v>0</v>
      </c>
      <c r="G42" s="17">
        <f>COUNTIFS('Data Dump'!$P:$P,'SPL FEED'!$A42,'Data Dump'!$S:$S,'SPL FEED'!G$2)</f>
        <v>0</v>
      </c>
      <c r="H42" s="17">
        <f>COUNTIFS('Data Dump'!$P:$P,'SPL FEED'!$A42,'Data Dump'!$S:$S,'SPL FEED'!H$2)</f>
        <v>0</v>
      </c>
      <c r="I42" s="17">
        <f>COUNTIFS('Data Dump'!$P:$P,'SPL FEED'!$A42,'Data Dump'!$S:$S,'SPL FEED'!I$2)</f>
        <v>0</v>
      </c>
      <c r="J42" s="20">
        <f t="shared" si="1"/>
        <v>0</v>
      </c>
      <c r="K42" s="17">
        <f>COUNTIFS('Data Dump'!$P:$P,'SPL FEED'!$A42,'Data Dump'!$S:$S,'SPL FEED'!K$2)</f>
        <v>0</v>
      </c>
      <c r="L42" s="17">
        <f>COUNTIFS('Data Dump'!$P:$P,'SPL FEED'!$A42,'Data Dump'!$S:$S,'SPL FEED'!L$2)</f>
        <v>0</v>
      </c>
      <c r="M42" s="17">
        <f>COUNTIFS('Data Dump'!$P:$P,'SPL FEED'!$A42,'Data Dump'!$S:$S,'SPL FEED'!M$2)</f>
        <v>0</v>
      </c>
      <c r="N42" s="20">
        <f t="shared" si="2"/>
        <v>0</v>
      </c>
      <c r="O42" s="17">
        <f>COUNTIFS('Data Dump'!$P:$P,'SPL FEED'!$A42,'Data Dump'!$S:$S,'SPL FEED'!O$2)</f>
        <v>0</v>
      </c>
      <c r="P42" s="17">
        <f>COUNTIFS('Data Dump'!$P:$P,'SPL FEED'!$A42,'Data Dump'!$S:$S,'SPL FEED'!P$2)</f>
        <v>0</v>
      </c>
      <c r="Q42" s="17">
        <f>COUNTIFS('Data Dump'!$P:$P,'SPL FEED'!$A42,'Data Dump'!$S:$S,'SPL FEED'!Q$2)</f>
        <v>0</v>
      </c>
      <c r="R42" s="20">
        <f t="shared" si="3"/>
        <v>0</v>
      </c>
      <c r="S42" s="20">
        <f t="shared" si="4"/>
        <v>0</v>
      </c>
      <c r="T42" s="17">
        <f>COUNTIFS('Data Dump'!$P:$P,'SPL FEED'!$A42,'Data Dump'!$S:$S,'SPL FEED'!T$2)</f>
        <v>0</v>
      </c>
      <c r="U42" s="17">
        <f>COUNTIFS('Data Dump'!$P:$P,'SPL FEED'!$A42,'Data Dump'!$S:$S,'SPL FEED'!U$2)</f>
        <v>0</v>
      </c>
      <c r="V42" s="17">
        <f>COUNTIFS('Data Dump'!$P:$P,'SPL FEED'!$A42,'Data Dump'!$S:$S,'SPL FEED'!V$2)</f>
        <v>0</v>
      </c>
      <c r="W42" s="20">
        <f t="shared" si="5"/>
        <v>0</v>
      </c>
      <c r="X42" s="17">
        <f>COUNTIFS('Data Dump'!$P:$P,'SPL FEED'!$A42,'Data Dump'!$S:$S,'SPL FEED'!X$2)</f>
        <v>0</v>
      </c>
      <c r="Y42" s="17">
        <f>COUNTIFS('Data Dump'!$P:$P,'SPL FEED'!$A42,'Data Dump'!$S:$S,'SPL FEED'!Y$2)</f>
        <v>0</v>
      </c>
      <c r="Z42" s="17">
        <f>COUNTIFS('Data Dump'!$P:$P,'SPL FEED'!$A42,'Data Dump'!$S:$S,'SPL FEED'!Z$2)</f>
        <v>0</v>
      </c>
      <c r="AA42" s="20">
        <f t="shared" si="6"/>
        <v>0</v>
      </c>
      <c r="AB42" s="17">
        <f>COUNTIFS('Data Dump'!$P:$P,'SPL FEED'!$A42,'Data Dump'!$S:$S,'SPL FEED'!AB$2)</f>
        <v>0</v>
      </c>
      <c r="AC42" s="17">
        <f>COUNTIFS('Data Dump'!$P:$P,'SPL FEED'!$A42,'Data Dump'!$S:$S,'SPL FEED'!AC$2)</f>
        <v>0</v>
      </c>
      <c r="AD42" s="17">
        <f>COUNTIFS('Data Dump'!$P:$P,'SPL FEED'!$A42,'Data Dump'!$S:$S,'SPL FEED'!AD$2)</f>
        <v>0</v>
      </c>
      <c r="AE42" s="20">
        <f t="shared" si="7"/>
        <v>0</v>
      </c>
      <c r="AF42" s="17">
        <f>COUNTIFS('Data Dump'!$P:$P,'SPL FEED'!$A42,'Data Dump'!$S:$S,'SPL FEED'!AF$2)</f>
        <v>1</v>
      </c>
      <c r="AG42" s="17">
        <f>COUNTIFS('Data Dump'!$P:$P,'SPL FEED'!$A42,'Data Dump'!$S:$S,'SPL FEED'!AG$2)</f>
        <v>0</v>
      </c>
      <c r="AH42" s="17">
        <f>COUNTIFS('Data Dump'!$P:$P,'SPL FEED'!$A42,'Data Dump'!$S:$S,'SPL FEED'!AH$2)</f>
        <v>0</v>
      </c>
      <c r="AI42" s="20">
        <f t="shared" si="8"/>
        <v>1</v>
      </c>
      <c r="AJ42" s="20">
        <f t="shared" si="9"/>
        <v>1</v>
      </c>
    </row>
    <row r="43" spans="1:36" x14ac:dyDescent="0.25">
      <c r="A43" s="13" t="s">
        <v>227</v>
      </c>
      <c r="B43" s="12" t="s">
        <v>228</v>
      </c>
      <c r="C43" s="17">
        <f>COUNTIFS('Data Dump'!$P:$P,'SPL FEED'!$A43,'Data Dump'!$S:$S,'SPL FEED'!C$2)</f>
        <v>0</v>
      </c>
      <c r="D43" s="17">
        <f>COUNTIFS('Data Dump'!$P:$P,'SPL FEED'!$A43,'Data Dump'!$S:$S,'SPL FEED'!D$2)</f>
        <v>0</v>
      </c>
      <c r="E43" s="17">
        <f>COUNTIFS('Data Dump'!$P:$P,'SPL FEED'!$A43,'Data Dump'!$S:$S,'SPL FEED'!E$2)</f>
        <v>0</v>
      </c>
      <c r="F43" s="20">
        <f t="shared" si="0"/>
        <v>0</v>
      </c>
      <c r="G43" s="17">
        <f>COUNTIFS('Data Dump'!$P:$P,'SPL FEED'!$A43,'Data Dump'!$S:$S,'SPL FEED'!G$2)</f>
        <v>0</v>
      </c>
      <c r="H43" s="17">
        <f>COUNTIFS('Data Dump'!$P:$P,'SPL FEED'!$A43,'Data Dump'!$S:$S,'SPL FEED'!H$2)</f>
        <v>0</v>
      </c>
      <c r="I43" s="17">
        <f>COUNTIFS('Data Dump'!$P:$P,'SPL FEED'!$A43,'Data Dump'!$S:$S,'SPL FEED'!I$2)</f>
        <v>0</v>
      </c>
      <c r="J43" s="20">
        <f t="shared" si="1"/>
        <v>0</v>
      </c>
      <c r="K43" s="17">
        <f>COUNTIFS('Data Dump'!$P:$P,'SPL FEED'!$A43,'Data Dump'!$S:$S,'SPL FEED'!K$2)</f>
        <v>0</v>
      </c>
      <c r="L43" s="17">
        <f>COUNTIFS('Data Dump'!$P:$P,'SPL FEED'!$A43,'Data Dump'!$S:$S,'SPL FEED'!L$2)</f>
        <v>0</v>
      </c>
      <c r="M43" s="17">
        <f>COUNTIFS('Data Dump'!$P:$P,'SPL FEED'!$A43,'Data Dump'!$S:$S,'SPL FEED'!M$2)</f>
        <v>0</v>
      </c>
      <c r="N43" s="20">
        <f t="shared" si="2"/>
        <v>0</v>
      </c>
      <c r="O43" s="17">
        <f>COUNTIFS('Data Dump'!$P:$P,'SPL FEED'!$A43,'Data Dump'!$S:$S,'SPL FEED'!O$2)</f>
        <v>0</v>
      </c>
      <c r="P43" s="17">
        <f>COUNTIFS('Data Dump'!$P:$P,'SPL FEED'!$A43,'Data Dump'!$S:$S,'SPL FEED'!P$2)</f>
        <v>0</v>
      </c>
      <c r="Q43" s="17">
        <f>COUNTIFS('Data Dump'!$P:$P,'SPL FEED'!$A43,'Data Dump'!$S:$S,'SPL FEED'!Q$2)</f>
        <v>0</v>
      </c>
      <c r="R43" s="20">
        <f t="shared" si="3"/>
        <v>0</v>
      </c>
      <c r="S43" s="20">
        <f t="shared" si="4"/>
        <v>0</v>
      </c>
      <c r="T43" s="17">
        <f>COUNTIFS('Data Dump'!$P:$P,'SPL FEED'!$A43,'Data Dump'!$S:$S,'SPL FEED'!T$2)</f>
        <v>0</v>
      </c>
      <c r="U43" s="17">
        <f>COUNTIFS('Data Dump'!$P:$P,'SPL FEED'!$A43,'Data Dump'!$S:$S,'SPL FEED'!U$2)</f>
        <v>0</v>
      </c>
      <c r="V43" s="17">
        <f>COUNTIFS('Data Dump'!$P:$P,'SPL FEED'!$A43,'Data Dump'!$S:$S,'SPL FEED'!V$2)</f>
        <v>0</v>
      </c>
      <c r="W43" s="20">
        <f t="shared" si="5"/>
        <v>0</v>
      </c>
      <c r="X43" s="17">
        <f>COUNTIFS('Data Dump'!$P:$P,'SPL FEED'!$A43,'Data Dump'!$S:$S,'SPL FEED'!X$2)</f>
        <v>0</v>
      </c>
      <c r="Y43" s="17">
        <f>COUNTIFS('Data Dump'!$P:$P,'SPL FEED'!$A43,'Data Dump'!$S:$S,'SPL FEED'!Y$2)</f>
        <v>0</v>
      </c>
      <c r="Z43" s="17">
        <f>COUNTIFS('Data Dump'!$P:$P,'SPL FEED'!$A43,'Data Dump'!$S:$S,'SPL FEED'!Z$2)</f>
        <v>0</v>
      </c>
      <c r="AA43" s="20">
        <f t="shared" si="6"/>
        <v>0</v>
      </c>
      <c r="AB43" s="17">
        <f>COUNTIFS('Data Dump'!$P:$P,'SPL FEED'!$A43,'Data Dump'!$S:$S,'SPL FEED'!AB$2)</f>
        <v>0</v>
      </c>
      <c r="AC43" s="17">
        <f>COUNTIFS('Data Dump'!$P:$P,'SPL FEED'!$A43,'Data Dump'!$S:$S,'SPL FEED'!AC$2)</f>
        <v>0</v>
      </c>
      <c r="AD43" s="17">
        <f>COUNTIFS('Data Dump'!$P:$P,'SPL FEED'!$A43,'Data Dump'!$S:$S,'SPL FEED'!AD$2)</f>
        <v>0</v>
      </c>
      <c r="AE43" s="20">
        <f t="shared" si="7"/>
        <v>0</v>
      </c>
      <c r="AF43" s="17">
        <f>COUNTIFS('Data Dump'!$P:$P,'SPL FEED'!$A43,'Data Dump'!$S:$S,'SPL FEED'!AF$2)</f>
        <v>0</v>
      </c>
      <c r="AG43" s="17">
        <f>COUNTIFS('Data Dump'!$P:$P,'SPL FEED'!$A43,'Data Dump'!$S:$S,'SPL FEED'!AG$2)</f>
        <v>0</v>
      </c>
      <c r="AH43" s="17">
        <f>COUNTIFS('Data Dump'!$P:$P,'SPL FEED'!$A43,'Data Dump'!$S:$S,'SPL FEED'!AH$2)</f>
        <v>0</v>
      </c>
      <c r="AI43" s="20">
        <f t="shared" si="8"/>
        <v>0</v>
      </c>
      <c r="AJ43" s="20">
        <f t="shared" si="9"/>
        <v>0</v>
      </c>
    </row>
    <row r="44" spans="1:36" x14ac:dyDescent="0.25">
      <c r="A44" s="13" t="s">
        <v>229</v>
      </c>
      <c r="B44" s="12" t="s">
        <v>230</v>
      </c>
      <c r="C44" s="17">
        <f>COUNTIFS('Data Dump'!$P:$P,'SPL FEED'!$A44,'Data Dump'!$S:$S,'SPL FEED'!C$2)</f>
        <v>0</v>
      </c>
      <c r="D44" s="17">
        <f>COUNTIFS('Data Dump'!$P:$P,'SPL FEED'!$A44,'Data Dump'!$S:$S,'SPL FEED'!D$2)</f>
        <v>0</v>
      </c>
      <c r="E44" s="17">
        <f>COUNTIFS('Data Dump'!$P:$P,'SPL FEED'!$A44,'Data Dump'!$S:$S,'SPL FEED'!E$2)</f>
        <v>0</v>
      </c>
      <c r="F44" s="20">
        <f t="shared" si="0"/>
        <v>0</v>
      </c>
      <c r="G44" s="17">
        <f>COUNTIFS('Data Dump'!$P:$P,'SPL FEED'!$A44,'Data Dump'!$S:$S,'SPL FEED'!G$2)</f>
        <v>0</v>
      </c>
      <c r="H44" s="17">
        <f>COUNTIFS('Data Dump'!$P:$P,'SPL FEED'!$A44,'Data Dump'!$S:$S,'SPL FEED'!H$2)</f>
        <v>0</v>
      </c>
      <c r="I44" s="17">
        <f>COUNTIFS('Data Dump'!$P:$P,'SPL FEED'!$A44,'Data Dump'!$S:$S,'SPL FEED'!I$2)</f>
        <v>0</v>
      </c>
      <c r="J44" s="20">
        <f t="shared" si="1"/>
        <v>0</v>
      </c>
      <c r="K44" s="17">
        <f>COUNTIFS('Data Dump'!$P:$P,'SPL FEED'!$A44,'Data Dump'!$S:$S,'SPL FEED'!K$2)</f>
        <v>0</v>
      </c>
      <c r="L44" s="17">
        <f>COUNTIFS('Data Dump'!$P:$P,'SPL FEED'!$A44,'Data Dump'!$S:$S,'SPL FEED'!L$2)</f>
        <v>0</v>
      </c>
      <c r="M44" s="17">
        <f>COUNTIFS('Data Dump'!$P:$P,'SPL FEED'!$A44,'Data Dump'!$S:$S,'SPL FEED'!M$2)</f>
        <v>0</v>
      </c>
      <c r="N44" s="20">
        <f t="shared" si="2"/>
        <v>0</v>
      </c>
      <c r="O44" s="17">
        <f>COUNTIFS('Data Dump'!$P:$P,'SPL FEED'!$A44,'Data Dump'!$S:$S,'SPL FEED'!O$2)</f>
        <v>0</v>
      </c>
      <c r="P44" s="17">
        <f>COUNTIFS('Data Dump'!$P:$P,'SPL FEED'!$A44,'Data Dump'!$S:$S,'SPL FEED'!P$2)</f>
        <v>0</v>
      </c>
      <c r="Q44" s="17">
        <f>COUNTIFS('Data Dump'!$P:$P,'SPL FEED'!$A44,'Data Dump'!$S:$S,'SPL FEED'!Q$2)</f>
        <v>0</v>
      </c>
      <c r="R44" s="20">
        <f t="shared" si="3"/>
        <v>0</v>
      </c>
      <c r="S44" s="20">
        <f t="shared" si="4"/>
        <v>0</v>
      </c>
      <c r="T44" s="17">
        <f>COUNTIFS('Data Dump'!$P:$P,'SPL FEED'!$A44,'Data Dump'!$S:$S,'SPL FEED'!T$2)</f>
        <v>0</v>
      </c>
      <c r="U44" s="17">
        <f>COUNTIFS('Data Dump'!$P:$P,'SPL FEED'!$A44,'Data Dump'!$S:$S,'SPL FEED'!U$2)</f>
        <v>0</v>
      </c>
      <c r="V44" s="17">
        <f>COUNTIFS('Data Dump'!$P:$P,'SPL FEED'!$A44,'Data Dump'!$S:$S,'SPL FEED'!V$2)</f>
        <v>0</v>
      </c>
      <c r="W44" s="20">
        <f t="shared" si="5"/>
        <v>0</v>
      </c>
      <c r="X44" s="17">
        <f>COUNTIFS('Data Dump'!$P:$P,'SPL FEED'!$A44,'Data Dump'!$S:$S,'SPL FEED'!X$2)</f>
        <v>0</v>
      </c>
      <c r="Y44" s="17">
        <f>COUNTIFS('Data Dump'!$P:$P,'SPL FEED'!$A44,'Data Dump'!$S:$S,'SPL FEED'!Y$2)</f>
        <v>0</v>
      </c>
      <c r="Z44" s="17">
        <f>COUNTIFS('Data Dump'!$P:$P,'SPL FEED'!$A44,'Data Dump'!$S:$S,'SPL FEED'!Z$2)</f>
        <v>0</v>
      </c>
      <c r="AA44" s="20">
        <f t="shared" si="6"/>
        <v>0</v>
      </c>
      <c r="AB44" s="17">
        <f>COUNTIFS('Data Dump'!$P:$P,'SPL FEED'!$A44,'Data Dump'!$S:$S,'SPL FEED'!AB$2)</f>
        <v>0</v>
      </c>
      <c r="AC44" s="17">
        <f>COUNTIFS('Data Dump'!$P:$P,'SPL FEED'!$A44,'Data Dump'!$S:$S,'SPL FEED'!AC$2)</f>
        <v>0</v>
      </c>
      <c r="AD44" s="17">
        <f>COUNTIFS('Data Dump'!$P:$P,'SPL FEED'!$A44,'Data Dump'!$S:$S,'SPL FEED'!AD$2)</f>
        <v>0</v>
      </c>
      <c r="AE44" s="20">
        <f t="shared" si="7"/>
        <v>0</v>
      </c>
      <c r="AF44" s="17">
        <f>COUNTIFS('Data Dump'!$P:$P,'SPL FEED'!$A44,'Data Dump'!$S:$S,'SPL FEED'!AF$2)</f>
        <v>0</v>
      </c>
      <c r="AG44" s="17">
        <f>COUNTIFS('Data Dump'!$P:$P,'SPL FEED'!$A44,'Data Dump'!$S:$S,'SPL FEED'!AG$2)</f>
        <v>0</v>
      </c>
      <c r="AH44" s="17">
        <f>COUNTIFS('Data Dump'!$P:$P,'SPL FEED'!$A44,'Data Dump'!$S:$S,'SPL FEED'!AH$2)</f>
        <v>0</v>
      </c>
      <c r="AI44" s="20">
        <f t="shared" si="8"/>
        <v>0</v>
      </c>
      <c r="AJ44" s="20">
        <f t="shared" si="9"/>
        <v>0</v>
      </c>
    </row>
    <row r="45" spans="1:36" x14ac:dyDescent="0.25">
      <c r="A45" s="94" t="s">
        <v>75</v>
      </c>
      <c r="B45" s="94"/>
      <c r="C45" s="81">
        <f t="shared" ref="C45:AJ45" si="10">SUM(C3:C44)</f>
        <v>7</v>
      </c>
      <c r="D45" s="81">
        <f t="shared" si="10"/>
        <v>8</v>
      </c>
      <c r="E45" s="81">
        <f t="shared" si="10"/>
        <v>8</v>
      </c>
      <c r="F45" s="82">
        <f t="shared" si="10"/>
        <v>23</v>
      </c>
      <c r="G45" s="81">
        <f t="shared" si="10"/>
        <v>9</v>
      </c>
      <c r="H45" s="81">
        <f t="shared" si="10"/>
        <v>7</v>
      </c>
      <c r="I45" s="81">
        <f t="shared" si="10"/>
        <v>8</v>
      </c>
      <c r="J45" s="82">
        <f t="shared" si="10"/>
        <v>24</v>
      </c>
      <c r="K45" s="81">
        <f t="shared" si="10"/>
        <v>0</v>
      </c>
      <c r="L45" s="81">
        <f t="shared" si="10"/>
        <v>2</v>
      </c>
      <c r="M45" s="81">
        <f t="shared" si="10"/>
        <v>14</v>
      </c>
      <c r="N45" s="82">
        <f t="shared" si="10"/>
        <v>16</v>
      </c>
      <c r="O45" s="81">
        <f t="shared" si="10"/>
        <v>4</v>
      </c>
      <c r="P45" s="81">
        <f t="shared" si="10"/>
        <v>10</v>
      </c>
      <c r="Q45" s="81">
        <f t="shared" si="10"/>
        <v>1</v>
      </c>
      <c r="R45" s="82">
        <f t="shared" si="10"/>
        <v>15</v>
      </c>
      <c r="S45" s="82">
        <f t="shared" si="10"/>
        <v>78</v>
      </c>
      <c r="T45" s="81">
        <f t="shared" si="10"/>
        <v>1</v>
      </c>
      <c r="U45" s="81">
        <f t="shared" si="10"/>
        <v>4</v>
      </c>
      <c r="V45" s="81">
        <f t="shared" si="10"/>
        <v>5</v>
      </c>
      <c r="W45" s="82">
        <f t="shared" si="10"/>
        <v>10</v>
      </c>
      <c r="X45" s="81">
        <f t="shared" si="10"/>
        <v>6</v>
      </c>
      <c r="Y45" s="81">
        <f t="shared" si="10"/>
        <v>13</v>
      </c>
      <c r="Z45" s="81">
        <f t="shared" si="10"/>
        <v>6</v>
      </c>
      <c r="AA45" s="82">
        <f t="shared" si="10"/>
        <v>25</v>
      </c>
      <c r="AB45" s="81">
        <f t="shared" si="10"/>
        <v>0</v>
      </c>
      <c r="AC45" s="81">
        <f t="shared" si="10"/>
        <v>3</v>
      </c>
      <c r="AD45" s="81">
        <f t="shared" si="10"/>
        <v>8</v>
      </c>
      <c r="AE45" s="82">
        <f t="shared" si="10"/>
        <v>11</v>
      </c>
      <c r="AF45" s="81">
        <f t="shared" si="10"/>
        <v>2</v>
      </c>
      <c r="AG45" s="81">
        <f t="shared" si="10"/>
        <v>10</v>
      </c>
      <c r="AH45" s="81">
        <f t="shared" si="10"/>
        <v>12</v>
      </c>
      <c r="AI45" s="82">
        <f t="shared" si="10"/>
        <v>24</v>
      </c>
      <c r="AJ45" s="82">
        <f t="shared" si="10"/>
        <v>70</v>
      </c>
    </row>
    <row r="46" spans="1:36" ht="15.75" thickBot="1" x14ac:dyDescent="0.3"/>
    <row r="47" spans="1:36" ht="15.75" thickBot="1" x14ac:dyDescent="0.3">
      <c r="A47" s="96" t="s">
        <v>243</v>
      </c>
      <c r="B47" s="96"/>
    </row>
    <row r="48" spans="1:36" x14ac:dyDescent="0.25">
      <c r="A48" s="13" t="s">
        <v>147</v>
      </c>
      <c r="B48" s="12" t="s">
        <v>148</v>
      </c>
      <c r="C48" s="17">
        <f>SUBTOTAL(9,$C3:C3)</f>
        <v>0</v>
      </c>
      <c r="D48" s="17">
        <f>SUBTOTAL(9,$C3:D3)</f>
        <v>0</v>
      </c>
      <c r="E48" s="17">
        <f>SUBTOTAL(9,$C3:E3)</f>
        <v>0</v>
      </c>
      <c r="F48" s="17">
        <f>SUBTOTAL(9,$C3:F3)</f>
        <v>0</v>
      </c>
      <c r="G48" s="17">
        <f>SUBTOTAL(9,$C3:G3)</f>
        <v>0</v>
      </c>
      <c r="H48" s="17">
        <f>SUBTOTAL(9,$C3:H3)</f>
        <v>0</v>
      </c>
      <c r="I48" s="17">
        <f>SUBTOTAL(9,$C3:I3)</f>
        <v>0</v>
      </c>
      <c r="J48" s="17">
        <f>SUBTOTAL(9,$C3:J3)</f>
        <v>0</v>
      </c>
      <c r="K48" s="17">
        <f>SUBTOTAL(9,$C3:K3)</f>
        <v>0</v>
      </c>
      <c r="L48" s="17">
        <f>SUBTOTAL(9,$C3:L3)</f>
        <v>0</v>
      </c>
      <c r="M48" s="17">
        <f>SUBTOTAL(9,$C3:M3)</f>
        <v>0</v>
      </c>
      <c r="N48" s="17">
        <f>SUBTOTAL(9,$C3:N3)</f>
        <v>0</v>
      </c>
      <c r="O48" s="17">
        <f>SUBTOTAL(9,$C3:O3)</f>
        <v>0</v>
      </c>
      <c r="P48" s="17">
        <f>SUBTOTAL(9,$C3:P3)</f>
        <v>0</v>
      </c>
      <c r="Q48" s="17">
        <f>SUBTOTAL(9,$C3:Q3)</f>
        <v>0</v>
      </c>
      <c r="R48" s="17">
        <f>SUBTOTAL(9,$C3:R3)</f>
        <v>0</v>
      </c>
      <c r="S48" s="17">
        <f>SUBTOTAL(9,$C3:S3)</f>
        <v>0</v>
      </c>
      <c r="T48" s="17">
        <f>SUBTOTAL(9,$T3:T3)</f>
        <v>0</v>
      </c>
      <c r="U48" s="17">
        <f>SUBTOTAL(9,$T3:U3)</f>
        <v>0</v>
      </c>
      <c r="V48" s="17">
        <f>SUBTOTAL(9,$T3:V3)</f>
        <v>0</v>
      </c>
      <c r="W48" s="17">
        <f>SUBTOTAL(9,$T3:W3)</f>
        <v>0</v>
      </c>
      <c r="X48" s="17">
        <f>SUBTOTAL(9,$T3:X3)</f>
        <v>0</v>
      </c>
      <c r="Y48" s="17">
        <f>SUBTOTAL(9,$T3:Y3)</f>
        <v>0</v>
      </c>
      <c r="Z48" s="17">
        <f>SUBTOTAL(9,$T3:Z3)</f>
        <v>0</v>
      </c>
      <c r="AA48" s="17">
        <f>SUBTOTAL(9,$T3:AA3)</f>
        <v>0</v>
      </c>
      <c r="AB48" s="17">
        <f>SUBTOTAL(9,$T3:AB3)</f>
        <v>0</v>
      </c>
      <c r="AC48" s="17">
        <f>SUBTOTAL(9,$T3:AC3)</f>
        <v>0</v>
      </c>
      <c r="AD48" s="17">
        <f>SUBTOTAL(9,$T3:AD3)</f>
        <v>0</v>
      </c>
      <c r="AE48" s="17">
        <f>SUBTOTAL(9,$T3:AE3)</f>
        <v>0</v>
      </c>
      <c r="AF48" s="17">
        <f>SUBTOTAL(9,$T3:AF3)</f>
        <v>0</v>
      </c>
      <c r="AG48" s="17">
        <f>SUBTOTAL(9,$T3:AG3)</f>
        <v>0</v>
      </c>
      <c r="AH48" s="17">
        <f>SUBTOTAL(9,$T3:AH3)</f>
        <v>0</v>
      </c>
      <c r="AI48" s="17">
        <f>SUBTOTAL(9,$T3:AI3)</f>
        <v>0</v>
      </c>
      <c r="AJ48" s="17">
        <f>SUBTOTAL(9,$T3:AJ3)</f>
        <v>0</v>
      </c>
    </row>
    <row r="49" spans="1:36" x14ac:dyDescent="0.25">
      <c r="A49" s="13" t="s">
        <v>149</v>
      </c>
      <c r="B49" s="12" t="s">
        <v>150</v>
      </c>
      <c r="C49" s="17">
        <f>SUBTOTAL(9,$C4:C4)</f>
        <v>0</v>
      </c>
      <c r="D49" s="17">
        <f>SUBTOTAL(9,$C4:D4)</f>
        <v>0</v>
      </c>
      <c r="E49" s="17">
        <f>SUBTOTAL(9,$C4:E4)</f>
        <v>0</v>
      </c>
      <c r="F49" s="17">
        <f>SUBTOTAL(9,$C4:F4)</f>
        <v>0</v>
      </c>
      <c r="G49" s="17">
        <f>SUBTOTAL(9,$C4:G4)</f>
        <v>1</v>
      </c>
      <c r="H49" s="17">
        <f>SUBTOTAL(9,$C4:H4)</f>
        <v>1</v>
      </c>
      <c r="I49" s="17">
        <f>SUBTOTAL(9,$C4:I4)</f>
        <v>1</v>
      </c>
      <c r="J49" s="17">
        <f>SUBTOTAL(9,$C4:J4)</f>
        <v>1</v>
      </c>
      <c r="K49" s="17">
        <f>SUBTOTAL(9,$C4:K4)</f>
        <v>1</v>
      </c>
      <c r="L49" s="17">
        <f>SUBTOTAL(9,$C4:L4)</f>
        <v>1</v>
      </c>
      <c r="M49" s="17">
        <f>SUBTOTAL(9,$C4:M4)</f>
        <v>1</v>
      </c>
      <c r="N49" s="17">
        <f>SUBTOTAL(9,$C4:N4)</f>
        <v>1</v>
      </c>
      <c r="O49" s="17">
        <f>SUBTOTAL(9,$C4:O4)</f>
        <v>1</v>
      </c>
      <c r="P49" s="17">
        <f>SUBTOTAL(9,$C4:P4)</f>
        <v>1</v>
      </c>
      <c r="Q49" s="17">
        <f>SUBTOTAL(9,$C4:Q4)</f>
        <v>1</v>
      </c>
      <c r="R49" s="17">
        <f>SUBTOTAL(9,$C4:R4)</f>
        <v>1</v>
      </c>
      <c r="S49" s="17">
        <f>SUBTOTAL(9,$C4:S4)</f>
        <v>1</v>
      </c>
      <c r="T49" s="17">
        <f>SUBTOTAL(9,$T4:T4)</f>
        <v>0</v>
      </c>
      <c r="U49" s="17">
        <f>SUBTOTAL(9,$T4:U4)</f>
        <v>0</v>
      </c>
      <c r="V49" s="17">
        <f>SUBTOTAL(9,$T4:V4)</f>
        <v>0</v>
      </c>
      <c r="W49" s="17">
        <f>SUBTOTAL(9,$T4:W4)</f>
        <v>0</v>
      </c>
      <c r="X49" s="17">
        <f>SUBTOTAL(9,$T4:X4)</f>
        <v>0</v>
      </c>
      <c r="Y49" s="17">
        <f>SUBTOTAL(9,$T4:Y4)</f>
        <v>0</v>
      </c>
      <c r="Z49" s="17">
        <f>SUBTOTAL(9,$T4:Z4)</f>
        <v>0</v>
      </c>
      <c r="AA49" s="17">
        <f>SUBTOTAL(9,$T4:AA4)</f>
        <v>0</v>
      </c>
      <c r="AB49" s="17">
        <f>SUBTOTAL(9,$T4:AB4)</f>
        <v>0</v>
      </c>
      <c r="AC49" s="17">
        <f>SUBTOTAL(9,$T4:AC4)</f>
        <v>0</v>
      </c>
      <c r="AD49" s="17">
        <f>SUBTOTAL(9,$T4:AD4)</f>
        <v>0</v>
      </c>
      <c r="AE49" s="17">
        <f>SUBTOTAL(9,$T4:AE4)</f>
        <v>0</v>
      </c>
      <c r="AF49" s="17">
        <f>SUBTOTAL(9,$T4:AF4)</f>
        <v>0</v>
      </c>
      <c r="AG49" s="17">
        <f>SUBTOTAL(9,$T4:AG4)</f>
        <v>0</v>
      </c>
      <c r="AH49" s="17">
        <f>SUBTOTAL(9,$T4:AH4)</f>
        <v>0</v>
      </c>
      <c r="AI49" s="17">
        <f>SUBTOTAL(9,$T4:AI4)</f>
        <v>0</v>
      </c>
      <c r="AJ49" s="17">
        <f>SUBTOTAL(9,$T4:AJ4)</f>
        <v>0</v>
      </c>
    </row>
    <row r="50" spans="1:36" x14ac:dyDescent="0.25">
      <c r="A50" s="13" t="s">
        <v>151</v>
      </c>
      <c r="B50" s="12" t="s">
        <v>152</v>
      </c>
      <c r="C50" s="17">
        <f>SUBTOTAL(9,$C5:C5)</f>
        <v>1</v>
      </c>
      <c r="D50" s="17">
        <f>SUBTOTAL(9,$C5:D5)</f>
        <v>1</v>
      </c>
      <c r="E50" s="17">
        <f>SUBTOTAL(9,$C5:E5)</f>
        <v>2</v>
      </c>
      <c r="F50" s="17">
        <f>SUBTOTAL(9,$C5:F5)</f>
        <v>2</v>
      </c>
      <c r="G50" s="17">
        <f>SUBTOTAL(9,$C5:G5)</f>
        <v>2</v>
      </c>
      <c r="H50" s="17">
        <f>SUBTOTAL(9,$C5:H5)</f>
        <v>2</v>
      </c>
      <c r="I50" s="17">
        <f>SUBTOTAL(9,$C5:I5)</f>
        <v>3</v>
      </c>
      <c r="J50" s="17">
        <f>SUBTOTAL(9,$C5:J5)</f>
        <v>3</v>
      </c>
      <c r="K50" s="17">
        <f>SUBTOTAL(9,$C5:K5)</f>
        <v>3</v>
      </c>
      <c r="L50" s="17">
        <f>SUBTOTAL(9,$C5:L5)</f>
        <v>3</v>
      </c>
      <c r="M50" s="17">
        <f>SUBTOTAL(9,$C5:M5)</f>
        <v>3</v>
      </c>
      <c r="N50" s="17">
        <f>SUBTOTAL(9,$C5:N5)</f>
        <v>3</v>
      </c>
      <c r="O50" s="17">
        <f>SUBTOTAL(9,$C5:O5)</f>
        <v>3</v>
      </c>
      <c r="P50" s="17">
        <f>SUBTOTAL(9,$C5:P5)</f>
        <v>3</v>
      </c>
      <c r="Q50" s="17">
        <f>SUBTOTAL(9,$C5:Q5)</f>
        <v>3</v>
      </c>
      <c r="R50" s="17">
        <f>SUBTOTAL(9,$C5:R5)</f>
        <v>3</v>
      </c>
      <c r="S50" s="17">
        <f>SUBTOTAL(9,$C5:S5)</f>
        <v>3</v>
      </c>
      <c r="T50" s="17">
        <f>SUBTOTAL(9,$T5:T5)</f>
        <v>0</v>
      </c>
      <c r="U50" s="17">
        <f>SUBTOTAL(9,$T5:U5)</f>
        <v>0</v>
      </c>
      <c r="V50" s="17">
        <f>SUBTOTAL(9,$T5:V5)</f>
        <v>0</v>
      </c>
      <c r="W50" s="17">
        <f>SUBTOTAL(9,$T5:W5)</f>
        <v>0</v>
      </c>
      <c r="X50" s="17">
        <f>SUBTOTAL(9,$T5:X5)</f>
        <v>0</v>
      </c>
      <c r="Y50" s="17">
        <f>SUBTOTAL(9,$T5:Y5)</f>
        <v>2</v>
      </c>
      <c r="Z50" s="17">
        <f>SUBTOTAL(9,$T5:Z5)</f>
        <v>2</v>
      </c>
      <c r="AA50" s="17">
        <f>SUBTOTAL(9,$T5:AA5)</f>
        <v>2</v>
      </c>
      <c r="AB50" s="17">
        <f>SUBTOTAL(9,$T5:AB5)</f>
        <v>2</v>
      </c>
      <c r="AC50" s="17">
        <f>SUBTOTAL(9,$T5:AC5)</f>
        <v>2</v>
      </c>
      <c r="AD50" s="17">
        <f>SUBTOTAL(9,$T5:AD5)</f>
        <v>2</v>
      </c>
      <c r="AE50" s="17">
        <f>SUBTOTAL(9,$T5:AE5)</f>
        <v>2</v>
      </c>
      <c r="AF50" s="17">
        <f>SUBTOTAL(9,$T5:AF5)</f>
        <v>2</v>
      </c>
      <c r="AG50" s="17">
        <f>SUBTOTAL(9,$T5:AG5)</f>
        <v>2</v>
      </c>
      <c r="AH50" s="17">
        <f>SUBTOTAL(9,$T5:AH5)</f>
        <v>3</v>
      </c>
      <c r="AI50" s="17">
        <f>SUBTOTAL(9,$T5:AI5)</f>
        <v>3</v>
      </c>
      <c r="AJ50" s="17">
        <f>SUBTOTAL(9,$T5:AJ5)</f>
        <v>3</v>
      </c>
    </row>
    <row r="51" spans="1:36" x14ac:dyDescent="0.25">
      <c r="A51" s="13" t="s">
        <v>153</v>
      </c>
      <c r="B51" s="12" t="s">
        <v>154</v>
      </c>
      <c r="C51" s="17">
        <f>SUBTOTAL(9,$C6:C6)</f>
        <v>0</v>
      </c>
      <c r="D51" s="17">
        <f>SUBTOTAL(9,$C6:D6)</f>
        <v>0</v>
      </c>
      <c r="E51" s="17">
        <f>SUBTOTAL(9,$C6:E6)</f>
        <v>0</v>
      </c>
      <c r="F51" s="17">
        <f>SUBTOTAL(9,$C6:F6)</f>
        <v>0</v>
      </c>
      <c r="G51" s="17">
        <f>SUBTOTAL(9,$C6:G6)</f>
        <v>0</v>
      </c>
      <c r="H51" s="17">
        <f>SUBTOTAL(9,$C6:H6)</f>
        <v>0</v>
      </c>
      <c r="I51" s="17">
        <f>SUBTOTAL(9,$C6:I6)</f>
        <v>0</v>
      </c>
      <c r="J51" s="17">
        <f>SUBTOTAL(9,$C6:J6)</f>
        <v>0</v>
      </c>
      <c r="K51" s="17">
        <f>SUBTOTAL(9,$C6:K6)</f>
        <v>0</v>
      </c>
      <c r="L51" s="17">
        <f>SUBTOTAL(9,$C6:L6)</f>
        <v>0</v>
      </c>
      <c r="M51" s="17">
        <f>SUBTOTAL(9,$C6:M6)</f>
        <v>0</v>
      </c>
      <c r="N51" s="17">
        <f>SUBTOTAL(9,$C6:N6)</f>
        <v>0</v>
      </c>
      <c r="O51" s="17">
        <f>SUBTOTAL(9,$C6:O6)</f>
        <v>0</v>
      </c>
      <c r="P51" s="17">
        <f>SUBTOTAL(9,$C6:P6)</f>
        <v>0</v>
      </c>
      <c r="Q51" s="17">
        <f>SUBTOTAL(9,$C6:Q6)</f>
        <v>0</v>
      </c>
      <c r="R51" s="17">
        <f>SUBTOTAL(9,$C6:R6)</f>
        <v>0</v>
      </c>
      <c r="S51" s="17">
        <f>SUBTOTAL(9,$C6:S6)</f>
        <v>0</v>
      </c>
      <c r="T51" s="17">
        <f>SUBTOTAL(9,$T6:T6)</f>
        <v>0</v>
      </c>
      <c r="U51" s="17">
        <f>SUBTOTAL(9,$T6:U6)</f>
        <v>0</v>
      </c>
      <c r="V51" s="17">
        <f>SUBTOTAL(9,$T6:V6)</f>
        <v>0</v>
      </c>
      <c r="W51" s="17">
        <f>SUBTOTAL(9,$T6:W6)</f>
        <v>0</v>
      </c>
      <c r="X51" s="17">
        <f>SUBTOTAL(9,$T6:X6)</f>
        <v>0</v>
      </c>
      <c r="Y51" s="17">
        <f>SUBTOTAL(9,$T6:Y6)</f>
        <v>0</v>
      </c>
      <c r="Z51" s="17">
        <f>SUBTOTAL(9,$T6:Z6)</f>
        <v>0</v>
      </c>
      <c r="AA51" s="17">
        <f>SUBTOTAL(9,$T6:AA6)</f>
        <v>0</v>
      </c>
      <c r="AB51" s="17">
        <f>SUBTOTAL(9,$T6:AB6)</f>
        <v>0</v>
      </c>
      <c r="AC51" s="17">
        <f>SUBTOTAL(9,$T6:AC6)</f>
        <v>0</v>
      </c>
      <c r="AD51" s="17">
        <f>SUBTOTAL(9,$T6:AD6)</f>
        <v>0</v>
      </c>
      <c r="AE51" s="17">
        <f>SUBTOTAL(9,$T6:AE6)</f>
        <v>0</v>
      </c>
      <c r="AF51" s="17">
        <f>SUBTOTAL(9,$T6:AF6)</f>
        <v>0</v>
      </c>
      <c r="AG51" s="17">
        <f>SUBTOTAL(9,$T6:AG6)</f>
        <v>0</v>
      </c>
      <c r="AH51" s="17">
        <f>SUBTOTAL(9,$T6:AH6)</f>
        <v>0</v>
      </c>
      <c r="AI51" s="17">
        <f>SUBTOTAL(9,$T6:AI6)</f>
        <v>0</v>
      </c>
      <c r="AJ51" s="17">
        <f>SUBTOTAL(9,$T6:AJ6)</f>
        <v>0</v>
      </c>
    </row>
    <row r="52" spans="1:36" x14ac:dyDescent="0.25">
      <c r="A52" s="13" t="s">
        <v>155</v>
      </c>
      <c r="B52" s="12" t="s">
        <v>156</v>
      </c>
      <c r="C52" s="17">
        <f>SUBTOTAL(9,$C7:C7)</f>
        <v>0</v>
      </c>
      <c r="D52" s="17">
        <f>SUBTOTAL(9,$C7:D7)</f>
        <v>1</v>
      </c>
      <c r="E52" s="17">
        <f>SUBTOTAL(9,$C7:E7)</f>
        <v>2</v>
      </c>
      <c r="F52" s="17">
        <f>SUBTOTAL(9,$C7:F7)</f>
        <v>2</v>
      </c>
      <c r="G52" s="17">
        <f>SUBTOTAL(9,$C7:G7)</f>
        <v>5</v>
      </c>
      <c r="H52" s="17">
        <f>SUBTOTAL(9,$C7:H7)</f>
        <v>5</v>
      </c>
      <c r="I52" s="17">
        <f>SUBTOTAL(9,$C7:I7)</f>
        <v>7</v>
      </c>
      <c r="J52" s="17">
        <f>SUBTOTAL(9,$C7:J7)</f>
        <v>7</v>
      </c>
      <c r="K52" s="17">
        <f>SUBTOTAL(9,$C7:K7)</f>
        <v>7</v>
      </c>
      <c r="L52" s="17">
        <f>SUBTOTAL(9,$C7:L7)</f>
        <v>7</v>
      </c>
      <c r="M52" s="17">
        <f>SUBTOTAL(9,$C7:M7)</f>
        <v>8</v>
      </c>
      <c r="N52" s="17">
        <f>SUBTOTAL(9,$C7:N7)</f>
        <v>8</v>
      </c>
      <c r="O52" s="17">
        <f>SUBTOTAL(9,$C7:O7)</f>
        <v>8</v>
      </c>
      <c r="P52" s="17">
        <f>SUBTOTAL(9,$C7:P7)</f>
        <v>11</v>
      </c>
      <c r="Q52" s="17">
        <f>SUBTOTAL(9,$C7:Q7)</f>
        <v>11</v>
      </c>
      <c r="R52" s="17">
        <f>SUBTOTAL(9,$C7:R7)</f>
        <v>11</v>
      </c>
      <c r="S52" s="17">
        <f>SUBTOTAL(9,$C7:S7)</f>
        <v>11</v>
      </c>
      <c r="T52" s="17">
        <f>SUBTOTAL(9,$T7:T7)</f>
        <v>0</v>
      </c>
      <c r="U52" s="17">
        <f>SUBTOTAL(9,$T7:U7)</f>
        <v>0</v>
      </c>
      <c r="V52" s="17">
        <f>SUBTOTAL(9,$T7:V7)</f>
        <v>1</v>
      </c>
      <c r="W52" s="17">
        <f>SUBTOTAL(9,$T7:W7)</f>
        <v>1</v>
      </c>
      <c r="X52" s="17">
        <f>SUBTOTAL(9,$T7:X7)</f>
        <v>3</v>
      </c>
      <c r="Y52" s="17">
        <f>SUBTOTAL(9,$T7:Y7)</f>
        <v>4</v>
      </c>
      <c r="Z52" s="17">
        <f>SUBTOTAL(9,$T7:Z7)</f>
        <v>5</v>
      </c>
      <c r="AA52" s="17">
        <f>SUBTOTAL(9,$T7:AA7)</f>
        <v>5</v>
      </c>
      <c r="AB52" s="17">
        <f>SUBTOTAL(9,$T7:AB7)</f>
        <v>5</v>
      </c>
      <c r="AC52" s="17">
        <f>SUBTOTAL(9,$T7:AC7)</f>
        <v>6</v>
      </c>
      <c r="AD52" s="17">
        <f>SUBTOTAL(9,$T7:AD7)</f>
        <v>6</v>
      </c>
      <c r="AE52" s="17">
        <f>SUBTOTAL(9,$T7:AE7)</f>
        <v>6</v>
      </c>
      <c r="AF52" s="17">
        <f>SUBTOTAL(9,$T7:AF7)</f>
        <v>7</v>
      </c>
      <c r="AG52" s="17">
        <f>SUBTOTAL(9,$T7:AG7)</f>
        <v>8</v>
      </c>
      <c r="AH52" s="17">
        <f>SUBTOTAL(9,$T7:AH7)</f>
        <v>10</v>
      </c>
      <c r="AI52" s="17">
        <f>SUBTOTAL(9,$T7:AI7)</f>
        <v>10</v>
      </c>
      <c r="AJ52" s="17">
        <f>SUBTOTAL(9,$T7:AJ7)</f>
        <v>10</v>
      </c>
    </row>
    <row r="53" spans="1:36" x14ac:dyDescent="0.25">
      <c r="A53" s="13" t="s">
        <v>157</v>
      </c>
      <c r="B53" s="12" t="s">
        <v>158</v>
      </c>
      <c r="C53" s="17">
        <f>SUBTOTAL(9,$C8:C8)</f>
        <v>0</v>
      </c>
      <c r="D53" s="17">
        <f>SUBTOTAL(9,$C8:D8)</f>
        <v>0</v>
      </c>
      <c r="E53" s="17">
        <f>SUBTOTAL(9,$C8:E8)</f>
        <v>0</v>
      </c>
      <c r="F53" s="17">
        <f>SUBTOTAL(9,$C8:F8)</f>
        <v>0</v>
      </c>
      <c r="G53" s="17">
        <f>SUBTOTAL(9,$C8:G8)</f>
        <v>0</v>
      </c>
      <c r="H53" s="17">
        <f>SUBTOTAL(9,$C8:H8)</f>
        <v>0</v>
      </c>
      <c r="I53" s="17">
        <f>SUBTOTAL(9,$C8:I8)</f>
        <v>0</v>
      </c>
      <c r="J53" s="17">
        <f>SUBTOTAL(9,$C8:J8)</f>
        <v>0</v>
      </c>
      <c r="K53" s="17">
        <f>SUBTOTAL(9,$C8:K8)</f>
        <v>0</v>
      </c>
      <c r="L53" s="17">
        <f>SUBTOTAL(9,$C8:L8)</f>
        <v>0</v>
      </c>
      <c r="M53" s="17">
        <f>SUBTOTAL(9,$C8:M8)</f>
        <v>0</v>
      </c>
      <c r="N53" s="17">
        <f>SUBTOTAL(9,$C8:N8)</f>
        <v>0</v>
      </c>
      <c r="O53" s="17">
        <f>SUBTOTAL(9,$C8:O8)</f>
        <v>0</v>
      </c>
      <c r="P53" s="17">
        <f>SUBTOTAL(9,$C8:P8)</f>
        <v>0</v>
      </c>
      <c r="Q53" s="17">
        <f>SUBTOTAL(9,$C8:Q8)</f>
        <v>0</v>
      </c>
      <c r="R53" s="17">
        <f>SUBTOTAL(9,$C8:R8)</f>
        <v>0</v>
      </c>
      <c r="S53" s="17">
        <f>SUBTOTAL(9,$C8:S8)</f>
        <v>0</v>
      </c>
      <c r="T53" s="17">
        <f>SUBTOTAL(9,$T8:T8)</f>
        <v>0</v>
      </c>
      <c r="U53" s="17">
        <f>SUBTOTAL(9,$T8:U8)</f>
        <v>0</v>
      </c>
      <c r="V53" s="17">
        <f>SUBTOTAL(9,$T8:V8)</f>
        <v>0</v>
      </c>
      <c r="W53" s="17">
        <f>SUBTOTAL(9,$T8:W8)</f>
        <v>0</v>
      </c>
      <c r="X53" s="17">
        <f>SUBTOTAL(9,$T8:X8)</f>
        <v>0</v>
      </c>
      <c r="Y53" s="17">
        <f>SUBTOTAL(9,$T8:Y8)</f>
        <v>0</v>
      </c>
      <c r="Z53" s="17">
        <f>SUBTOTAL(9,$T8:Z8)</f>
        <v>0</v>
      </c>
      <c r="AA53" s="17">
        <f>SUBTOTAL(9,$T8:AA8)</f>
        <v>0</v>
      </c>
      <c r="AB53" s="17">
        <f>SUBTOTAL(9,$T8:AB8)</f>
        <v>0</v>
      </c>
      <c r="AC53" s="17">
        <f>SUBTOTAL(9,$T8:AC8)</f>
        <v>0</v>
      </c>
      <c r="AD53" s="17">
        <f>SUBTOTAL(9,$T8:AD8)</f>
        <v>0</v>
      </c>
      <c r="AE53" s="17">
        <f>SUBTOTAL(9,$T8:AE8)</f>
        <v>0</v>
      </c>
      <c r="AF53" s="17">
        <f>SUBTOTAL(9,$T8:AF8)</f>
        <v>0</v>
      </c>
      <c r="AG53" s="17">
        <f>SUBTOTAL(9,$T8:AG8)</f>
        <v>0</v>
      </c>
      <c r="AH53" s="17">
        <f>SUBTOTAL(9,$T8:AH8)</f>
        <v>0</v>
      </c>
      <c r="AI53" s="17">
        <f>SUBTOTAL(9,$T8:AI8)</f>
        <v>0</v>
      </c>
      <c r="AJ53" s="17">
        <f>SUBTOTAL(9,$T8:AJ8)</f>
        <v>0</v>
      </c>
    </row>
    <row r="54" spans="1:36" x14ac:dyDescent="0.25">
      <c r="A54" s="13" t="s">
        <v>159</v>
      </c>
      <c r="B54" s="12" t="s">
        <v>160</v>
      </c>
      <c r="C54" s="17">
        <f>SUBTOTAL(9,$C9:C9)</f>
        <v>0</v>
      </c>
      <c r="D54" s="17">
        <f>SUBTOTAL(9,$C9:D9)</f>
        <v>0</v>
      </c>
      <c r="E54" s="17">
        <f>SUBTOTAL(9,$C9:E9)</f>
        <v>0</v>
      </c>
      <c r="F54" s="17">
        <f>SUBTOTAL(9,$C9:F9)</f>
        <v>0</v>
      </c>
      <c r="G54" s="17">
        <f>SUBTOTAL(9,$C9:G9)</f>
        <v>0</v>
      </c>
      <c r="H54" s="17">
        <f>SUBTOTAL(9,$C9:H9)</f>
        <v>0</v>
      </c>
      <c r="I54" s="17">
        <f>SUBTOTAL(9,$C9:I9)</f>
        <v>0</v>
      </c>
      <c r="J54" s="17">
        <f>SUBTOTAL(9,$C9:J9)</f>
        <v>0</v>
      </c>
      <c r="K54" s="17">
        <f>SUBTOTAL(9,$C9:K9)</f>
        <v>0</v>
      </c>
      <c r="L54" s="17">
        <f>SUBTOTAL(9,$C9:L9)</f>
        <v>0</v>
      </c>
      <c r="M54" s="17">
        <f>SUBTOTAL(9,$C9:M9)</f>
        <v>0</v>
      </c>
      <c r="N54" s="17">
        <f>SUBTOTAL(9,$C9:N9)</f>
        <v>0</v>
      </c>
      <c r="O54" s="17">
        <f>SUBTOTAL(9,$C9:O9)</f>
        <v>0</v>
      </c>
      <c r="P54" s="17">
        <f>SUBTOTAL(9,$C9:P9)</f>
        <v>0</v>
      </c>
      <c r="Q54" s="17">
        <f>SUBTOTAL(9,$C9:Q9)</f>
        <v>0</v>
      </c>
      <c r="R54" s="17">
        <f>SUBTOTAL(9,$C9:R9)</f>
        <v>0</v>
      </c>
      <c r="S54" s="17">
        <f>SUBTOTAL(9,$C9:S9)</f>
        <v>0</v>
      </c>
      <c r="T54" s="17">
        <f>SUBTOTAL(9,$T9:T9)</f>
        <v>0</v>
      </c>
      <c r="U54" s="17">
        <f>SUBTOTAL(9,$T9:U9)</f>
        <v>0</v>
      </c>
      <c r="V54" s="17">
        <f>SUBTOTAL(9,$T9:V9)</f>
        <v>0</v>
      </c>
      <c r="W54" s="17">
        <f>SUBTOTAL(9,$T9:W9)</f>
        <v>0</v>
      </c>
      <c r="X54" s="17">
        <f>SUBTOTAL(9,$T9:X9)</f>
        <v>0</v>
      </c>
      <c r="Y54" s="17">
        <f>SUBTOTAL(9,$T9:Y9)</f>
        <v>0</v>
      </c>
      <c r="Z54" s="17">
        <f>SUBTOTAL(9,$T9:Z9)</f>
        <v>0</v>
      </c>
      <c r="AA54" s="17">
        <f>SUBTOTAL(9,$T9:AA9)</f>
        <v>0</v>
      </c>
      <c r="AB54" s="17">
        <f>SUBTOTAL(9,$T9:AB9)</f>
        <v>0</v>
      </c>
      <c r="AC54" s="17">
        <f>SUBTOTAL(9,$T9:AC9)</f>
        <v>0</v>
      </c>
      <c r="AD54" s="17">
        <f>SUBTOTAL(9,$T9:AD9)</f>
        <v>0</v>
      </c>
      <c r="AE54" s="17">
        <f>SUBTOTAL(9,$T9:AE9)</f>
        <v>0</v>
      </c>
      <c r="AF54" s="17">
        <f>SUBTOTAL(9,$T9:AF9)</f>
        <v>0</v>
      </c>
      <c r="AG54" s="17">
        <f>SUBTOTAL(9,$T9:AG9)</f>
        <v>0</v>
      </c>
      <c r="AH54" s="17">
        <f>SUBTOTAL(9,$T9:AH9)</f>
        <v>0</v>
      </c>
      <c r="AI54" s="17">
        <f>SUBTOTAL(9,$T9:AI9)</f>
        <v>0</v>
      </c>
      <c r="AJ54" s="17">
        <f>SUBTOTAL(9,$T9:AJ9)</f>
        <v>0</v>
      </c>
    </row>
    <row r="55" spans="1:36" x14ac:dyDescent="0.25">
      <c r="A55" s="13" t="s">
        <v>161</v>
      </c>
      <c r="B55" s="12" t="s">
        <v>162</v>
      </c>
      <c r="C55" s="17">
        <f>SUBTOTAL(9,$C10:C10)</f>
        <v>0</v>
      </c>
      <c r="D55" s="17">
        <f>SUBTOTAL(9,$C10:D10)</f>
        <v>0</v>
      </c>
      <c r="E55" s="17">
        <f>SUBTOTAL(9,$C10:E10)</f>
        <v>0</v>
      </c>
      <c r="F55" s="17">
        <f>SUBTOTAL(9,$C10:F10)</f>
        <v>0</v>
      </c>
      <c r="G55" s="17">
        <f>SUBTOTAL(9,$C10:G10)</f>
        <v>0</v>
      </c>
      <c r="H55" s="17">
        <f>SUBTOTAL(9,$C10:H10)</f>
        <v>1</v>
      </c>
      <c r="I55" s="17">
        <f>SUBTOTAL(9,$C10:I10)</f>
        <v>2</v>
      </c>
      <c r="J55" s="17">
        <f>SUBTOTAL(9,$C10:J10)</f>
        <v>2</v>
      </c>
      <c r="K55" s="17">
        <f>SUBTOTAL(9,$C10:K10)</f>
        <v>2</v>
      </c>
      <c r="L55" s="17">
        <f>SUBTOTAL(9,$C10:L10)</f>
        <v>2</v>
      </c>
      <c r="M55" s="17">
        <f>SUBTOTAL(9,$C10:M10)</f>
        <v>2</v>
      </c>
      <c r="N55" s="17">
        <f>SUBTOTAL(9,$C10:N10)</f>
        <v>2</v>
      </c>
      <c r="O55" s="17">
        <f>SUBTOTAL(9,$C10:O10)</f>
        <v>2</v>
      </c>
      <c r="P55" s="17">
        <f>SUBTOTAL(9,$C10:P10)</f>
        <v>2</v>
      </c>
      <c r="Q55" s="17">
        <f>SUBTOTAL(9,$C10:Q10)</f>
        <v>2</v>
      </c>
      <c r="R55" s="17">
        <f>SUBTOTAL(9,$C10:R10)</f>
        <v>2</v>
      </c>
      <c r="S55" s="17">
        <f>SUBTOTAL(9,$C10:S10)</f>
        <v>2</v>
      </c>
      <c r="T55" s="17">
        <f>SUBTOTAL(9,$T10:T10)</f>
        <v>0</v>
      </c>
      <c r="U55" s="17">
        <f>SUBTOTAL(9,$T10:U10)</f>
        <v>0</v>
      </c>
      <c r="V55" s="17">
        <f>SUBTOTAL(9,$T10:V10)</f>
        <v>1</v>
      </c>
      <c r="W55" s="17">
        <f>SUBTOTAL(9,$T10:W10)</f>
        <v>1</v>
      </c>
      <c r="X55" s="17">
        <f>SUBTOTAL(9,$T10:X10)</f>
        <v>2</v>
      </c>
      <c r="Y55" s="17">
        <f>SUBTOTAL(9,$T10:Y10)</f>
        <v>2</v>
      </c>
      <c r="Z55" s="17">
        <f>SUBTOTAL(9,$T10:Z10)</f>
        <v>3</v>
      </c>
      <c r="AA55" s="17">
        <f>SUBTOTAL(9,$T10:AA10)</f>
        <v>3</v>
      </c>
      <c r="AB55" s="17">
        <f>SUBTOTAL(9,$T10:AB10)</f>
        <v>3</v>
      </c>
      <c r="AC55" s="17">
        <f>SUBTOTAL(9,$T10:AC10)</f>
        <v>3</v>
      </c>
      <c r="AD55" s="17">
        <f>SUBTOTAL(9,$T10:AD10)</f>
        <v>4</v>
      </c>
      <c r="AE55" s="17">
        <f>SUBTOTAL(9,$T10:AE10)</f>
        <v>4</v>
      </c>
      <c r="AF55" s="17">
        <f>SUBTOTAL(9,$T10:AF10)</f>
        <v>4</v>
      </c>
      <c r="AG55" s="17">
        <f>SUBTOTAL(9,$T10:AG10)</f>
        <v>4</v>
      </c>
      <c r="AH55" s="17">
        <f>SUBTOTAL(9,$T10:AH10)</f>
        <v>4</v>
      </c>
      <c r="AI55" s="17">
        <f>SUBTOTAL(9,$T10:AI10)</f>
        <v>4</v>
      </c>
      <c r="AJ55" s="17">
        <f>SUBTOTAL(9,$T10:AJ10)</f>
        <v>4</v>
      </c>
    </row>
    <row r="56" spans="1:36" x14ac:dyDescent="0.25">
      <c r="A56" s="13" t="s">
        <v>163</v>
      </c>
      <c r="B56" s="12" t="s">
        <v>164</v>
      </c>
      <c r="C56" s="17">
        <f>SUBTOTAL(9,$C11:C11)</f>
        <v>0</v>
      </c>
      <c r="D56" s="17">
        <f>SUBTOTAL(9,$C11:D11)</f>
        <v>0</v>
      </c>
      <c r="E56" s="17">
        <f>SUBTOTAL(9,$C11:E11)</f>
        <v>0</v>
      </c>
      <c r="F56" s="17">
        <f>SUBTOTAL(9,$C11:F11)</f>
        <v>0</v>
      </c>
      <c r="G56" s="17">
        <f>SUBTOTAL(9,$C11:G11)</f>
        <v>0</v>
      </c>
      <c r="H56" s="17">
        <f>SUBTOTAL(9,$C11:H11)</f>
        <v>1</v>
      </c>
      <c r="I56" s="17">
        <f>SUBTOTAL(9,$C11:I11)</f>
        <v>1</v>
      </c>
      <c r="J56" s="17">
        <f>SUBTOTAL(9,$C11:J11)</f>
        <v>1</v>
      </c>
      <c r="K56" s="17">
        <f>SUBTOTAL(9,$C11:K11)</f>
        <v>1</v>
      </c>
      <c r="L56" s="17">
        <f>SUBTOTAL(9,$C11:L11)</f>
        <v>1</v>
      </c>
      <c r="M56" s="17">
        <f>SUBTOTAL(9,$C11:M11)</f>
        <v>1</v>
      </c>
      <c r="N56" s="17">
        <f>SUBTOTAL(9,$C11:N11)</f>
        <v>1</v>
      </c>
      <c r="O56" s="17">
        <f>SUBTOTAL(9,$C11:O11)</f>
        <v>1</v>
      </c>
      <c r="P56" s="17">
        <f>SUBTOTAL(9,$C11:P11)</f>
        <v>1</v>
      </c>
      <c r="Q56" s="17">
        <f>SUBTOTAL(9,$C11:Q11)</f>
        <v>1</v>
      </c>
      <c r="R56" s="17">
        <f>SUBTOTAL(9,$C11:R11)</f>
        <v>1</v>
      </c>
      <c r="S56" s="17">
        <f>SUBTOTAL(9,$C11:S11)</f>
        <v>1</v>
      </c>
      <c r="T56" s="17">
        <f>SUBTOTAL(9,$T11:T11)</f>
        <v>0</v>
      </c>
      <c r="U56" s="17">
        <f>SUBTOTAL(9,$T11:U11)</f>
        <v>0</v>
      </c>
      <c r="V56" s="17">
        <f>SUBTOTAL(9,$T11:V11)</f>
        <v>0</v>
      </c>
      <c r="W56" s="17">
        <f>SUBTOTAL(9,$T11:W11)</f>
        <v>0</v>
      </c>
      <c r="X56" s="17">
        <f>SUBTOTAL(9,$T11:X11)</f>
        <v>0</v>
      </c>
      <c r="Y56" s="17">
        <f>SUBTOTAL(9,$T11:Y11)</f>
        <v>0</v>
      </c>
      <c r="Z56" s="17">
        <f>SUBTOTAL(9,$T11:Z11)</f>
        <v>0</v>
      </c>
      <c r="AA56" s="17">
        <f>SUBTOTAL(9,$T11:AA11)</f>
        <v>0</v>
      </c>
      <c r="AB56" s="17">
        <f>SUBTOTAL(9,$T11:AB11)</f>
        <v>0</v>
      </c>
      <c r="AC56" s="17">
        <f>SUBTOTAL(9,$T11:AC11)</f>
        <v>0</v>
      </c>
      <c r="AD56" s="17">
        <f>SUBTOTAL(9,$T11:AD11)</f>
        <v>0</v>
      </c>
      <c r="AE56" s="17">
        <f>SUBTOTAL(9,$T11:AE11)</f>
        <v>0</v>
      </c>
      <c r="AF56" s="17">
        <f>SUBTOTAL(9,$T11:AF11)</f>
        <v>0</v>
      </c>
      <c r="AG56" s="17">
        <f>SUBTOTAL(9,$T11:AG11)</f>
        <v>0</v>
      </c>
      <c r="AH56" s="17">
        <f>SUBTOTAL(9,$T11:AH11)</f>
        <v>0</v>
      </c>
      <c r="AI56" s="17">
        <f>SUBTOTAL(9,$T11:AI11)</f>
        <v>0</v>
      </c>
      <c r="AJ56" s="17">
        <f>SUBTOTAL(9,$T11:AJ11)</f>
        <v>0</v>
      </c>
    </row>
    <row r="57" spans="1:36" x14ac:dyDescent="0.25">
      <c r="A57" s="13" t="s">
        <v>165</v>
      </c>
      <c r="B57" s="12" t="s">
        <v>166</v>
      </c>
      <c r="C57" s="17">
        <f>SUBTOTAL(9,$C12:C12)</f>
        <v>0</v>
      </c>
      <c r="D57" s="17">
        <f>SUBTOTAL(9,$C12:D12)</f>
        <v>0</v>
      </c>
      <c r="E57" s="17">
        <f>SUBTOTAL(9,$C12:E12)</f>
        <v>0</v>
      </c>
      <c r="F57" s="17">
        <f>SUBTOTAL(9,$C12:F12)</f>
        <v>0</v>
      </c>
      <c r="G57" s="17">
        <f>SUBTOTAL(9,$C12:G12)</f>
        <v>1</v>
      </c>
      <c r="H57" s="17">
        <f>SUBTOTAL(9,$C12:H12)</f>
        <v>1</v>
      </c>
      <c r="I57" s="17">
        <f>SUBTOTAL(9,$C12:I12)</f>
        <v>1</v>
      </c>
      <c r="J57" s="17">
        <f>SUBTOTAL(9,$C12:J12)</f>
        <v>1</v>
      </c>
      <c r="K57" s="17">
        <f>SUBTOTAL(9,$C12:K12)</f>
        <v>1</v>
      </c>
      <c r="L57" s="17">
        <f>SUBTOTAL(9,$C12:L12)</f>
        <v>1</v>
      </c>
      <c r="M57" s="17">
        <f>SUBTOTAL(9,$C12:M12)</f>
        <v>1</v>
      </c>
      <c r="N57" s="17">
        <f>SUBTOTAL(9,$C12:N12)</f>
        <v>1</v>
      </c>
      <c r="O57" s="17">
        <f>SUBTOTAL(9,$C12:O12)</f>
        <v>1</v>
      </c>
      <c r="P57" s="17">
        <f>SUBTOTAL(9,$C12:P12)</f>
        <v>1</v>
      </c>
      <c r="Q57" s="17">
        <f>SUBTOTAL(9,$C12:Q12)</f>
        <v>1</v>
      </c>
      <c r="R57" s="17">
        <f>SUBTOTAL(9,$C12:R12)</f>
        <v>1</v>
      </c>
      <c r="S57" s="17">
        <f>SUBTOTAL(9,$C12:S12)</f>
        <v>1</v>
      </c>
      <c r="T57" s="17">
        <f>SUBTOTAL(9,$T12:T12)</f>
        <v>0</v>
      </c>
      <c r="U57" s="17">
        <f>SUBTOTAL(9,$T12:U12)</f>
        <v>0</v>
      </c>
      <c r="V57" s="17">
        <f>SUBTOTAL(9,$T12:V12)</f>
        <v>0</v>
      </c>
      <c r="W57" s="17">
        <f>SUBTOTAL(9,$T12:W12)</f>
        <v>0</v>
      </c>
      <c r="X57" s="17">
        <f>SUBTOTAL(9,$T12:X12)</f>
        <v>0</v>
      </c>
      <c r="Y57" s="17">
        <f>SUBTOTAL(9,$T12:Y12)</f>
        <v>0</v>
      </c>
      <c r="Z57" s="17">
        <f>SUBTOTAL(9,$T12:Z12)</f>
        <v>0</v>
      </c>
      <c r="AA57" s="17">
        <f>SUBTOTAL(9,$T12:AA12)</f>
        <v>0</v>
      </c>
      <c r="AB57" s="17">
        <f>SUBTOTAL(9,$T12:AB12)</f>
        <v>0</v>
      </c>
      <c r="AC57" s="17">
        <f>SUBTOTAL(9,$T12:AC12)</f>
        <v>0</v>
      </c>
      <c r="AD57" s="17">
        <f>SUBTOTAL(9,$T12:AD12)</f>
        <v>0</v>
      </c>
      <c r="AE57" s="17">
        <f>SUBTOTAL(9,$T12:AE12)</f>
        <v>0</v>
      </c>
      <c r="AF57" s="17">
        <f>SUBTOTAL(9,$T12:AF12)</f>
        <v>0</v>
      </c>
      <c r="AG57" s="17">
        <f>SUBTOTAL(9,$T12:AG12)</f>
        <v>0</v>
      </c>
      <c r="AH57" s="17">
        <f>SUBTOTAL(9,$T12:AH12)</f>
        <v>0</v>
      </c>
      <c r="AI57" s="17">
        <f>SUBTOTAL(9,$T12:AI12)</f>
        <v>0</v>
      </c>
      <c r="AJ57" s="17">
        <f>SUBTOTAL(9,$T12:AJ12)</f>
        <v>0</v>
      </c>
    </row>
    <row r="58" spans="1:36" x14ac:dyDescent="0.25">
      <c r="A58" s="13" t="s">
        <v>167</v>
      </c>
      <c r="B58" s="12" t="s">
        <v>168</v>
      </c>
      <c r="C58" s="17">
        <f>SUBTOTAL(9,$C13:C13)</f>
        <v>0</v>
      </c>
      <c r="D58" s="17">
        <f>SUBTOTAL(9,$C13:D13)</f>
        <v>1</v>
      </c>
      <c r="E58" s="17">
        <f>SUBTOTAL(9,$C13:E13)</f>
        <v>1</v>
      </c>
      <c r="F58" s="17">
        <f>SUBTOTAL(9,$C13:F13)</f>
        <v>1</v>
      </c>
      <c r="G58" s="17">
        <f>SUBTOTAL(9,$C13:G13)</f>
        <v>1</v>
      </c>
      <c r="H58" s="17">
        <f>SUBTOTAL(9,$C13:H13)</f>
        <v>1</v>
      </c>
      <c r="I58" s="17">
        <f>SUBTOTAL(9,$C13:I13)</f>
        <v>1</v>
      </c>
      <c r="J58" s="17">
        <f>SUBTOTAL(9,$C13:J13)</f>
        <v>1</v>
      </c>
      <c r="K58" s="17">
        <f>SUBTOTAL(9,$C13:K13)</f>
        <v>1</v>
      </c>
      <c r="L58" s="17">
        <f>SUBTOTAL(9,$C13:L13)</f>
        <v>1</v>
      </c>
      <c r="M58" s="17">
        <f>SUBTOTAL(9,$C13:M13)</f>
        <v>1</v>
      </c>
      <c r="N58" s="17">
        <f>SUBTOTAL(9,$C13:N13)</f>
        <v>1</v>
      </c>
      <c r="O58" s="17">
        <f>SUBTOTAL(9,$C13:O13)</f>
        <v>1</v>
      </c>
      <c r="P58" s="17">
        <f>SUBTOTAL(9,$C13:P13)</f>
        <v>1</v>
      </c>
      <c r="Q58" s="17">
        <f>SUBTOTAL(9,$C13:Q13)</f>
        <v>1</v>
      </c>
      <c r="R58" s="17">
        <f>SUBTOTAL(9,$C13:R13)</f>
        <v>1</v>
      </c>
      <c r="S58" s="17">
        <f>SUBTOTAL(9,$C13:S13)</f>
        <v>1</v>
      </c>
      <c r="T58" s="17">
        <f>SUBTOTAL(9,$T13:T13)</f>
        <v>0</v>
      </c>
      <c r="U58" s="17">
        <f>SUBTOTAL(9,$T13:U13)</f>
        <v>0</v>
      </c>
      <c r="V58" s="17">
        <f>SUBTOTAL(9,$T13:V13)</f>
        <v>0</v>
      </c>
      <c r="W58" s="17">
        <f>SUBTOTAL(9,$T13:W13)</f>
        <v>0</v>
      </c>
      <c r="X58" s="17">
        <f>SUBTOTAL(9,$T13:X13)</f>
        <v>0</v>
      </c>
      <c r="Y58" s="17">
        <f>SUBTOTAL(9,$T13:Y13)</f>
        <v>1</v>
      </c>
      <c r="Z58" s="17">
        <f>SUBTOTAL(9,$T13:Z13)</f>
        <v>1</v>
      </c>
      <c r="AA58" s="17">
        <f>SUBTOTAL(9,$T13:AA13)</f>
        <v>1</v>
      </c>
      <c r="AB58" s="17">
        <f>SUBTOTAL(9,$T13:AB13)</f>
        <v>1</v>
      </c>
      <c r="AC58" s="17">
        <f>SUBTOTAL(9,$T13:AC13)</f>
        <v>1</v>
      </c>
      <c r="AD58" s="17">
        <f>SUBTOTAL(9,$T13:AD13)</f>
        <v>1</v>
      </c>
      <c r="AE58" s="17">
        <f>SUBTOTAL(9,$T13:AE13)</f>
        <v>1</v>
      </c>
      <c r="AF58" s="17">
        <f>SUBTOTAL(9,$T13:AF13)</f>
        <v>1</v>
      </c>
      <c r="AG58" s="17">
        <f>SUBTOTAL(9,$T13:AG13)</f>
        <v>1</v>
      </c>
      <c r="AH58" s="17">
        <f>SUBTOTAL(9,$T13:AH13)</f>
        <v>1</v>
      </c>
      <c r="AI58" s="17">
        <f>SUBTOTAL(9,$T13:AI13)</f>
        <v>1</v>
      </c>
      <c r="AJ58" s="17">
        <f>SUBTOTAL(9,$T13:AJ13)</f>
        <v>1</v>
      </c>
    </row>
    <row r="59" spans="1:36" x14ac:dyDescent="0.25">
      <c r="A59" s="13" t="s">
        <v>169</v>
      </c>
      <c r="B59" s="12" t="s">
        <v>170</v>
      </c>
      <c r="C59" s="17">
        <f>SUBTOTAL(9,$C14:C14)</f>
        <v>0</v>
      </c>
      <c r="D59" s="17">
        <f>SUBTOTAL(9,$C14:D14)</f>
        <v>0</v>
      </c>
      <c r="E59" s="17">
        <f>SUBTOTAL(9,$C14:E14)</f>
        <v>0</v>
      </c>
      <c r="F59" s="17">
        <f>SUBTOTAL(9,$C14:F14)</f>
        <v>0</v>
      </c>
      <c r="G59" s="17">
        <f>SUBTOTAL(9,$C14:G14)</f>
        <v>0</v>
      </c>
      <c r="H59" s="17">
        <f>SUBTOTAL(9,$C14:H14)</f>
        <v>0</v>
      </c>
      <c r="I59" s="17">
        <f>SUBTOTAL(9,$C14:I14)</f>
        <v>0</v>
      </c>
      <c r="J59" s="17">
        <f>SUBTOTAL(9,$C14:J14)</f>
        <v>0</v>
      </c>
      <c r="K59" s="17">
        <f>SUBTOTAL(9,$C14:K14)</f>
        <v>0</v>
      </c>
      <c r="L59" s="17">
        <f>SUBTOTAL(9,$C14:L14)</f>
        <v>0</v>
      </c>
      <c r="M59" s="17">
        <f>SUBTOTAL(9,$C14:M14)</f>
        <v>0</v>
      </c>
      <c r="N59" s="17">
        <f>SUBTOTAL(9,$C14:N14)</f>
        <v>0</v>
      </c>
      <c r="O59" s="17">
        <f>SUBTOTAL(9,$C14:O14)</f>
        <v>0</v>
      </c>
      <c r="P59" s="17">
        <f>SUBTOTAL(9,$C14:P14)</f>
        <v>0</v>
      </c>
      <c r="Q59" s="17">
        <f>SUBTOTAL(9,$C14:Q14)</f>
        <v>0</v>
      </c>
      <c r="R59" s="17">
        <f>SUBTOTAL(9,$C14:R14)</f>
        <v>0</v>
      </c>
      <c r="S59" s="17">
        <f>SUBTOTAL(9,$C14:S14)</f>
        <v>0</v>
      </c>
      <c r="T59" s="17">
        <f>SUBTOTAL(9,$T14:T14)</f>
        <v>0</v>
      </c>
      <c r="U59" s="17">
        <f>SUBTOTAL(9,$T14:U14)</f>
        <v>1</v>
      </c>
      <c r="V59" s="17">
        <f>SUBTOTAL(9,$T14:V14)</f>
        <v>1</v>
      </c>
      <c r="W59" s="17">
        <f>SUBTOTAL(9,$T14:W14)</f>
        <v>1</v>
      </c>
      <c r="X59" s="17">
        <f>SUBTOTAL(9,$T14:X14)</f>
        <v>1</v>
      </c>
      <c r="Y59" s="17">
        <f>SUBTOTAL(9,$T14:Y14)</f>
        <v>1</v>
      </c>
      <c r="Z59" s="17">
        <f>SUBTOTAL(9,$T14:Z14)</f>
        <v>1</v>
      </c>
      <c r="AA59" s="17">
        <f>SUBTOTAL(9,$T14:AA14)</f>
        <v>1</v>
      </c>
      <c r="AB59" s="17">
        <f>SUBTOTAL(9,$T14:AB14)</f>
        <v>1</v>
      </c>
      <c r="AC59" s="17">
        <f>SUBTOTAL(9,$T14:AC14)</f>
        <v>1</v>
      </c>
      <c r="AD59" s="17">
        <f>SUBTOTAL(9,$T14:AD14)</f>
        <v>1</v>
      </c>
      <c r="AE59" s="17">
        <f>SUBTOTAL(9,$T14:AE14)</f>
        <v>1</v>
      </c>
      <c r="AF59" s="17">
        <f>SUBTOTAL(9,$T14:AF14)</f>
        <v>1</v>
      </c>
      <c r="AG59" s="17">
        <f>SUBTOTAL(9,$T14:AG14)</f>
        <v>1</v>
      </c>
      <c r="AH59" s="17">
        <f>SUBTOTAL(9,$T14:AH14)</f>
        <v>1</v>
      </c>
      <c r="AI59" s="17">
        <f>SUBTOTAL(9,$T14:AI14)</f>
        <v>1</v>
      </c>
      <c r="AJ59" s="17">
        <f>SUBTOTAL(9,$T14:AJ14)</f>
        <v>1</v>
      </c>
    </row>
    <row r="60" spans="1:36" x14ac:dyDescent="0.25">
      <c r="A60" s="13" t="s">
        <v>171</v>
      </c>
      <c r="B60" s="12" t="s">
        <v>172</v>
      </c>
      <c r="C60" s="17">
        <f>SUBTOTAL(9,$C15:C15)</f>
        <v>1</v>
      </c>
      <c r="D60" s="17">
        <f>SUBTOTAL(9,$C15:D15)</f>
        <v>1</v>
      </c>
      <c r="E60" s="17">
        <f>SUBTOTAL(9,$C15:E15)</f>
        <v>1</v>
      </c>
      <c r="F60" s="17">
        <f>SUBTOTAL(9,$C15:F15)</f>
        <v>1</v>
      </c>
      <c r="G60" s="17">
        <f>SUBTOTAL(9,$C15:G15)</f>
        <v>1</v>
      </c>
      <c r="H60" s="17">
        <f>SUBTOTAL(9,$C15:H15)</f>
        <v>2</v>
      </c>
      <c r="I60" s="17">
        <f>SUBTOTAL(9,$C15:I15)</f>
        <v>3</v>
      </c>
      <c r="J60" s="17">
        <f>SUBTOTAL(9,$C15:J15)</f>
        <v>3</v>
      </c>
      <c r="K60" s="17">
        <f>SUBTOTAL(9,$C15:K15)</f>
        <v>3</v>
      </c>
      <c r="L60" s="17">
        <f>SUBTOTAL(9,$C15:L15)</f>
        <v>3</v>
      </c>
      <c r="M60" s="17">
        <f>SUBTOTAL(9,$C15:M15)</f>
        <v>5</v>
      </c>
      <c r="N60" s="17">
        <f>SUBTOTAL(9,$C15:N15)</f>
        <v>5</v>
      </c>
      <c r="O60" s="17">
        <f>SUBTOTAL(9,$C15:O15)</f>
        <v>5</v>
      </c>
      <c r="P60" s="17">
        <f>SUBTOTAL(9,$C15:P15)</f>
        <v>5</v>
      </c>
      <c r="Q60" s="17">
        <f>SUBTOTAL(9,$C15:Q15)</f>
        <v>5</v>
      </c>
      <c r="R60" s="17">
        <f>SUBTOTAL(9,$C15:R15)</f>
        <v>5</v>
      </c>
      <c r="S60" s="17">
        <f>SUBTOTAL(9,$C15:S15)</f>
        <v>5</v>
      </c>
      <c r="T60" s="17">
        <f>SUBTOTAL(9,$T15:T15)</f>
        <v>0</v>
      </c>
      <c r="U60" s="17">
        <f>SUBTOTAL(9,$T15:U15)</f>
        <v>0</v>
      </c>
      <c r="V60" s="17">
        <f>SUBTOTAL(9,$T15:V15)</f>
        <v>0</v>
      </c>
      <c r="W60" s="17">
        <f>SUBTOTAL(9,$T15:W15)</f>
        <v>0</v>
      </c>
      <c r="X60" s="17">
        <f>SUBTOTAL(9,$T15:X15)</f>
        <v>1</v>
      </c>
      <c r="Y60" s="17">
        <f>SUBTOTAL(9,$T15:Y15)</f>
        <v>4</v>
      </c>
      <c r="Z60" s="17">
        <f>SUBTOTAL(9,$T15:Z15)</f>
        <v>4</v>
      </c>
      <c r="AA60" s="17">
        <f>SUBTOTAL(9,$T15:AA15)</f>
        <v>4</v>
      </c>
      <c r="AB60" s="17">
        <f>SUBTOTAL(9,$T15:AB15)</f>
        <v>4</v>
      </c>
      <c r="AC60" s="17">
        <f>SUBTOTAL(9,$T15:AC15)</f>
        <v>4</v>
      </c>
      <c r="AD60" s="17">
        <f>SUBTOTAL(9,$T15:AD15)</f>
        <v>6</v>
      </c>
      <c r="AE60" s="17">
        <f>SUBTOTAL(9,$T15:AE15)</f>
        <v>6</v>
      </c>
      <c r="AF60" s="17">
        <f>SUBTOTAL(9,$T15:AF15)</f>
        <v>6</v>
      </c>
      <c r="AG60" s="17">
        <f>SUBTOTAL(9,$T15:AG15)</f>
        <v>8</v>
      </c>
      <c r="AH60" s="17">
        <f>SUBTOTAL(9,$T15:AH15)</f>
        <v>8</v>
      </c>
      <c r="AI60" s="17">
        <f>SUBTOTAL(9,$T15:AI15)</f>
        <v>8</v>
      </c>
      <c r="AJ60" s="17">
        <f>SUBTOTAL(9,$T15:AJ15)</f>
        <v>8</v>
      </c>
    </row>
    <row r="61" spans="1:36" x14ac:dyDescent="0.25">
      <c r="A61" s="13" t="s">
        <v>173</v>
      </c>
      <c r="B61" s="12" t="s">
        <v>174</v>
      </c>
      <c r="C61" s="17">
        <f>SUBTOTAL(9,$C16:C16)</f>
        <v>0</v>
      </c>
      <c r="D61" s="17">
        <f>SUBTOTAL(9,$C16:D16)</f>
        <v>0</v>
      </c>
      <c r="E61" s="17">
        <f>SUBTOTAL(9,$C16:E16)</f>
        <v>1</v>
      </c>
      <c r="F61" s="17">
        <f>SUBTOTAL(9,$C16:F16)</f>
        <v>1</v>
      </c>
      <c r="G61" s="17">
        <f>SUBTOTAL(9,$C16:G16)</f>
        <v>1</v>
      </c>
      <c r="H61" s="17">
        <f>SUBTOTAL(9,$C16:H16)</f>
        <v>1</v>
      </c>
      <c r="I61" s="17">
        <f>SUBTOTAL(9,$C16:I16)</f>
        <v>1</v>
      </c>
      <c r="J61" s="17">
        <f>SUBTOTAL(9,$C16:J16)</f>
        <v>1</v>
      </c>
      <c r="K61" s="17">
        <f>SUBTOTAL(9,$C16:K16)</f>
        <v>1</v>
      </c>
      <c r="L61" s="17">
        <f>SUBTOTAL(9,$C16:L16)</f>
        <v>1</v>
      </c>
      <c r="M61" s="17">
        <f>SUBTOTAL(9,$C16:M16)</f>
        <v>1</v>
      </c>
      <c r="N61" s="17">
        <f>SUBTOTAL(9,$C16:N16)</f>
        <v>1</v>
      </c>
      <c r="O61" s="17">
        <f>SUBTOTAL(9,$C16:O16)</f>
        <v>1</v>
      </c>
      <c r="P61" s="17">
        <f>SUBTOTAL(9,$C16:P16)</f>
        <v>1</v>
      </c>
      <c r="Q61" s="17">
        <f>SUBTOTAL(9,$C16:Q16)</f>
        <v>1</v>
      </c>
      <c r="R61" s="17">
        <f>SUBTOTAL(9,$C16:R16)</f>
        <v>1</v>
      </c>
      <c r="S61" s="17">
        <f>SUBTOTAL(9,$C16:S16)</f>
        <v>1</v>
      </c>
      <c r="T61" s="17">
        <f>SUBTOTAL(9,$T16:T16)</f>
        <v>0</v>
      </c>
      <c r="U61" s="17">
        <f>SUBTOTAL(9,$T16:U16)</f>
        <v>0</v>
      </c>
      <c r="V61" s="17">
        <f>SUBTOTAL(9,$T16:V16)</f>
        <v>0</v>
      </c>
      <c r="W61" s="17">
        <f>SUBTOTAL(9,$T16:W16)</f>
        <v>0</v>
      </c>
      <c r="X61" s="17">
        <f>SUBTOTAL(9,$T16:X16)</f>
        <v>0</v>
      </c>
      <c r="Y61" s="17">
        <f>SUBTOTAL(9,$T16:Y16)</f>
        <v>0</v>
      </c>
      <c r="Z61" s="17">
        <f>SUBTOTAL(9,$T16:Z16)</f>
        <v>0</v>
      </c>
      <c r="AA61" s="17">
        <f>SUBTOTAL(9,$T16:AA16)</f>
        <v>0</v>
      </c>
      <c r="AB61" s="17">
        <f>SUBTOTAL(9,$T16:AB16)</f>
        <v>0</v>
      </c>
      <c r="AC61" s="17">
        <f>SUBTOTAL(9,$T16:AC16)</f>
        <v>0</v>
      </c>
      <c r="AD61" s="17">
        <f>SUBTOTAL(9,$T16:AD16)</f>
        <v>0</v>
      </c>
      <c r="AE61" s="17">
        <f>SUBTOTAL(9,$T16:AE16)</f>
        <v>0</v>
      </c>
      <c r="AF61" s="17">
        <f>SUBTOTAL(9,$T16:AF16)</f>
        <v>0</v>
      </c>
      <c r="AG61" s="17">
        <f>SUBTOTAL(9,$T16:AG16)</f>
        <v>0</v>
      </c>
      <c r="AH61" s="17">
        <f>SUBTOTAL(9,$T16:AH16)</f>
        <v>0</v>
      </c>
      <c r="AI61" s="17">
        <f>SUBTOTAL(9,$T16:AI16)</f>
        <v>0</v>
      </c>
      <c r="AJ61" s="17">
        <f>SUBTOTAL(9,$T16:AJ16)</f>
        <v>0</v>
      </c>
    </row>
    <row r="62" spans="1:36" x14ac:dyDescent="0.25">
      <c r="A62" s="13" t="s">
        <v>175</v>
      </c>
      <c r="B62" s="12" t="s">
        <v>176</v>
      </c>
      <c r="C62" s="17">
        <f>SUBTOTAL(9,$C17:C17)</f>
        <v>0</v>
      </c>
      <c r="D62" s="17">
        <f>SUBTOTAL(9,$C17:D17)</f>
        <v>0</v>
      </c>
      <c r="E62" s="17">
        <f>SUBTOTAL(9,$C17:E17)</f>
        <v>0</v>
      </c>
      <c r="F62" s="17">
        <f>SUBTOTAL(9,$C17:F17)</f>
        <v>0</v>
      </c>
      <c r="G62" s="17">
        <f>SUBTOTAL(9,$C17:G17)</f>
        <v>0</v>
      </c>
      <c r="H62" s="17">
        <f>SUBTOTAL(9,$C17:H17)</f>
        <v>0</v>
      </c>
      <c r="I62" s="17">
        <f>SUBTOTAL(9,$C17:I17)</f>
        <v>0</v>
      </c>
      <c r="J62" s="17">
        <f>SUBTOTAL(9,$C17:J17)</f>
        <v>0</v>
      </c>
      <c r="K62" s="17">
        <f>SUBTOTAL(9,$C17:K17)</f>
        <v>0</v>
      </c>
      <c r="L62" s="17">
        <f>SUBTOTAL(9,$C17:L17)</f>
        <v>0</v>
      </c>
      <c r="M62" s="17">
        <f>SUBTOTAL(9,$C17:M17)</f>
        <v>0</v>
      </c>
      <c r="N62" s="17">
        <f>SUBTOTAL(9,$C17:N17)</f>
        <v>0</v>
      </c>
      <c r="O62" s="17">
        <f>SUBTOTAL(9,$C17:O17)</f>
        <v>0</v>
      </c>
      <c r="P62" s="17">
        <f>SUBTOTAL(9,$C17:P17)</f>
        <v>0</v>
      </c>
      <c r="Q62" s="17">
        <f>SUBTOTAL(9,$C17:Q17)</f>
        <v>0</v>
      </c>
      <c r="R62" s="17">
        <f>SUBTOTAL(9,$C17:R17)</f>
        <v>0</v>
      </c>
      <c r="S62" s="17">
        <f>SUBTOTAL(9,$C17:S17)</f>
        <v>0</v>
      </c>
      <c r="T62" s="17">
        <f>SUBTOTAL(9,$T17:T17)</f>
        <v>0</v>
      </c>
      <c r="U62" s="17">
        <f>SUBTOTAL(9,$T17:U17)</f>
        <v>0</v>
      </c>
      <c r="V62" s="17">
        <f>SUBTOTAL(9,$T17:V17)</f>
        <v>0</v>
      </c>
      <c r="W62" s="17">
        <f>SUBTOTAL(9,$T17:W17)</f>
        <v>0</v>
      </c>
      <c r="X62" s="17">
        <f>SUBTOTAL(9,$T17:X17)</f>
        <v>0</v>
      </c>
      <c r="Y62" s="17">
        <f>SUBTOTAL(9,$T17:Y17)</f>
        <v>0</v>
      </c>
      <c r="Z62" s="17">
        <f>SUBTOTAL(9,$T17:Z17)</f>
        <v>0</v>
      </c>
      <c r="AA62" s="17">
        <f>SUBTOTAL(9,$T17:AA17)</f>
        <v>0</v>
      </c>
      <c r="AB62" s="17">
        <f>SUBTOTAL(9,$T17:AB17)</f>
        <v>0</v>
      </c>
      <c r="AC62" s="17">
        <f>SUBTOTAL(9,$T17:AC17)</f>
        <v>0</v>
      </c>
      <c r="AD62" s="17">
        <f>SUBTOTAL(9,$T17:AD17)</f>
        <v>0</v>
      </c>
      <c r="AE62" s="17">
        <f>SUBTOTAL(9,$T17:AE17)</f>
        <v>0</v>
      </c>
      <c r="AF62" s="17">
        <f>SUBTOTAL(9,$T17:AF17)</f>
        <v>0</v>
      </c>
      <c r="AG62" s="17">
        <f>SUBTOTAL(9,$T17:AG17)</f>
        <v>0</v>
      </c>
      <c r="AH62" s="17">
        <f>SUBTOTAL(9,$T17:AH17)</f>
        <v>0</v>
      </c>
      <c r="AI62" s="17">
        <f>SUBTOTAL(9,$T17:AI17)</f>
        <v>0</v>
      </c>
      <c r="AJ62" s="17">
        <f>SUBTOTAL(9,$T17:AJ17)</f>
        <v>0</v>
      </c>
    </row>
    <row r="63" spans="1:36" x14ac:dyDescent="0.25">
      <c r="A63" s="13" t="s">
        <v>177</v>
      </c>
      <c r="B63" s="12" t="s">
        <v>178</v>
      </c>
      <c r="C63" s="17">
        <f>SUBTOTAL(9,$C18:C18)</f>
        <v>0</v>
      </c>
      <c r="D63" s="17">
        <f>SUBTOTAL(9,$C18:D18)</f>
        <v>0</v>
      </c>
      <c r="E63" s="17">
        <f>SUBTOTAL(9,$C18:E18)</f>
        <v>0</v>
      </c>
      <c r="F63" s="17">
        <f>SUBTOTAL(9,$C18:F18)</f>
        <v>0</v>
      </c>
      <c r="G63" s="17">
        <f>SUBTOTAL(9,$C18:G18)</f>
        <v>0</v>
      </c>
      <c r="H63" s="17">
        <f>SUBTOTAL(9,$C18:H18)</f>
        <v>0</v>
      </c>
      <c r="I63" s="17">
        <f>SUBTOTAL(9,$C18:I18)</f>
        <v>0</v>
      </c>
      <c r="J63" s="17">
        <f>SUBTOTAL(9,$C18:J18)</f>
        <v>0</v>
      </c>
      <c r="K63" s="17">
        <f>SUBTOTAL(9,$C18:K18)</f>
        <v>0</v>
      </c>
      <c r="L63" s="17">
        <f>SUBTOTAL(9,$C18:L18)</f>
        <v>0</v>
      </c>
      <c r="M63" s="17">
        <f>SUBTOTAL(9,$C18:M18)</f>
        <v>0</v>
      </c>
      <c r="N63" s="17">
        <f>SUBTOTAL(9,$C18:N18)</f>
        <v>0</v>
      </c>
      <c r="O63" s="17">
        <f>SUBTOTAL(9,$C18:O18)</f>
        <v>0</v>
      </c>
      <c r="P63" s="17">
        <f>SUBTOTAL(9,$C18:P18)</f>
        <v>0</v>
      </c>
      <c r="Q63" s="17">
        <f>SUBTOTAL(9,$C18:Q18)</f>
        <v>0</v>
      </c>
      <c r="R63" s="17">
        <f>SUBTOTAL(9,$C18:R18)</f>
        <v>0</v>
      </c>
      <c r="S63" s="17">
        <f>SUBTOTAL(9,$C18:S18)</f>
        <v>0</v>
      </c>
      <c r="T63" s="17">
        <f>SUBTOTAL(9,$T18:T18)</f>
        <v>0</v>
      </c>
      <c r="U63" s="17">
        <f>SUBTOTAL(9,$T18:U18)</f>
        <v>0</v>
      </c>
      <c r="V63" s="17">
        <f>SUBTOTAL(9,$T18:V18)</f>
        <v>0</v>
      </c>
      <c r="W63" s="17">
        <f>SUBTOTAL(9,$T18:W18)</f>
        <v>0</v>
      </c>
      <c r="X63" s="17">
        <f>SUBTOTAL(9,$T18:X18)</f>
        <v>0</v>
      </c>
      <c r="Y63" s="17">
        <f>SUBTOTAL(9,$T18:Y18)</f>
        <v>0</v>
      </c>
      <c r="Z63" s="17">
        <f>SUBTOTAL(9,$T18:Z18)</f>
        <v>0</v>
      </c>
      <c r="AA63" s="17">
        <f>SUBTOTAL(9,$T18:AA18)</f>
        <v>0</v>
      </c>
      <c r="AB63" s="17">
        <f>SUBTOTAL(9,$T18:AB18)</f>
        <v>0</v>
      </c>
      <c r="AC63" s="17">
        <f>SUBTOTAL(9,$T18:AC18)</f>
        <v>0</v>
      </c>
      <c r="AD63" s="17">
        <f>SUBTOTAL(9,$T18:AD18)</f>
        <v>0</v>
      </c>
      <c r="AE63" s="17">
        <f>SUBTOTAL(9,$T18:AE18)</f>
        <v>0</v>
      </c>
      <c r="AF63" s="17">
        <f>SUBTOTAL(9,$T18:AF18)</f>
        <v>0</v>
      </c>
      <c r="AG63" s="17">
        <f>SUBTOTAL(9,$T18:AG18)</f>
        <v>0</v>
      </c>
      <c r="AH63" s="17">
        <f>SUBTOTAL(9,$T18:AH18)</f>
        <v>0</v>
      </c>
      <c r="AI63" s="17">
        <f>SUBTOTAL(9,$T18:AI18)</f>
        <v>0</v>
      </c>
      <c r="AJ63" s="17">
        <f>SUBTOTAL(9,$T18:AJ18)</f>
        <v>0</v>
      </c>
    </row>
    <row r="64" spans="1:36" x14ac:dyDescent="0.25">
      <c r="A64" s="13" t="s">
        <v>179</v>
      </c>
      <c r="B64" s="12" t="s">
        <v>180</v>
      </c>
      <c r="C64" s="17">
        <f>SUBTOTAL(9,$C19:C19)</f>
        <v>0</v>
      </c>
      <c r="D64" s="17">
        <f>SUBTOTAL(9,$C19:D19)</f>
        <v>0</v>
      </c>
      <c r="E64" s="17">
        <f>SUBTOTAL(9,$C19:E19)</f>
        <v>1</v>
      </c>
      <c r="F64" s="17">
        <f>SUBTOTAL(9,$C19:F19)</f>
        <v>1</v>
      </c>
      <c r="G64" s="17">
        <f>SUBTOTAL(9,$C19:G19)</f>
        <v>1</v>
      </c>
      <c r="H64" s="17">
        <f>SUBTOTAL(9,$C19:H19)</f>
        <v>2</v>
      </c>
      <c r="I64" s="17">
        <f>SUBTOTAL(9,$C19:I19)</f>
        <v>4</v>
      </c>
      <c r="J64" s="17">
        <f>SUBTOTAL(9,$C19:J19)</f>
        <v>4</v>
      </c>
      <c r="K64" s="17">
        <f>SUBTOTAL(9,$C19:K19)</f>
        <v>4</v>
      </c>
      <c r="L64" s="17">
        <f>SUBTOTAL(9,$C19:L19)</f>
        <v>5</v>
      </c>
      <c r="M64" s="17">
        <f>SUBTOTAL(9,$C19:M19)</f>
        <v>6</v>
      </c>
      <c r="N64" s="17">
        <f>SUBTOTAL(9,$C19:N19)</f>
        <v>6</v>
      </c>
      <c r="O64" s="17">
        <f>SUBTOTAL(9,$C19:O19)</f>
        <v>7</v>
      </c>
      <c r="P64" s="17">
        <f>SUBTOTAL(9,$C19:P19)</f>
        <v>7</v>
      </c>
      <c r="Q64" s="17">
        <f>SUBTOTAL(9,$C19:Q19)</f>
        <v>7</v>
      </c>
      <c r="R64" s="17">
        <f>SUBTOTAL(9,$C19:R19)</f>
        <v>7</v>
      </c>
      <c r="S64" s="17">
        <f>SUBTOTAL(9,$C19:S19)</f>
        <v>7</v>
      </c>
      <c r="T64" s="17">
        <f>SUBTOTAL(9,$T19:T19)</f>
        <v>0</v>
      </c>
      <c r="U64" s="17">
        <f>SUBTOTAL(9,$T19:U19)</f>
        <v>0</v>
      </c>
      <c r="V64" s="17">
        <f>SUBTOTAL(9,$T19:V19)</f>
        <v>0</v>
      </c>
      <c r="W64" s="17">
        <f>SUBTOTAL(9,$T19:W19)</f>
        <v>0</v>
      </c>
      <c r="X64" s="17">
        <f>SUBTOTAL(9,$T19:X19)</f>
        <v>0</v>
      </c>
      <c r="Y64" s="17">
        <f>SUBTOTAL(9,$T19:Y19)</f>
        <v>0</v>
      </c>
      <c r="Z64" s="17">
        <f>SUBTOTAL(9,$T19:Z19)</f>
        <v>0</v>
      </c>
      <c r="AA64" s="17">
        <f>SUBTOTAL(9,$T19:AA19)</f>
        <v>0</v>
      </c>
      <c r="AB64" s="17">
        <f>SUBTOTAL(9,$T19:AB19)</f>
        <v>0</v>
      </c>
      <c r="AC64" s="17">
        <f>SUBTOTAL(9,$T19:AC19)</f>
        <v>0</v>
      </c>
      <c r="AD64" s="17">
        <f>SUBTOTAL(9,$T19:AD19)</f>
        <v>2</v>
      </c>
      <c r="AE64" s="17">
        <f>SUBTOTAL(9,$T19:AE19)</f>
        <v>2</v>
      </c>
      <c r="AF64" s="17">
        <f>SUBTOTAL(9,$T19:AF19)</f>
        <v>2</v>
      </c>
      <c r="AG64" s="17">
        <f>SUBTOTAL(9,$T19:AG19)</f>
        <v>3</v>
      </c>
      <c r="AH64" s="17">
        <f>SUBTOTAL(9,$T19:AH19)</f>
        <v>4</v>
      </c>
      <c r="AI64" s="17">
        <f>SUBTOTAL(9,$T19:AI19)</f>
        <v>4</v>
      </c>
      <c r="AJ64" s="17">
        <f>SUBTOTAL(9,$T19:AJ19)</f>
        <v>4</v>
      </c>
    </row>
    <row r="65" spans="1:36" x14ac:dyDescent="0.25">
      <c r="A65" s="13" t="s">
        <v>181</v>
      </c>
      <c r="B65" s="12" t="s">
        <v>182</v>
      </c>
      <c r="C65" s="17">
        <f>SUBTOTAL(9,$C20:C20)</f>
        <v>0</v>
      </c>
      <c r="D65" s="17">
        <f>SUBTOTAL(9,$C20:D20)</f>
        <v>0</v>
      </c>
      <c r="E65" s="17">
        <f>SUBTOTAL(9,$C20:E20)</f>
        <v>0</v>
      </c>
      <c r="F65" s="17">
        <f>SUBTOTAL(9,$C20:F20)</f>
        <v>0</v>
      </c>
      <c r="G65" s="17">
        <f>SUBTOTAL(9,$C20:G20)</f>
        <v>0</v>
      </c>
      <c r="H65" s="17">
        <f>SUBTOTAL(9,$C20:H20)</f>
        <v>0</v>
      </c>
      <c r="I65" s="17">
        <f>SUBTOTAL(9,$C20:I20)</f>
        <v>0</v>
      </c>
      <c r="J65" s="17">
        <f>SUBTOTAL(9,$C20:J20)</f>
        <v>0</v>
      </c>
      <c r="K65" s="17">
        <f>SUBTOTAL(9,$C20:K20)</f>
        <v>0</v>
      </c>
      <c r="L65" s="17">
        <f>SUBTOTAL(9,$C20:L20)</f>
        <v>0</v>
      </c>
      <c r="M65" s="17">
        <f>SUBTOTAL(9,$C20:M20)</f>
        <v>0</v>
      </c>
      <c r="N65" s="17">
        <f>SUBTOTAL(9,$C20:N20)</f>
        <v>0</v>
      </c>
      <c r="O65" s="17">
        <f>SUBTOTAL(9,$C20:O20)</f>
        <v>0</v>
      </c>
      <c r="P65" s="17">
        <f>SUBTOTAL(9,$C20:P20)</f>
        <v>0</v>
      </c>
      <c r="Q65" s="17">
        <f>SUBTOTAL(9,$C20:Q20)</f>
        <v>0</v>
      </c>
      <c r="R65" s="17">
        <f>SUBTOTAL(9,$C20:R20)</f>
        <v>0</v>
      </c>
      <c r="S65" s="17">
        <f>SUBTOTAL(9,$C20:S20)</f>
        <v>0</v>
      </c>
      <c r="T65" s="17">
        <f>SUBTOTAL(9,$T20:T20)</f>
        <v>0</v>
      </c>
      <c r="U65" s="17">
        <f>SUBTOTAL(9,$T20:U20)</f>
        <v>0</v>
      </c>
      <c r="V65" s="17">
        <f>SUBTOTAL(9,$T20:V20)</f>
        <v>0</v>
      </c>
      <c r="W65" s="17">
        <f>SUBTOTAL(9,$T20:W20)</f>
        <v>0</v>
      </c>
      <c r="X65" s="17">
        <f>SUBTOTAL(9,$T20:X20)</f>
        <v>0</v>
      </c>
      <c r="Y65" s="17">
        <f>SUBTOTAL(9,$T20:Y20)</f>
        <v>0</v>
      </c>
      <c r="Z65" s="17">
        <f>SUBTOTAL(9,$T20:Z20)</f>
        <v>1</v>
      </c>
      <c r="AA65" s="17">
        <f>SUBTOTAL(9,$T20:AA20)</f>
        <v>1</v>
      </c>
      <c r="AB65" s="17">
        <f>SUBTOTAL(9,$T20:AB20)</f>
        <v>1</v>
      </c>
      <c r="AC65" s="17">
        <f>SUBTOTAL(9,$T20:AC20)</f>
        <v>2</v>
      </c>
      <c r="AD65" s="17">
        <f>SUBTOTAL(9,$T20:AD20)</f>
        <v>3</v>
      </c>
      <c r="AE65" s="17">
        <f>SUBTOTAL(9,$T20:AE20)</f>
        <v>3</v>
      </c>
      <c r="AF65" s="17">
        <f>SUBTOTAL(9,$T20:AF20)</f>
        <v>3</v>
      </c>
      <c r="AG65" s="17">
        <f>SUBTOTAL(9,$T20:AG20)</f>
        <v>3</v>
      </c>
      <c r="AH65" s="17">
        <f>SUBTOTAL(9,$T20:AH20)</f>
        <v>4</v>
      </c>
      <c r="AI65" s="17">
        <f>SUBTOTAL(9,$T20:AI20)</f>
        <v>4</v>
      </c>
      <c r="AJ65" s="17">
        <f>SUBTOTAL(9,$T20:AJ20)</f>
        <v>4</v>
      </c>
    </row>
    <row r="66" spans="1:36" x14ac:dyDescent="0.25">
      <c r="A66" s="13" t="s">
        <v>183</v>
      </c>
      <c r="B66" s="12" t="s">
        <v>184</v>
      </c>
      <c r="C66" s="17">
        <f>SUBTOTAL(9,$C21:C21)</f>
        <v>0</v>
      </c>
      <c r="D66" s="17">
        <f>SUBTOTAL(9,$C21:D21)</f>
        <v>0</v>
      </c>
      <c r="E66" s="17">
        <f>SUBTOTAL(9,$C21:E21)</f>
        <v>0</v>
      </c>
      <c r="F66" s="17">
        <f>SUBTOTAL(9,$C21:F21)</f>
        <v>0</v>
      </c>
      <c r="G66" s="17">
        <f>SUBTOTAL(9,$C21:G21)</f>
        <v>0</v>
      </c>
      <c r="H66" s="17">
        <f>SUBTOTAL(9,$C21:H21)</f>
        <v>0</v>
      </c>
      <c r="I66" s="17">
        <f>SUBTOTAL(9,$C21:I21)</f>
        <v>0</v>
      </c>
      <c r="J66" s="17">
        <f>SUBTOTAL(9,$C21:J21)</f>
        <v>0</v>
      </c>
      <c r="K66" s="17">
        <f>SUBTOTAL(9,$C21:K21)</f>
        <v>0</v>
      </c>
      <c r="L66" s="17">
        <f>SUBTOTAL(9,$C21:L21)</f>
        <v>0</v>
      </c>
      <c r="M66" s="17">
        <f>SUBTOTAL(9,$C21:M21)</f>
        <v>0</v>
      </c>
      <c r="N66" s="17">
        <f>SUBTOTAL(9,$C21:N21)</f>
        <v>0</v>
      </c>
      <c r="O66" s="17">
        <f>SUBTOTAL(9,$C21:O21)</f>
        <v>0</v>
      </c>
      <c r="P66" s="17">
        <f>SUBTOTAL(9,$C21:P21)</f>
        <v>0</v>
      </c>
      <c r="Q66" s="17">
        <f>SUBTOTAL(9,$C21:Q21)</f>
        <v>0</v>
      </c>
      <c r="R66" s="17">
        <f>SUBTOTAL(9,$C21:R21)</f>
        <v>0</v>
      </c>
      <c r="S66" s="17">
        <f>SUBTOTAL(9,$C21:S21)</f>
        <v>0</v>
      </c>
      <c r="T66" s="17">
        <f>SUBTOTAL(9,$T21:T21)</f>
        <v>0</v>
      </c>
      <c r="U66" s="17">
        <f>SUBTOTAL(9,$T21:U21)</f>
        <v>0</v>
      </c>
      <c r="V66" s="17">
        <f>SUBTOTAL(9,$T21:V21)</f>
        <v>0</v>
      </c>
      <c r="W66" s="17">
        <f>SUBTOTAL(9,$T21:W21)</f>
        <v>0</v>
      </c>
      <c r="X66" s="17">
        <f>SUBTOTAL(9,$T21:X21)</f>
        <v>0</v>
      </c>
      <c r="Y66" s="17">
        <f>SUBTOTAL(9,$T21:Y21)</f>
        <v>0</v>
      </c>
      <c r="Z66" s="17">
        <f>SUBTOTAL(9,$T21:Z21)</f>
        <v>0</v>
      </c>
      <c r="AA66" s="17">
        <f>SUBTOTAL(9,$T21:AA21)</f>
        <v>0</v>
      </c>
      <c r="AB66" s="17">
        <f>SUBTOTAL(9,$T21:AB21)</f>
        <v>0</v>
      </c>
      <c r="AC66" s="17">
        <f>SUBTOTAL(9,$T21:AC21)</f>
        <v>0</v>
      </c>
      <c r="AD66" s="17">
        <f>SUBTOTAL(9,$T21:AD21)</f>
        <v>0</v>
      </c>
      <c r="AE66" s="17">
        <f>SUBTOTAL(9,$T21:AE21)</f>
        <v>0</v>
      </c>
      <c r="AF66" s="17">
        <f>SUBTOTAL(9,$T21:AF21)</f>
        <v>0</v>
      </c>
      <c r="AG66" s="17">
        <f>SUBTOTAL(9,$T21:AG21)</f>
        <v>0</v>
      </c>
      <c r="AH66" s="17">
        <f>SUBTOTAL(9,$T21:AH21)</f>
        <v>0</v>
      </c>
      <c r="AI66" s="17">
        <f>SUBTOTAL(9,$T21:AI21)</f>
        <v>0</v>
      </c>
      <c r="AJ66" s="17">
        <f>SUBTOTAL(9,$T21:AJ21)</f>
        <v>0</v>
      </c>
    </row>
    <row r="67" spans="1:36" x14ac:dyDescent="0.25">
      <c r="A67" s="13" t="s">
        <v>185</v>
      </c>
      <c r="B67" s="12" t="s">
        <v>186</v>
      </c>
      <c r="C67" s="17">
        <f>SUBTOTAL(9,$C22:C22)</f>
        <v>0</v>
      </c>
      <c r="D67" s="17">
        <f>SUBTOTAL(9,$C22:D22)</f>
        <v>0</v>
      </c>
      <c r="E67" s="17">
        <f>SUBTOTAL(9,$C22:E22)</f>
        <v>0</v>
      </c>
      <c r="F67" s="17">
        <f>SUBTOTAL(9,$C22:F22)</f>
        <v>0</v>
      </c>
      <c r="G67" s="17">
        <f>SUBTOTAL(9,$C22:G22)</f>
        <v>0</v>
      </c>
      <c r="H67" s="17">
        <f>SUBTOTAL(9,$C22:H22)</f>
        <v>0</v>
      </c>
      <c r="I67" s="17">
        <f>SUBTOTAL(9,$C22:I22)</f>
        <v>0</v>
      </c>
      <c r="J67" s="17">
        <f>SUBTOTAL(9,$C22:J22)</f>
        <v>0</v>
      </c>
      <c r="K67" s="17">
        <f>SUBTOTAL(9,$C22:K22)</f>
        <v>0</v>
      </c>
      <c r="L67" s="17">
        <f>SUBTOTAL(9,$C22:L22)</f>
        <v>0</v>
      </c>
      <c r="M67" s="17">
        <f>SUBTOTAL(9,$C22:M22)</f>
        <v>0</v>
      </c>
      <c r="N67" s="17">
        <f>SUBTOTAL(9,$C22:N22)</f>
        <v>0</v>
      </c>
      <c r="O67" s="17">
        <f>SUBTOTAL(9,$C22:O22)</f>
        <v>0</v>
      </c>
      <c r="P67" s="17">
        <f>SUBTOTAL(9,$C22:P22)</f>
        <v>0</v>
      </c>
      <c r="Q67" s="17">
        <f>SUBTOTAL(9,$C22:Q22)</f>
        <v>0</v>
      </c>
      <c r="R67" s="17">
        <f>SUBTOTAL(9,$C22:R22)</f>
        <v>0</v>
      </c>
      <c r="S67" s="17">
        <f>SUBTOTAL(9,$C22:S22)</f>
        <v>0</v>
      </c>
      <c r="T67" s="17">
        <f>SUBTOTAL(9,$T22:T22)</f>
        <v>0</v>
      </c>
      <c r="U67" s="17">
        <f>SUBTOTAL(9,$T22:U22)</f>
        <v>0</v>
      </c>
      <c r="V67" s="17">
        <f>SUBTOTAL(9,$T22:V22)</f>
        <v>0</v>
      </c>
      <c r="W67" s="17">
        <f>SUBTOTAL(9,$T22:W22)</f>
        <v>0</v>
      </c>
      <c r="X67" s="17">
        <f>SUBTOTAL(9,$T22:X22)</f>
        <v>0</v>
      </c>
      <c r="Y67" s="17">
        <f>SUBTOTAL(9,$T22:Y22)</f>
        <v>0</v>
      </c>
      <c r="Z67" s="17">
        <f>SUBTOTAL(9,$T22:Z22)</f>
        <v>0</v>
      </c>
      <c r="AA67" s="17">
        <f>SUBTOTAL(9,$T22:AA22)</f>
        <v>0</v>
      </c>
      <c r="AB67" s="17">
        <f>SUBTOTAL(9,$T22:AB22)</f>
        <v>0</v>
      </c>
      <c r="AC67" s="17">
        <f>SUBTOTAL(9,$T22:AC22)</f>
        <v>0</v>
      </c>
      <c r="AD67" s="17">
        <f>SUBTOTAL(9,$T22:AD22)</f>
        <v>0</v>
      </c>
      <c r="AE67" s="17">
        <f>SUBTOTAL(9,$T22:AE22)</f>
        <v>0</v>
      </c>
      <c r="AF67" s="17">
        <f>SUBTOTAL(9,$T22:AF22)</f>
        <v>0</v>
      </c>
      <c r="AG67" s="17">
        <f>SUBTOTAL(9,$T22:AG22)</f>
        <v>0</v>
      </c>
      <c r="AH67" s="17">
        <f>SUBTOTAL(9,$T22:AH22)</f>
        <v>0</v>
      </c>
      <c r="AI67" s="17">
        <f>SUBTOTAL(9,$T22:AI22)</f>
        <v>0</v>
      </c>
      <c r="AJ67" s="17">
        <f>SUBTOTAL(9,$T22:AJ22)</f>
        <v>0</v>
      </c>
    </row>
    <row r="68" spans="1:36" x14ac:dyDescent="0.25">
      <c r="A68" s="13" t="s">
        <v>187</v>
      </c>
      <c r="B68" s="12" t="s">
        <v>188</v>
      </c>
      <c r="C68" s="17">
        <f>SUBTOTAL(9,$C23:C23)</f>
        <v>1</v>
      </c>
      <c r="D68" s="17">
        <f>SUBTOTAL(9,$C23:D23)</f>
        <v>1</v>
      </c>
      <c r="E68" s="17">
        <f>SUBTOTAL(9,$C23:E23)</f>
        <v>1</v>
      </c>
      <c r="F68" s="17">
        <f>SUBTOTAL(9,$C23:F23)</f>
        <v>1</v>
      </c>
      <c r="G68" s="17">
        <f>SUBTOTAL(9,$C23:G23)</f>
        <v>1</v>
      </c>
      <c r="H68" s="17">
        <f>SUBTOTAL(9,$C23:H23)</f>
        <v>1</v>
      </c>
      <c r="I68" s="17">
        <f>SUBTOTAL(9,$C23:I23)</f>
        <v>1</v>
      </c>
      <c r="J68" s="17">
        <f>SUBTOTAL(9,$C23:J23)</f>
        <v>1</v>
      </c>
      <c r="K68" s="17">
        <f>SUBTOTAL(9,$C23:K23)</f>
        <v>1</v>
      </c>
      <c r="L68" s="17">
        <f>SUBTOTAL(9,$C23:L23)</f>
        <v>1</v>
      </c>
      <c r="M68" s="17">
        <f>SUBTOTAL(9,$C23:M23)</f>
        <v>1</v>
      </c>
      <c r="N68" s="17">
        <f>SUBTOTAL(9,$C23:N23)</f>
        <v>1</v>
      </c>
      <c r="O68" s="17">
        <f>SUBTOTAL(9,$C23:O23)</f>
        <v>1</v>
      </c>
      <c r="P68" s="17">
        <f>SUBTOTAL(9,$C23:P23)</f>
        <v>1</v>
      </c>
      <c r="Q68" s="17">
        <f>SUBTOTAL(9,$C23:Q23)</f>
        <v>1</v>
      </c>
      <c r="R68" s="17">
        <f>SUBTOTAL(9,$C23:R23)</f>
        <v>1</v>
      </c>
      <c r="S68" s="17">
        <f>SUBTOTAL(9,$C23:S23)</f>
        <v>1</v>
      </c>
      <c r="T68" s="17">
        <f>SUBTOTAL(9,$T23:T23)</f>
        <v>0</v>
      </c>
      <c r="U68" s="17">
        <f>SUBTOTAL(9,$T23:U23)</f>
        <v>0</v>
      </c>
      <c r="V68" s="17">
        <f>SUBTOTAL(9,$T23:V23)</f>
        <v>0</v>
      </c>
      <c r="W68" s="17">
        <f>SUBTOTAL(9,$T23:W23)</f>
        <v>0</v>
      </c>
      <c r="X68" s="17">
        <f>SUBTOTAL(9,$T23:X23)</f>
        <v>0</v>
      </c>
      <c r="Y68" s="17">
        <f>SUBTOTAL(9,$T23:Y23)</f>
        <v>0</v>
      </c>
      <c r="Z68" s="17">
        <f>SUBTOTAL(9,$T23:Z23)</f>
        <v>0</v>
      </c>
      <c r="AA68" s="17">
        <f>SUBTOTAL(9,$T23:AA23)</f>
        <v>0</v>
      </c>
      <c r="AB68" s="17">
        <f>SUBTOTAL(9,$T23:AB23)</f>
        <v>0</v>
      </c>
      <c r="AC68" s="17">
        <f>SUBTOTAL(9,$T23:AC23)</f>
        <v>0</v>
      </c>
      <c r="AD68" s="17">
        <f>SUBTOTAL(9,$T23:AD23)</f>
        <v>0</v>
      </c>
      <c r="AE68" s="17">
        <f>SUBTOTAL(9,$T23:AE23)</f>
        <v>0</v>
      </c>
      <c r="AF68" s="17">
        <f>SUBTOTAL(9,$T23:AF23)</f>
        <v>0</v>
      </c>
      <c r="AG68" s="17">
        <f>SUBTOTAL(9,$T23:AG23)</f>
        <v>0</v>
      </c>
      <c r="AH68" s="17">
        <f>SUBTOTAL(9,$T23:AH23)</f>
        <v>0</v>
      </c>
      <c r="AI68" s="17">
        <f>SUBTOTAL(9,$T23:AI23)</f>
        <v>0</v>
      </c>
      <c r="AJ68" s="17">
        <f>SUBTOTAL(9,$T23:AJ23)</f>
        <v>0</v>
      </c>
    </row>
    <row r="69" spans="1:36" x14ac:dyDescent="0.25">
      <c r="A69" s="13" t="s">
        <v>189</v>
      </c>
      <c r="B69" s="12" t="s">
        <v>190</v>
      </c>
      <c r="C69" s="17">
        <f>SUBTOTAL(9,$C24:C24)</f>
        <v>1</v>
      </c>
      <c r="D69" s="17">
        <f>SUBTOTAL(9,$C24:D24)</f>
        <v>2</v>
      </c>
      <c r="E69" s="17">
        <f>SUBTOTAL(9,$C24:E24)</f>
        <v>2</v>
      </c>
      <c r="F69" s="17">
        <f>SUBTOTAL(9,$C24:F24)</f>
        <v>2</v>
      </c>
      <c r="G69" s="17">
        <f>SUBTOTAL(9,$C24:G24)</f>
        <v>3</v>
      </c>
      <c r="H69" s="17">
        <f>SUBTOTAL(9,$C24:H24)</f>
        <v>3</v>
      </c>
      <c r="I69" s="17">
        <f>SUBTOTAL(9,$C24:I24)</f>
        <v>3</v>
      </c>
      <c r="J69" s="17">
        <f>SUBTOTAL(9,$C24:J24)</f>
        <v>3</v>
      </c>
      <c r="K69" s="17">
        <f>SUBTOTAL(9,$C24:K24)</f>
        <v>3</v>
      </c>
      <c r="L69" s="17">
        <f>SUBTOTAL(9,$C24:L24)</f>
        <v>3</v>
      </c>
      <c r="M69" s="17">
        <f>SUBTOTAL(9,$C24:M24)</f>
        <v>6</v>
      </c>
      <c r="N69" s="17">
        <f>SUBTOTAL(9,$C24:N24)</f>
        <v>6</v>
      </c>
      <c r="O69" s="17">
        <f>SUBTOTAL(9,$C24:O24)</f>
        <v>7</v>
      </c>
      <c r="P69" s="17">
        <f>SUBTOTAL(9,$C24:P24)</f>
        <v>10</v>
      </c>
      <c r="Q69" s="17">
        <f>SUBTOTAL(9,$C24:Q24)</f>
        <v>10</v>
      </c>
      <c r="R69" s="17">
        <f>SUBTOTAL(9,$C24:R24)</f>
        <v>10</v>
      </c>
      <c r="S69" s="17">
        <f>SUBTOTAL(9,$C24:S24)</f>
        <v>10</v>
      </c>
      <c r="T69" s="17">
        <f>SUBTOTAL(9,$T24:T24)</f>
        <v>1</v>
      </c>
      <c r="U69" s="17">
        <f>SUBTOTAL(9,$T24:U24)</f>
        <v>2</v>
      </c>
      <c r="V69" s="17">
        <f>SUBTOTAL(9,$T24:V24)</f>
        <v>3</v>
      </c>
      <c r="W69" s="17">
        <f>SUBTOTAL(9,$T24:W24)</f>
        <v>3</v>
      </c>
      <c r="X69" s="17">
        <f>SUBTOTAL(9,$T24:X24)</f>
        <v>4</v>
      </c>
      <c r="Y69" s="17">
        <f>SUBTOTAL(9,$T24:Y24)</f>
        <v>6</v>
      </c>
      <c r="Z69" s="17">
        <f>SUBTOTAL(9,$T24:Z24)</f>
        <v>7</v>
      </c>
      <c r="AA69" s="17">
        <f>SUBTOTAL(9,$T24:AA24)</f>
        <v>7</v>
      </c>
      <c r="AB69" s="17">
        <f>SUBTOTAL(9,$T24:AB24)</f>
        <v>7</v>
      </c>
      <c r="AC69" s="17">
        <f>SUBTOTAL(9,$T24:AC24)</f>
        <v>8</v>
      </c>
      <c r="AD69" s="17">
        <f>SUBTOTAL(9,$T24:AD24)</f>
        <v>10</v>
      </c>
      <c r="AE69" s="17">
        <f>SUBTOTAL(9,$T24:AE24)</f>
        <v>10</v>
      </c>
      <c r="AF69" s="17">
        <f>SUBTOTAL(9,$T24:AF24)</f>
        <v>10</v>
      </c>
      <c r="AG69" s="17">
        <f>SUBTOTAL(9,$T24:AG24)</f>
        <v>11</v>
      </c>
      <c r="AH69" s="17">
        <f>SUBTOTAL(9,$T24:AH24)</f>
        <v>13</v>
      </c>
      <c r="AI69" s="17">
        <f>SUBTOTAL(9,$T24:AI24)</f>
        <v>13</v>
      </c>
      <c r="AJ69" s="17">
        <f>SUBTOTAL(9,$T24:AJ24)</f>
        <v>13</v>
      </c>
    </row>
    <row r="70" spans="1:36" x14ac:dyDescent="0.25">
      <c r="A70" s="13" t="s">
        <v>191</v>
      </c>
      <c r="B70" s="12" t="s">
        <v>192</v>
      </c>
      <c r="C70" s="17">
        <f>SUBTOTAL(9,$C25:C25)</f>
        <v>0</v>
      </c>
      <c r="D70" s="17">
        <f>SUBTOTAL(9,$C25:D25)</f>
        <v>0</v>
      </c>
      <c r="E70" s="17">
        <f>SUBTOTAL(9,$C25:E25)</f>
        <v>0</v>
      </c>
      <c r="F70" s="17">
        <f>SUBTOTAL(9,$C25:F25)</f>
        <v>0</v>
      </c>
      <c r="G70" s="17">
        <f>SUBTOTAL(9,$C25:G25)</f>
        <v>0</v>
      </c>
      <c r="H70" s="17">
        <f>SUBTOTAL(9,$C25:H25)</f>
        <v>0</v>
      </c>
      <c r="I70" s="17">
        <f>SUBTOTAL(9,$C25:I25)</f>
        <v>0</v>
      </c>
      <c r="J70" s="17">
        <f>SUBTOTAL(9,$C25:J25)</f>
        <v>0</v>
      </c>
      <c r="K70" s="17">
        <f>SUBTOTAL(9,$C25:K25)</f>
        <v>0</v>
      </c>
      <c r="L70" s="17">
        <f>SUBTOTAL(9,$C25:L25)</f>
        <v>0</v>
      </c>
      <c r="M70" s="17">
        <f>SUBTOTAL(9,$C25:M25)</f>
        <v>0</v>
      </c>
      <c r="N70" s="17">
        <f>SUBTOTAL(9,$C25:N25)</f>
        <v>0</v>
      </c>
      <c r="O70" s="17">
        <f>SUBTOTAL(9,$C25:O25)</f>
        <v>0</v>
      </c>
      <c r="P70" s="17">
        <f>SUBTOTAL(9,$C25:P25)</f>
        <v>0</v>
      </c>
      <c r="Q70" s="17">
        <f>SUBTOTAL(9,$C25:Q25)</f>
        <v>0</v>
      </c>
      <c r="R70" s="17">
        <f>SUBTOTAL(9,$C25:R25)</f>
        <v>0</v>
      </c>
      <c r="S70" s="17">
        <f>SUBTOTAL(9,$C25:S25)</f>
        <v>0</v>
      </c>
      <c r="T70" s="17">
        <f>SUBTOTAL(9,$T25:T25)</f>
        <v>0</v>
      </c>
      <c r="U70" s="17">
        <f>SUBTOTAL(9,$T25:U25)</f>
        <v>0</v>
      </c>
      <c r="V70" s="17">
        <f>SUBTOTAL(9,$T25:V25)</f>
        <v>0</v>
      </c>
      <c r="W70" s="17">
        <f>SUBTOTAL(9,$T25:W25)</f>
        <v>0</v>
      </c>
      <c r="X70" s="17">
        <f>SUBTOTAL(9,$T25:X25)</f>
        <v>0</v>
      </c>
      <c r="Y70" s="17">
        <f>SUBTOTAL(9,$T25:Y25)</f>
        <v>0</v>
      </c>
      <c r="Z70" s="17">
        <f>SUBTOTAL(9,$T25:Z25)</f>
        <v>0</v>
      </c>
      <c r="AA70" s="17">
        <f>SUBTOTAL(9,$T25:AA25)</f>
        <v>0</v>
      </c>
      <c r="AB70" s="17">
        <f>SUBTOTAL(9,$T25:AB25)</f>
        <v>0</v>
      </c>
      <c r="AC70" s="17">
        <f>SUBTOTAL(9,$T25:AC25)</f>
        <v>0</v>
      </c>
      <c r="AD70" s="17">
        <f>SUBTOTAL(9,$T25:AD25)</f>
        <v>0</v>
      </c>
      <c r="AE70" s="17">
        <f>SUBTOTAL(9,$T25:AE25)</f>
        <v>0</v>
      </c>
      <c r="AF70" s="17">
        <f>SUBTOTAL(9,$T25:AF25)</f>
        <v>0</v>
      </c>
      <c r="AG70" s="17">
        <f>SUBTOTAL(9,$T25:AG25)</f>
        <v>0</v>
      </c>
      <c r="AH70" s="17">
        <f>SUBTOTAL(9,$T25:AH25)</f>
        <v>0</v>
      </c>
      <c r="AI70" s="17">
        <f>SUBTOTAL(9,$T25:AI25)</f>
        <v>0</v>
      </c>
      <c r="AJ70" s="17">
        <f>SUBTOTAL(9,$T25:AJ25)</f>
        <v>0</v>
      </c>
    </row>
    <row r="71" spans="1:36" x14ac:dyDescent="0.25">
      <c r="A71" s="13" t="s">
        <v>193</v>
      </c>
      <c r="B71" s="12" t="s">
        <v>194</v>
      </c>
      <c r="C71" s="17">
        <f>SUBTOTAL(9,$C26:C26)</f>
        <v>0</v>
      </c>
      <c r="D71" s="17">
        <f>SUBTOTAL(9,$C26:D26)</f>
        <v>0</v>
      </c>
      <c r="E71" s="17">
        <f>SUBTOTAL(9,$C26:E26)</f>
        <v>0</v>
      </c>
      <c r="F71" s="17">
        <f>SUBTOTAL(9,$C26:F26)</f>
        <v>0</v>
      </c>
      <c r="G71" s="17">
        <f>SUBTOTAL(9,$C26:G26)</f>
        <v>0</v>
      </c>
      <c r="H71" s="17">
        <f>SUBTOTAL(9,$C26:H26)</f>
        <v>0</v>
      </c>
      <c r="I71" s="17">
        <f>SUBTOTAL(9,$C26:I26)</f>
        <v>0</v>
      </c>
      <c r="J71" s="17">
        <f>SUBTOTAL(9,$C26:J26)</f>
        <v>0</v>
      </c>
      <c r="K71" s="17">
        <f>SUBTOTAL(9,$C26:K26)</f>
        <v>0</v>
      </c>
      <c r="L71" s="17">
        <f>SUBTOTAL(9,$C26:L26)</f>
        <v>0</v>
      </c>
      <c r="M71" s="17">
        <f>SUBTOTAL(9,$C26:M26)</f>
        <v>0</v>
      </c>
      <c r="N71" s="17">
        <f>SUBTOTAL(9,$C26:N26)</f>
        <v>0</v>
      </c>
      <c r="O71" s="17">
        <f>SUBTOTAL(9,$C26:O26)</f>
        <v>0</v>
      </c>
      <c r="P71" s="17">
        <f>SUBTOTAL(9,$C26:P26)</f>
        <v>0</v>
      </c>
      <c r="Q71" s="17">
        <f>SUBTOTAL(9,$C26:Q26)</f>
        <v>0</v>
      </c>
      <c r="R71" s="17">
        <f>SUBTOTAL(9,$C26:R26)</f>
        <v>0</v>
      </c>
      <c r="S71" s="17">
        <f>SUBTOTAL(9,$C26:S26)</f>
        <v>0</v>
      </c>
      <c r="T71" s="17">
        <f>SUBTOTAL(9,$T26:T26)</f>
        <v>0</v>
      </c>
      <c r="U71" s="17">
        <f>SUBTOTAL(9,$T26:U26)</f>
        <v>0</v>
      </c>
      <c r="V71" s="17">
        <f>SUBTOTAL(9,$T26:V26)</f>
        <v>0</v>
      </c>
      <c r="W71" s="17">
        <f>SUBTOTAL(9,$T26:W26)</f>
        <v>0</v>
      </c>
      <c r="X71" s="17">
        <f>SUBTOTAL(9,$T26:X26)</f>
        <v>0</v>
      </c>
      <c r="Y71" s="17">
        <f>SUBTOTAL(9,$T26:Y26)</f>
        <v>0</v>
      </c>
      <c r="Z71" s="17">
        <f>SUBTOTAL(9,$T26:Z26)</f>
        <v>0</v>
      </c>
      <c r="AA71" s="17">
        <f>SUBTOTAL(9,$T26:AA26)</f>
        <v>0</v>
      </c>
      <c r="AB71" s="17">
        <f>SUBTOTAL(9,$T26:AB26)</f>
        <v>0</v>
      </c>
      <c r="AC71" s="17">
        <f>SUBTOTAL(9,$T26:AC26)</f>
        <v>0</v>
      </c>
      <c r="AD71" s="17">
        <f>SUBTOTAL(9,$T26:AD26)</f>
        <v>0</v>
      </c>
      <c r="AE71" s="17">
        <f>SUBTOTAL(9,$T26:AE26)</f>
        <v>0</v>
      </c>
      <c r="AF71" s="17">
        <f>SUBTOTAL(9,$T26:AF26)</f>
        <v>0</v>
      </c>
      <c r="AG71" s="17">
        <f>SUBTOTAL(9,$T26:AG26)</f>
        <v>0</v>
      </c>
      <c r="AH71" s="17">
        <f>SUBTOTAL(9,$T26:AH26)</f>
        <v>1</v>
      </c>
      <c r="AI71" s="17">
        <f>SUBTOTAL(9,$T26:AI26)</f>
        <v>1</v>
      </c>
      <c r="AJ71" s="17">
        <f>SUBTOTAL(9,$T26:AJ26)</f>
        <v>1</v>
      </c>
    </row>
    <row r="72" spans="1:36" x14ac:dyDescent="0.25">
      <c r="A72" s="13" t="s">
        <v>195</v>
      </c>
      <c r="B72" s="12" t="s">
        <v>196</v>
      </c>
      <c r="C72" s="17">
        <f>SUBTOTAL(9,$C27:C27)</f>
        <v>0</v>
      </c>
      <c r="D72" s="17">
        <f>SUBTOTAL(9,$C27:D27)</f>
        <v>0</v>
      </c>
      <c r="E72" s="17">
        <f>SUBTOTAL(9,$C27:E27)</f>
        <v>0</v>
      </c>
      <c r="F72" s="17">
        <f>SUBTOTAL(9,$C27:F27)</f>
        <v>0</v>
      </c>
      <c r="G72" s="17">
        <f>SUBTOTAL(9,$C27:G27)</f>
        <v>0</v>
      </c>
      <c r="H72" s="17">
        <f>SUBTOTAL(9,$C27:H27)</f>
        <v>0</v>
      </c>
      <c r="I72" s="17">
        <f>SUBTOTAL(9,$C27:I27)</f>
        <v>0</v>
      </c>
      <c r="J72" s="17">
        <f>SUBTOTAL(9,$C27:J27)</f>
        <v>0</v>
      </c>
      <c r="K72" s="17">
        <f>SUBTOTAL(9,$C27:K27)</f>
        <v>0</v>
      </c>
      <c r="L72" s="17">
        <f>SUBTOTAL(9,$C27:L27)</f>
        <v>0</v>
      </c>
      <c r="M72" s="17">
        <f>SUBTOTAL(9,$C27:M27)</f>
        <v>0</v>
      </c>
      <c r="N72" s="17">
        <f>SUBTOTAL(9,$C27:N27)</f>
        <v>0</v>
      </c>
      <c r="O72" s="17">
        <f>SUBTOTAL(9,$C27:O27)</f>
        <v>0</v>
      </c>
      <c r="P72" s="17">
        <f>SUBTOTAL(9,$C27:P27)</f>
        <v>0</v>
      </c>
      <c r="Q72" s="17">
        <f>SUBTOTAL(9,$C27:Q27)</f>
        <v>0</v>
      </c>
      <c r="R72" s="17">
        <f>SUBTOTAL(9,$C27:R27)</f>
        <v>0</v>
      </c>
      <c r="S72" s="17">
        <f>SUBTOTAL(9,$C27:S27)</f>
        <v>0</v>
      </c>
      <c r="T72" s="17">
        <f>SUBTOTAL(9,$T27:T27)</f>
        <v>0</v>
      </c>
      <c r="U72" s="17">
        <f>SUBTOTAL(9,$T27:U27)</f>
        <v>0</v>
      </c>
      <c r="V72" s="17">
        <f>SUBTOTAL(9,$T27:V27)</f>
        <v>0</v>
      </c>
      <c r="W72" s="17">
        <f>SUBTOTAL(9,$T27:W27)</f>
        <v>0</v>
      </c>
      <c r="X72" s="17">
        <f>SUBTOTAL(9,$T27:X27)</f>
        <v>0</v>
      </c>
      <c r="Y72" s="17">
        <f>SUBTOTAL(9,$T27:Y27)</f>
        <v>0</v>
      </c>
      <c r="Z72" s="17">
        <f>SUBTOTAL(9,$T27:Z27)</f>
        <v>0</v>
      </c>
      <c r="AA72" s="17">
        <f>SUBTOTAL(9,$T27:AA27)</f>
        <v>0</v>
      </c>
      <c r="AB72" s="17">
        <f>SUBTOTAL(9,$T27:AB27)</f>
        <v>0</v>
      </c>
      <c r="AC72" s="17">
        <f>SUBTOTAL(9,$T27:AC27)</f>
        <v>0</v>
      </c>
      <c r="AD72" s="17">
        <f>SUBTOTAL(9,$T27:AD27)</f>
        <v>0</v>
      </c>
      <c r="AE72" s="17">
        <f>SUBTOTAL(9,$T27:AE27)</f>
        <v>0</v>
      </c>
      <c r="AF72" s="17">
        <f>SUBTOTAL(9,$T27:AF27)</f>
        <v>0</v>
      </c>
      <c r="AG72" s="17">
        <f>SUBTOTAL(9,$T27:AG27)</f>
        <v>0</v>
      </c>
      <c r="AH72" s="17">
        <f>SUBTOTAL(9,$T27:AH27)</f>
        <v>0</v>
      </c>
      <c r="AI72" s="17">
        <f>SUBTOTAL(9,$T27:AI27)</f>
        <v>0</v>
      </c>
      <c r="AJ72" s="17">
        <f>SUBTOTAL(9,$T27:AJ27)</f>
        <v>0</v>
      </c>
    </row>
    <row r="73" spans="1:36" x14ac:dyDescent="0.25">
      <c r="A73" s="13" t="s">
        <v>197</v>
      </c>
      <c r="B73" s="12" t="s">
        <v>198</v>
      </c>
      <c r="C73" s="17">
        <f>SUBTOTAL(9,$C28:C28)</f>
        <v>0</v>
      </c>
      <c r="D73" s="17">
        <f>SUBTOTAL(9,$C28:D28)</f>
        <v>1</v>
      </c>
      <c r="E73" s="17">
        <f>SUBTOTAL(9,$C28:E28)</f>
        <v>1</v>
      </c>
      <c r="F73" s="17">
        <f>SUBTOTAL(9,$C28:F28)</f>
        <v>1</v>
      </c>
      <c r="G73" s="17">
        <f>SUBTOTAL(9,$C28:G28)</f>
        <v>1</v>
      </c>
      <c r="H73" s="17">
        <f>SUBTOTAL(9,$C28:H28)</f>
        <v>1</v>
      </c>
      <c r="I73" s="17">
        <f>SUBTOTAL(9,$C28:I28)</f>
        <v>1</v>
      </c>
      <c r="J73" s="17">
        <f>SUBTOTAL(9,$C28:J28)</f>
        <v>1</v>
      </c>
      <c r="K73" s="17">
        <f>SUBTOTAL(9,$C28:K28)</f>
        <v>1</v>
      </c>
      <c r="L73" s="17">
        <f>SUBTOTAL(9,$C28:L28)</f>
        <v>1</v>
      </c>
      <c r="M73" s="17">
        <f>SUBTOTAL(9,$C28:M28)</f>
        <v>2</v>
      </c>
      <c r="N73" s="17">
        <f>SUBTOTAL(9,$C28:N28)</f>
        <v>2</v>
      </c>
      <c r="O73" s="17">
        <f>SUBTOTAL(9,$C28:O28)</f>
        <v>3</v>
      </c>
      <c r="P73" s="17">
        <f>SUBTOTAL(9,$C28:P28)</f>
        <v>3</v>
      </c>
      <c r="Q73" s="17">
        <f>SUBTOTAL(9,$C28:Q28)</f>
        <v>3</v>
      </c>
      <c r="R73" s="17">
        <f>SUBTOTAL(9,$C28:R28)</f>
        <v>3</v>
      </c>
      <c r="S73" s="17">
        <f>SUBTOTAL(9,$C28:S28)</f>
        <v>3</v>
      </c>
      <c r="T73" s="17">
        <f>SUBTOTAL(9,$T28:T28)</f>
        <v>0</v>
      </c>
      <c r="U73" s="17">
        <f>SUBTOTAL(9,$T28:U28)</f>
        <v>0</v>
      </c>
      <c r="V73" s="17">
        <f>SUBTOTAL(9,$T28:V28)</f>
        <v>0</v>
      </c>
      <c r="W73" s="17">
        <f>SUBTOTAL(9,$T28:W28)</f>
        <v>0</v>
      </c>
      <c r="X73" s="17">
        <f>SUBTOTAL(9,$T28:X28)</f>
        <v>1</v>
      </c>
      <c r="Y73" s="17">
        <f>SUBTOTAL(9,$T28:Y28)</f>
        <v>2</v>
      </c>
      <c r="Z73" s="17">
        <f>SUBTOTAL(9,$T28:Z28)</f>
        <v>2</v>
      </c>
      <c r="AA73" s="17">
        <f>SUBTOTAL(9,$T28:AA28)</f>
        <v>2</v>
      </c>
      <c r="AB73" s="17">
        <f>SUBTOTAL(9,$T28:AB28)</f>
        <v>2</v>
      </c>
      <c r="AC73" s="17">
        <f>SUBTOTAL(9,$T28:AC28)</f>
        <v>2</v>
      </c>
      <c r="AD73" s="17">
        <f>SUBTOTAL(9,$T28:AD28)</f>
        <v>2</v>
      </c>
      <c r="AE73" s="17">
        <f>SUBTOTAL(9,$T28:AE28)</f>
        <v>2</v>
      </c>
      <c r="AF73" s="17">
        <f>SUBTOTAL(9,$T28:AF28)</f>
        <v>2</v>
      </c>
      <c r="AG73" s="17">
        <f>SUBTOTAL(9,$T28:AG28)</f>
        <v>2</v>
      </c>
      <c r="AH73" s="17">
        <f>SUBTOTAL(9,$T28:AH28)</f>
        <v>3</v>
      </c>
      <c r="AI73" s="17">
        <f>SUBTOTAL(9,$T28:AI28)</f>
        <v>3</v>
      </c>
      <c r="AJ73" s="17">
        <f>SUBTOTAL(9,$T28:AJ28)</f>
        <v>3</v>
      </c>
    </row>
    <row r="74" spans="1:36" x14ac:dyDescent="0.25">
      <c r="A74" s="13" t="s">
        <v>199</v>
      </c>
      <c r="B74" s="12" t="s">
        <v>200</v>
      </c>
      <c r="C74" s="17">
        <f>SUBTOTAL(9,$C29:C29)</f>
        <v>1</v>
      </c>
      <c r="D74" s="17">
        <f>SUBTOTAL(9,$C29:D29)</f>
        <v>1</v>
      </c>
      <c r="E74" s="17">
        <f>SUBTOTAL(9,$C29:E29)</f>
        <v>1</v>
      </c>
      <c r="F74" s="17">
        <f>SUBTOTAL(9,$C29:F29)</f>
        <v>1</v>
      </c>
      <c r="G74" s="17">
        <f>SUBTOTAL(9,$C29:G29)</f>
        <v>1</v>
      </c>
      <c r="H74" s="17">
        <f>SUBTOTAL(9,$C29:H29)</f>
        <v>1</v>
      </c>
      <c r="I74" s="17">
        <f>SUBTOTAL(9,$C29:I29)</f>
        <v>1</v>
      </c>
      <c r="J74" s="17">
        <f>SUBTOTAL(9,$C29:J29)</f>
        <v>1</v>
      </c>
      <c r="K74" s="17">
        <f>SUBTOTAL(9,$C29:K29)</f>
        <v>1</v>
      </c>
      <c r="L74" s="17">
        <f>SUBTOTAL(9,$C29:L29)</f>
        <v>1</v>
      </c>
      <c r="M74" s="17">
        <f>SUBTOTAL(9,$C29:M29)</f>
        <v>1</v>
      </c>
      <c r="N74" s="17">
        <f>SUBTOTAL(9,$C29:N29)</f>
        <v>1</v>
      </c>
      <c r="O74" s="17">
        <f>SUBTOTAL(9,$C29:O29)</f>
        <v>1</v>
      </c>
      <c r="P74" s="17">
        <f>SUBTOTAL(9,$C29:P29)</f>
        <v>1</v>
      </c>
      <c r="Q74" s="17">
        <f>SUBTOTAL(9,$C29:Q29)</f>
        <v>1</v>
      </c>
      <c r="R74" s="17">
        <f>SUBTOTAL(9,$C29:R29)</f>
        <v>1</v>
      </c>
      <c r="S74" s="17">
        <f>SUBTOTAL(9,$C29:S29)</f>
        <v>1</v>
      </c>
      <c r="T74" s="17">
        <f>SUBTOTAL(9,$T29:T29)</f>
        <v>0</v>
      </c>
      <c r="U74" s="17">
        <f>SUBTOTAL(9,$T29:U29)</f>
        <v>0</v>
      </c>
      <c r="V74" s="17">
        <f>SUBTOTAL(9,$T29:V29)</f>
        <v>0</v>
      </c>
      <c r="W74" s="17">
        <f>SUBTOTAL(9,$T29:W29)</f>
        <v>0</v>
      </c>
      <c r="X74" s="17">
        <f>SUBTOTAL(9,$T29:X29)</f>
        <v>0</v>
      </c>
      <c r="Y74" s="17">
        <f>SUBTOTAL(9,$T29:Y29)</f>
        <v>0</v>
      </c>
      <c r="Z74" s="17">
        <f>SUBTOTAL(9,$T29:Z29)</f>
        <v>0</v>
      </c>
      <c r="AA74" s="17">
        <f>SUBTOTAL(9,$T29:AA29)</f>
        <v>0</v>
      </c>
      <c r="AB74" s="17">
        <f>SUBTOTAL(9,$T29:AB29)</f>
        <v>0</v>
      </c>
      <c r="AC74" s="17">
        <f>SUBTOTAL(9,$T29:AC29)</f>
        <v>0</v>
      </c>
      <c r="AD74" s="17">
        <f>SUBTOTAL(9,$T29:AD29)</f>
        <v>0</v>
      </c>
      <c r="AE74" s="17">
        <f>SUBTOTAL(9,$T29:AE29)</f>
        <v>0</v>
      </c>
      <c r="AF74" s="17">
        <f>SUBTOTAL(9,$T29:AF29)</f>
        <v>0</v>
      </c>
      <c r="AG74" s="17">
        <f>SUBTOTAL(9,$T29:AG29)</f>
        <v>0</v>
      </c>
      <c r="AH74" s="17">
        <f>SUBTOTAL(9,$T29:AH29)</f>
        <v>0</v>
      </c>
      <c r="AI74" s="17">
        <f>SUBTOTAL(9,$T29:AI29)</f>
        <v>0</v>
      </c>
      <c r="AJ74" s="17">
        <f>SUBTOTAL(9,$T29:AJ29)</f>
        <v>0</v>
      </c>
    </row>
    <row r="75" spans="1:36" x14ac:dyDescent="0.25">
      <c r="A75" s="13" t="s">
        <v>201</v>
      </c>
      <c r="B75" s="12" t="s">
        <v>202</v>
      </c>
      <c r="C75" s="17">
        <f>SUBTOTAL(9,$C30:C30)</f>
        <v>0</v>
      </c>
      <c r="D75" s="17">
        <f>SUBTOTAL(9,$C30:D30)</f>
        <v>0</v>
      </c>
      <c r="E75" s="17">
        <f>SUBTOTAL(9,$C30:E30)</f>
        <v>1</v>
      </c>
      <c r="F75" s="17">
        <f>SUBTOTAL(9,$C30:F30)</f>
        <v>1</v>
      </c>
      <c r="G75" s="17">
        <f>SUBTOTAL(9,$C30:G30)</f>
        <v>1</v>
      </c>
      <c r="H75" s="17">
        <f>SUBTOTAL(9,$C30:H30)</f>
        <v>1</v>
      </c>
      <c r="I75" s="17">
        <f>SUBTOTAL(9,$C30:I30)</f>
        <v>1</v>
      </c>
      <c r="J75" s="17">
        <f>SUBTOTAL(9,$C30:J30)</f>
        <v>1</v>
      </c>
      <c r="K75" s="17">
        <f>SUBTOTAL(9,$C30:K30)</f>
        <v>1</v>
      </c>
      <c r="L75" s="17">
        <f>SUBTOTAL(9,$C30:L30)</f>
        <v>1</v>
      </c>
      <c r="M75" s="17">
        <f>SUBTOTAL(9,$C30:M30)</f>
        <v>1</v>
      </c>
      <c r="N75" s="17">
        <f>SUBTOTAL(9,$C30:N30)</f>
        <v>1</v>
      </c>
      <c r="O75" s="17">
        <f>SUBTOTAL(9,$C30:O30)</f>
        <v>1</v>
      </c>
      <c r="P75" s="17">
        <f>SUBTOTAL(9,$C30:P30)</f>
        <v>1</v>
      </c>
      <c r="Q75" s="17">
        <f>SUBTOTAL(9,$C30:Q30)</f>
        <v>1</v>
      </c>
      <c r="R75" s="17">
        <f>SUBTOTAL(9,$C30:R30)</f>
        <v>1</v>
      </c>
      <c r="S75" s="17">
        <f>SUBTOTAL(9,$C30:S30)</f>
        <v>1</v>
      </c>
      <c r="T75" s="17">
        <f>SUBTOTAL(9,$T30:T30)</f>
        <v>0</v>
      </c>
      <c r="U75" s="17">
        <f>SUBTOTAL(9,$T30:U30)</f>
        <v>0</v>
      </c>
      <c r="V75" s="17">
        <f>SUBTOTAL(9,$T30:V30)</f>
        <v>0</v>
      </c>
      <c r="W75" s="17">
        <f>SUBTOTAL(9,$T30:W30)</f>
        <v>0</v>
      </c>
      <c r="X75" s="17">
        <f>SUBTOTAL(9,$T30:X30)</f>
        <v>0</v>
      </c>
      <c r="Y75" s="17">
        <f>SUBTOTAL(9,$T30:Y30)</f>
        <v>0</v>
      </c>
      <c r="Z75" s="17">
        <f>SUBTOTAL(9,$T30:Z30)</f>
        <v>0</v>
      </c>
      <c r="AA75" s="17">
        <f>SUBTOTAL(9,$T30:AA30)</f>
        <v>0</v>
      </c>
      <c r="AB75" s="17">
        <f>SUBTOTAL(9,$T30:AB30)</f>
        <v>0</v>
      </c>
      <c r="AC75" s="17">
        <f>SUBTOTAL(9,$T30:AC30)</f>
        <v>0</v>
      </c>
      <c r="AD75" s="17">
        <f>SUBTOTAL(9,$T30:AD30)</f>
        <v>0</v>
      </c>
      <c r="AE75" s="17">
        <f>SUBTOTAL(9,$T30:AE30)</f>
        <v>0</v>
      </c>
      <c r="AF75" s="17">
        <f>SUBTOTAL(9,$T30:AF30)</f>
        <v>0</v>
      </c>
      <c r="AG75" s="17">
        <f>SUBTOTAL(9,$T30:AG30)</f>
        <v>0</v>
      </c>
      <c r="AH75" s="17">
        <f>SUBTOTAL(9,$T30:AH30)</f>
        <v>0</v>
      </c>
      <c r="AI75" s="17">
        <f>SUBTOTAL(9,$T30:AI30)</f>
        <v>0</v>
      </c>
      <c r="AJ75" s="17">
        <f>SUBTOTAL(9,$T30:AJ30)</f>
        <v>0</v>
      </c>
    </row>
    <row r="76" spans="1:36" x14ac:dyDescent="0.25">
      <c r="A76" s="13" t="s">
        <v>203</v>
      </c>
      <c r="B76" s="12" t="s">
        <v>204</v>
      </c>
      <c r="C76" s="17">
        <f>SUBTOTAL(9,$C31:C31)</f>
        <v>0</v>
      </c>
      <c r="D76" s="17">
        <f>SUBTOTAL(9,$C31:D31)</f>
        <v>0</v>
      </c>
      <c r="E76" s="17">
        <f>SUBTOTAL(9,$C31:E31)</f>
        <v>1</v>
      </c>
      <c r="F76" s="17">
        <f>SUBTOTAL(9,$C31:F31)</f>
        <v>1</v>
      </c>
      <c r="G76" s="17">
        <f>SUBTOTAL(9,$C31:G31)</f>
        <v>1</v>
      </c>
      <c r="H76" s="17">
        <f>SUBTOTAL(9,$C31:H31)</f>
        <v>2</v>
      </c>
      <c r="I76" s="17">
        <f>SUBTOTAL(9,$C31:I31)</f>
        <v>2</v>
      </c>
      <c r="J76" s="17">
        <f>SUBTOTAL(9,$C31:J31)</f>
        <v>2</v>
      </c>
      <c r="K76" s="17">
        <f>SUBTOTAL(9,$C31:K31)</f>
        <v>2</v>
      </c>
      <c r="L76" s="17">
        <f>SUBTOTAL(9,$C31:L31)</f>
        <v>2</v>
      </c>
      <c r="M76" s="17">
        <f>SUBTOTAL(9,$C31:M31)</f>
        <v>2</v>
      </c>
      <c r="N76" s="17">
        <f>SUBTOTAL(9,$C31:N31)</f>
        <v>2</v>
      </c>
      <c r="O76" s="17">
        <f>SUBTOTAL(9,$C31:O31)</f>
        <v>2</v>
      </c>
      <c r="P76" s="17">
        <f>SUBTOTAL(9,$C31:P31)</f>
        <v>2</v>
      </c>
      <c r="Q76" s="17">
        <f>SUBTOTAL(9,$C31:Q31)</f>
        <v>2</v>
      </c>
      <c r="R76" s="17">
        <f>SUBTOTAL(9,$C31:R31)</f>
        <v>2</v>
      </c>
      <c r="S76" s="17">
        <f>SUBTOTAL(9,$C31:S31)</f>
        <v>2</v>
      </c>
      <c r="T76" s="17">
        <f>SUBTOTAL(9,$T31:T31)</f>
        <v>0</v>
      </c>
      <c r="U76" s="17">
        <f>SUBTOTAL(9,$T31:U31)</f>
        <v>0</v>
      </c>
      <c r="V76" s="17">
        <f>SUBTOTAL(9,$T31:V31)</f>
        <v>0</v>
      </c>
      <c r="W76" s="17">
        <f>SUBTOTAL(9,$T31:W31)</f>
        <v>0</v>
      </c>
      <c r="X76" s="17">
        <f>SUBTOTAL(9,$T31:X31)</f>
        <v>0</v>
      </c>
      <c r="Y76" s="17">
        <f>SUBTOTAL(9,$T31:Y31)</f>
        <v>0</v>
      </c>
      <c r="Z76" s="17">
        <f>SUBTOTAL(9,$T31:Z31)</f>
        <v>0</v>
      </c>
      <c r="AA76" s="17">
        <f>SUBTOTAL(9,$T31:AA31)</f>
        <v>0</v>
      </c>
      <c r="AB76" s="17">
        <f>SUBTOTAL(9,$T31:AB31)</f>
        <v>0</v>
      </c>
      <c r="AC76" s="17">
        <f>SUBTOTAL(9,$T31:AC31)</f>
        <v>0</v>
      </c>
      <c r="AD76" s="17">
        <f>SUBTOTAL(9,$T31:AD31)</f>
        <v>0</v>
      </c>
      <c r="AE76" s="17">
        <f>SUBTOTAL(9,$T31:AE31)</f>
        <v>0</v>
      </c>
      <c r="AF76" s="17">
        <f>SUBTOTAL(9,$T31:AF31)</f>
        <v>0</v>
      </c>
      <c r="AG76" s="17">
        <f>SUBTOTAL(9,$T31:AG31)</f>
        <v>0</v>
      </c>
      <c r="AH76" s="17">
        <f>SUBTOTAL(9,$T31:AH31)</f>
        <v>0</v>
      </c>
      <c r="AI76" s="17">
        <f>SUBTOTAL(9,$T31:AI31)</f>
        <v>0</v>
      </c>
      <c r="AJ76" s="17">
        <f>SUBTOTAL(9,$T31:AJ31)</f>
        <v>0</v>
      </c>
    </row>
    <row r="77" spans="1:36" x14ac:dyDescent="0.25">
      <c r="A77" s="13" t="s">
        <v>205</v>
      </c>
      <c r="B77" s="12" t="s">
        <v>206</v>
      </c>
      <c r="C77" s="17">
        <f>SUBTOTAL(9,$C32:C32)</f>
        <v>0</v>
      </c>
      <c r="D77" s="17">
        <f>SUBTOTAL(9,$C32:D32)</f>
        <v>0</v>
      </c>
      <c r="E77" s="17">
        <f>SUBTOTAL(9,$C32:E32)</f>
        <v>0</v>
      </c>
      <c r="F77" s="17">
        <f>SUBTOTAL(9,$C32:F32)</f>
        <v>0</v>
      </c>
      <c r="G77" s="17">
        <f>SUBTOTAL(9,$C32:G32)</f>
        <v>0</v>
      </c>
      <c r="H77" s="17">
        <f>SUBTOTAL(9,$C32:H32)</f>
        <v>0</v>
      </c>
      <c r="I77" s="17">
        <f>SUBTOTAL(9,$C32:I32)</f>
        <v>0</v>
      </c>
      <c r="J77" s="17">
        <f>SUBTOTAL(9,$C32:J32)</f>
        <v>0</v>
      </c>
      <c r="K77" s="17">
        <f>SUBTOTAL(9,$C32:K32)</f>
        <v>0</v>
      </c>
      <c r="L77" s="17">
        <f>SUBTOTAL(9,$C32:L32)</f>
        <v>0</v>
      </c>
      <c r="M77" s="17">
        <f>SUBTOTAL(9,$C32:M32)</f>
        <v>0</v>
      </c>
      <c r="N77" s="17">
        <f>SUBTOTAL(9,$C32:N32)</f>
        <v>0</v>
      </c>
      <c r="O77" s="17">
        <f>SUBTOTAL(9,$C32:O32)</f>
        <v>0</v>
      </c>
      <c r="P77" s="17">
        <f>SUBTOTAL(9,$C32:P32)</f>
        <v>0</v>
      </c>
      <c r="Q77" s="17">
        <f>SUBTOTAL(9,$C32:Q32)</f>
        <v>0</v>
      </c>
      <c r="R77" s="17">
        <f>SUBTOTAL(9,$C32:R32)</f>
        <v>0</v>
      </c>
      <c r="S77" s="17">
        <f>SUBTOTAL(9,$C32:S32)</f>
        <v>0</v>
      </c>
      <c r="T77" s="17">
        <f>SUBTOTAL(9,$T32:T32)</f>
        <v>0</v>
      </c>
      <c r="U77" s="17">
        <f>SUBTOTAL(9,$T32:U32)</f>
        <v>0</v>
      </c>
      <c r="V77" s="17">
        <f>SUBTOTAL(9,$T32:V32)</f>
        <v>0</v>
      </c>
      <c r="W77" s="17">
        <f>SUBTOTAL(9,$T32:W32)</f>
        <v>0</v>
      </c>
      <c r="X77" s="17">
        <f>SUBTOTAL(9,$T32:X32)</f>
        <v>0</v>
      </c>
      <c r="Y77" s="17">
        <f>SUBTOTAL(9,$T32:Y32)</f>
        <v>0</v>
      </c>
      <c r="Z77" s="17">
        <f>SUBTOTAL(9,$T32:Z32)</f>
        <v>0</v>
      </c>
      <c r="AA77" s="17">
        <f>SUBTOTAL(9,$T32:AA32)</f>
        <v>0</v>
      </c>
      <c r="AB77" s="17">
        <f>SUBTOTAL(9,$T32:AB32)</f>
        <v>0</v>
      </c>
      <c r="AC77" s="17">
        <f>SUBTOTAL(9,$T32:AC32)</f>
        <v>0</v>
      </c>
      <c r="AD77" s="17">
        <f>SUBTOTAL(9,$T32:AD32)</f>
        <v>0</v>
      </c>
      <c r="AE77" s="17">
        <f>SUBTOTAL(9,$T32:AE32)</f>
        <v>0</v>
      </c>
      <c r="AF77" s="17">
        <f>SUBTOTAL(9,$T32:AF32)</f>
        <v>0</v>
      </c>
      <c r="AG77" s="17">
        <f>SUBTOTAL(9,$T32:AG32)</f>
        <v>0</v>
      </c>
      <c r="AH77" s="17">
        <f>SUBTOTAL(9,$T32:AH32)</f>
        <v>0</v>
      </c>
      <c r="AI77" s="17">
        <f>SUBTOTAL(9,$T32:AI32)</f>
        <v>0</v>
      </c>
      <c r="AJ77" s="17">
        <f>SUBTOTAL(9,$T32:AJ32)</f>
        <v>0</v>
      </c>
    </row>
    <row r="78" spans="1:36" x14ac:dyDescent="0.25">
      <c r="A78" s="13" t="s">
        <v>207</v>
      </c>
      <c r="B78" s="12" t="s">
        <v>208</v>
      </c>
      <c r="C78" s="17">
        <f>SUBTOTAL(9,$C33:C33)</f>
        <v>0</v>
      </c>
      <c r="D78" s="17">
        <f>SUBTOTAL(9,$C33:D33)</f>
        <v>1</v>
      </c>
      <c r="E78" s="17">
        <f>SUBTOTAL(9,$C33:E33)</f>
        <v>1</v>
      </c>
      <c r="F78" s="17">
        <f>SUBTOTAL(9,$C33:F33)</f>
        <v>1</v>
      </c>
      <c r="G78" s="17">
        <f>SUBTOTAL(9,$C33:G33)</f>
        <v>1</v>
      </c>
      <c r="H78" s="17">
        <f>SUBTOTAL(9,$C33:H33)</f>
        <v>1</v>
      </c>
      <c r="I78" s="17">
        <f>SUBTOTAL(9,$C33:I33)</f>
        <v>1</v>
      </c>
      <c r="J78" s="17">
        <f>SUBTOTAL(9,$C33:J33)</f>
        <v>1</v>
      </c>
      <c r="K78" s="17">
        <f>SUBTOTAL(9,$C33:K33)</f>
        <v>1</v>
      </c>
      <c r="L78" s="17">
        <f>SUBTOTAL(9,$C33:L33)</f>
        <v>1</v>
      </c>
      <c r="M78" s="17">
        <f>SUBTOTAL(9,$C33:M33)</f>
        <v>1</v>
      </c>
      <c r="N78" s="17">
        <f>SUBTOTAL(9,$C33:N33)</f>
        <v>1</v>
      </c>
      <c r="O78" s="17">
        <f>SUBTOTAL(9,$C33:O33)</f>
        <v>1</v>
      </c>
      <c r="P78" s="17">
        <f>SUBTOTAL(9,$C33:P33)</f>
        <v>1</v>
      </c>
      <c r="Q78" s="17">
        <f>SUBTOTAL(9,$C33:Q33)</f>
        <v>1</v>
      </c>
      <c r="R78" s="17">
        <f>SUBTOTAL(9,$C33:R33)</f>
        <v>1</v>
      </c>
      <c r="S78" s="17">
        <f>SUBTOTAL(9,$C33:S33)</f>
        <v>1</v>
      </c>
      <c r="T78" s="17">
        <f>SUBTOTAL(9,$T33:T33)</f>
        <v>0</v>
      </c>
      <c r="U78" s="17">
        <f>SUBTOTAL(9,$T33:U33)</f>
        <v>0</v>
      </c>
      <c r="V78" s="17">
        <f>SUBTOTAL(9,$T33:V33)</f>
        <v>0</v>
      </c>
      <c r="W78" s="17">
        <f>SUBTOTAL(9,$T33:W33)</f>
        <v>0</v>
      </c>
      <c r="X78" s="17">
        <f>SUBTOTAL(9,$T33:X33)</f>
        <v>0</v>
      </c>
      <c r="Y78" s="17">
        <f>SUBTOTAL(9,$T33:Y33)</f>
        <v>0</v>
      </c>
      <c r="Z78" s="17">
        <f>SUBTOTAL(9,$T33:Z33)</f>
        <v>0</v>
      </c>
      <c r="AA78" s="17">
        <f>SUBTOTAL(9,$T33:AA33)</f>
        <v>0</v>
      </c>
      <c r="AB78" s="17">
        <f>SUBTOTAL(9,$T33:AB33)</f>
        <v>0</v>
      </c>
      <c r="AC78" s="17">
        <f>SUBTOTAL(9,$T33:AC33)</f>
        <v>0</v>
      </c>
      <c r="AD78" s="17">
        <f>SUBTOTAL(9,$T33:AD33)</f>
        <v>0</v>
      </c>
      <c r="AE78" s="17">
        <f>SUBTOTAL(9,$T33:AE33)</f>
        <v>0</v>
      </c>
      <c r="AF78" s="17">
        <f>SUBTOTAL(9,$T33:AF33)</f>
        <v>0</v>
      </c>
      <c r="AG78" s="17">
        <f>SUBTOTAL(9,$T33:AG33)</f>
        <v>0</v>
      </c>
      <c r="AH78" s="17">
        <f>SUBTOTAL(9,$T33:AH33)</f>
        <v>0</v>
      </c>
      <c r="AI78" s="17">
        <f>SUBTOTAL(9,$T33:AI33)</f>
        <v>0</v>
      </c>
      <c r="AJ78" s="17">
        <f>SUBTOTAL(9,$T33:AJ33)</f>
        <v>0</v>
      </c>
    </row>
    <row r="79" spans="1:36" x14ac:dyDescent="0.25">
      <c r="A79" s="13" t="s">
        <v>209</v>
      </c>
      <c r="B79" s="12" t="s">
        <v>210</v>
      </c>
      <c r="C79" s="17">
        <f>SUBTOTAL(9,$C34:C34)</f>
        <v>0</v>
      </c>
      <c r="D79" s="17">
        <f>SUBTOTAL(9,$C34:D34)</f>
        <v>0</v>
      </c>
      <c r="E79" s="17">
        <f>SUBTOTAL(9,$C34:E34)</f>
        <v>0</v>
      </c>
      <c r="F79" s="17">
        <f>SUBTOTAL(9,$C34:F34)</f>
        <v>0</v>
      </c>
      <c r="G79" s="17">
        <f>SUBTOTAL(9,$C34:G34)</f>
        <v>1</v>
      </c>
      <c r="H79" s="17">
        <f>SUBTOTAL(9,$C34:H34)</f>
        <v>1</v>
      </c>
      <c r="I79" s="17">
        <f>SUBTOTAL(9,$C34:I34)</f>
        <v>1</v>
      </c>
      <c r="J79" s="17">
        <f>SUBTOTAL(9,$C34:J34)</f>
        <v>1</v>
      </c>
      <c r="K79" s="17">
        <f>SUBTOTAL(9,$C34:K34)</f>
        <v>1</v>
      </c>
      <c r="L79" s="17">
        <f>SUBTOTAL(9,$C34:L34)</f>
        <v>2</v>
      </c>
      <c r="M79" s="17">
        <f>SUBTOTAL(9,$C34:M34)</f>
        <v>2</v>
      </c>
      <c r="N79" s="17">
        <f>SUBTOTAL(9,$C34:N34)</f>
        <v>2</v>
      </c>
      <c r="O79" s="17">
        <f>SUBTOTAL(9,$C34:O34)</f>
        <v>2</v>
      </c>
      <c r="P79" s="17">
        <f>SUBTOTAL(9,$C34:P34)</f>
        <v>2</v>
      </c>
      <c r="Q79" s="17">
        <f>SUBTOTAL(9,$C34:Q34)</f>
        <v>2</v>
      </c>
      <c r="R79" s="17">
        <f>SUBTOTAL(9,$C34:R34)</f>
        <v>2</v>
      </c>
      <c r="S79" s="17">
        <f>SUBTOTAL(9,$C34:S34)</f>
        <v>2</v>
      </c>
      <c r="T79" s="17">
        <f>SUBTOTAL(9,$T34:T34)</f>
        <v>0</v>
      </c>
      <c r="U79" s="17">
        <f>SUBTOTAL(9,$T34:U34)</f>
        <v>0</v>
      </c>
      <c r="V79" s="17">
        <f>SUBTOTAL(9,$T34:V34)</f>
        <v>0</v>
      </c>
      <c r="W79" s="17">
        <f>SUBTOTAL(9,$T34:W34)</f>
        <v>0</v>
      </c>
      <c r="X79" s="17">
        <f>SUBTOTAL(9,$T34:X34)</f>
        <v>0</v>
      </c>
      <c r="Y79" s="17">
        <f>SUBTOTAL(9,$T34:Y34)</f>
        <v>0</v>
      </c>
      <c r="Z79" s="17">
        <f>SUBTOTAL(9,$T34:Z34)</f>
        <v>0</v>
      </c>
      <c r="AA79" s="17">
        <f>SUBTOTAL(9,$T34:AA34)</f>
        <v>0</v>
      </c>
      <c r="AB79" s="17">
        <f>SUBTOTAL(9,$T34:AB34)</f>
        <v>0</v>
      </c>
      <c r="AC79" s="17">
        <f>SUBTOTAL(9,$T34:AC34)</f>
        <v>0</v>
      </c>
      <c r="AD79" s="17">
        <f>SUBTOTAL(9,$T34:AD34)</f>
        <v>0</v>
      </c>
      <c r="AE79" s="17">
        <f>SUBTOTAL(9,$T34:AE34)</f>
        <v>0</v>
      </c>
      <c r="AF79" s="17">
        <f>SUBTOTAL(9,$T34:AF34)</f>
        <v>0</v>
      </c>
      <c r="AG79" s="17">
        <f>SUBTOTAL(9,$T34:AG34)</f>
        <v>0</v>
      </c>
      <c r="AH79" s="17">
        <f>SUBTOTAL(9,$T34:AH34)</f>
        <v>1</v>
      </c>
      <c r="AI79" s="17">
        <f>SUBTOTAL(9,$T34:AI34)</f>
        <v>1</v>
      </c>
      <c r="AJ79" s="17">
        <f>SUBTOTAL(9,$T34:AJ34)</f>
        <v>1</v>
      </c>
    </row>
    <row r="80" spans="1:36" x14ac:dyDescent="0.25">
      <c r="A80" s="13" t="s">
        <v>211</v>
      </c>
      <c r="B80" s="12" t="s">
        <v>212</v>
      </c>
      <c r="C80" s="17">
        <f>SUBTOTAL(9,$C35:C35)</f>
        <v>0</v>
      </c>
      <c r="D80" s="17">
        <f>SUBTOTAL(9,$C35:D35)</f>
        <v>0</v>
      </c>
      <c r="E80" s="17">
        <f>SUBTOTAL(9,$C35:E35)</f>
        <v>0</v>
      </c>
      <c r="F80" s="17">
        <f>SUBTOTAL(9,$C35:F35)</f>
        <v>0</v>
      </c>
      <c r="G80" s="17">
        <f>SUBTOTAL(9,$C35:G35)</f>
        <v>0</v>
      </c>
      <c r="H80" s="17">
        <f>SUBTOTAL(9,$C35:H35)</f>
        <v>1</v>
      </c>
      <c r="I80" s="17">
        <f>SUBTOTAL(9,$C35:I35)</f>
        <v>2</v>
      </c>
      <c r="J80" s="17">
        <f>SUBTOTAL(9,$C35:J35)</f>
        <v>2</v>
      </c>
      <c r="K80" s="17">
        <f>SUBTOTAL(9,$C35:K35)</f>
        <v>2</v>
      </c>
      <c r="L80" s="17">
        <f>SUBTOTAL(9,$C35:L35)</f>
        <v>2</v>
      </c>
      <c r="M80" s="17">
        <f>SUBTOTAL(9,$C35:M35)</f>
        <v>2</v>
      </c>
      <c r="N80" s="17">
        <f>SUBTOTAL(9,$C35:N35)</f>
        <v>2</v>
      </c>
      <c r="O80" s="17">
        <f>SUBTOTAL(9,$C35:O35)</f>
        <v>2</v>
      </c>
      <c r="P80" s="17">
        <f>SUBTOTAL(9,$C35:P35)</f>
        <v>2</v>
      </c>
      <c r="Q80" s="17">
        <f>SUBTOTAL(9,$C35:Q35)</f>
        <v>2</v>
      </c>
      <c r="R80" s="17">
        <f>SUBTOTAL(9,$C35:R35)</f>
        <v>2</v>
      </c>
      <c r="S80" s="17">
        <f>SUBTOTAL(9,$C35:S35)</f>
        <v>2</v>
      </c>
      <c r="T80" s="17">
        <f>SUBTOTAL(9,$T35:T35)</f>
        <v>0</v>
      </c>
      <c r="U80" s="17">
        <f>SUBTOTAL(9,$T35:U35)</f>
        <v>0</v>
      </c>
      <c r="V80" s="17">
        <f>SUBTOTAL(9,$T35:V35)</f>
        <v>0</v>
      </c>
      <c r="W80" s="17">
        <f>SUBTOTAL(9,$T35:W35)</f>
        <v>0</v>
      </c>
      <c r="X80" s="17">
        <f>SUBTOTAL(9,$T35:X35)</f>
        <v>0</v>
      </c>
      <c r="Y80" s="17">
        <f>SUBTOTAL(9,$T35:Y35)</f>
        <v>2</v>
      </c>
      <c r="Z80" s="17">
        <f>SUBTOTAL(9,$T35:Z35)</f>
        <v>2</v>
      </c>
      <c r="AA80" s="17">
        <f>SUBTOTAL(9,$T35:AA35)</f>
        <v>2</v>
      </c>
      <c r="AB80" s="17">
        <f>SUBTOTAL(9,$T35:AB35)</f>
        <v>2</v>
      </c>
      <c r="AC80" s="17">
        <f>SUBTOTAL(9,$T35:AC35)</f>
        <v>2</v>
      </c>
      <c r="AD80" s="17">
        <f>SUBTOTAL(9,$T35:AD35)</f>
        <v>2</v>
      </c>
      <c r="AE80" s="17">
        <f>SUBTOTAL(9,$T35:AE35)</f>
        <v>2</v>
      </c>
      <c r="AF80" s="17">
        <f>SUBTOTAL(9,$T35:AF35)</f>
        <v>2</v>
      </c>
      <c r="AG80" s="17">
        <f>SUBTOTAL(9,$T35:AG35)</f>
        <v>2</v>
      </c>
      <c r="AH80" s="17">
        <f>SUBTOTAL(9,$T35:AH35)</f>
        <v>2</v>
      </c>
      <c r="AI80" s="17">
        <f>SUBTOTAL(9,$T35:AI35)</f>
        <v>2</v>
      </c>
      <c r="AJ80" s="17">
        <f>SUBTOTAL(9,$T35:AJ35)</f>
        <v>2</v>
      </c>
    </row>
    <row r="81" spans="1:36" x14ac:dyDescent="0.25">
      <c r="A81" s="13" t="s">
        <v>213</v>
      </c>
      <c r="B81" s="12" t="s">
        <v>214</v>
      </c>
      <c r="C81" s="17">
        <f>SUBTOTAL(9,$C36:C36)</f>
        <v>0</v>
      </c>
      <c r="D81" s="17">
        <f>SUBTOTAL(9,$C36:D36)</f>
        <v>0</v>
      </c>
      <c r="E81" s="17">
        <f>SUBTOTAL(9,$C36:E36)</f>
        <v>0</v>
      </c>
      <c r="F81" s="17">
        <f>SUBTOTAL(9,$C36:F36)</f>
        <v>0</v>
      </c>
      <c r="G81" s="17">
        <f>SUBTOTAL(9,$C36:G36)</f>
        <v>0</v>
      </c>
      <c r="H81" s="17">
        <f>SUBTOTAL(9,$C36:H36)</f>
        <v>0</v>
      </c>
      <c r="I81" s="17">
        <f>SUBTOTAL(9,$C36:I36)</f>
        <v>0</v>
      </c>
      <c r="J81" s="17">
        <f>SUBTOTAL(9,$C36:J36)</f>
        <v>0</v>
      </c>
      <c r="K81" s="17">
        <f>SUBTOTAL(9,$C36:K36)</f>
        <v>0</v>
      </c>
      <c r="L81" s="17">
        <f>SUBTOTAL(9,$C36:L36)</f>
        <v>0</v>
      </c>
      <c r="M81" s="17">
        <f>SUBTOTAL(9,$C36:M36)</f>
        <v>0</v>
      </c>
      <c r="N81" s="17">
        <f>SUBTOTAL(9,$C36:N36)</f>
        <v>0</v>
      </c>
      <c r="O81" s="17">
        <f>SUBTOTAL(9,$C36:O36)</f>
        <v>0</v>
      </c>
      <c r="P81" s="17">
        <f>SUBTOTAL(9,$C36:P36)</f>
        <v>0</v>
      </c>
      <c r="Q81" s="17">
        <f>SUBTOTAL(9,$C36:Q36)</f>
        <v>0</v>
      </c>
      <c r="R81" s="17">
        <f>SUBTOTAL(9,$C36:R36)</f>
        <v>0</v>
      </c>
      <c r="S81" s="17">
        <f>SUBTOTAL(9,$C36:S36)</f>
        <v>0</v>
      </c>
      <c r="T81" s="17">
        <f>SUBTOTAL(9,$T36:T36)</f>
        <v>0</v>
      </c>
      <c r="U81" s="17">
        <f>SUBTOTAL(9,$T36:U36)</f>
        <v>0</v>
      </c>
      <c r="V81" s="17">
        <f>SUBTOTAL(9,$T36:V36)</f>
        <v>0</v>
      </c>
      <c r="W81" s="17">
        <f>SUBTOTAL(9,$T36:W36)</f>
        <v>0</v>
      </c>
      <c r="X81" s="17">
        <f>SUBTOTAL(9,$T36:X36)</f>
        <v>0</v>
      </c>
      <c r="Y81" s="17">
        <f>SUBTOTAL(9,$T36:Y36)</f>
        <v>0</v>
      </c>
      <c r="Z81" s="17">
        <f>SUBTOTAL(9,$T36:Z36)</f>
        <v>0</v>
      </c>
      <c r="AA81" s="17">
        <f>SUBTOTAL(9,$T36:AA36)</f>
        <v>0</v>
      </c>
      <c r="AB81" s="17">
        <f>SUBTOTAL(9,$T36:AB36)</f>
        <v>0</v>
      </c>
      <c r="AC81" s="17">
        <f>SUBTOTAL(9,$T36:AC36)</f>
        <v>0</v>
      </c>
      <c r="AD81" s="17">
        <f>SUBTOTAL(9,$T36:AD36)</f>
        <v>0</v>
      </c>
      <c r="AE81" s="17">
        <f>SUBTOTAL(9,$T36:AE36)</f>
        <v>0</v>
      </c>
      <c r="AF81" s="17">
        <f>SUBTOTAL(9,$T36:AF36)</f>
        <v>0</v>
      </c>
      <c r="AG81" s="17">
        <f>SUBTOTAL(9,$T36:AG36)</f>
        <v>0</v>
      </c>
      <c r="AH81" s="17">
        <f>SUBTOTAL(9,$T36:AH36)</f>
        <v>0</v>
      </c>
      <c r="AI81" s="17">
        <f>SUBTOTAL(9,$T36:AI36)</f>
        <v>0</v>
      </c>
      <c r="AJ81" s="17">
        <f>SUBTOTAL(9,$T36:AJ36)</f>
        <v>0</v>
      </c>
    </row>
    <row r="82" spans="1:36" x14ac:dyDescent="0.25">
      <c r="A82" s="13" t="s">
        <v>215</v>
      </c>
      <c r="B82" s="12" t="s">
        <v>216</v>
      </c>
      <c r="C82" s="17">
        <f>SUBTOTAL(9,$C37:C37)</f>
        <v>0</v>
      </c>
      <c r="D82" s="17">
        <f>SUBTOTAL(9,$C37:D37)</f>
        <v>1</v>
      </c>
      <c r="E82" s="17">
        <f>SUBTOTAL(9,$C37:E37)</f>
        <v>3</v>
      </c>
      <c r="F82" s="17">
        <f>SUBTOTAL(9,$C37:F37)</f>
        <v>3</v>
      </c>
      <c r="G82" s="17">
        <f>SUBTOTAL(9,$C37:G37)</f>
        <v>4</v>
      </c>
      <c r="H82" s="17">
        <f>SUBTOTAL(9,$C37:H37)</f>
        <v>5</v>
      </c>
      <c r="I82" s="17">
        <f>SUBTOTAL(9,$C37:I37)</f>
        <v>5</v>
      </c>
      <c r="J82" s="17">
        <f>SUBTOTAL(9,$C37:J37)</f>
        <v>5</v>
      </c>
      <c r="K82" s="17">
        <f>SUBTOTAL(9,$C37:K37)</f>
        <v>5</v>
      </c>
      <c r="L82" s="17">
        <f>SUBTOTAL(9,$C37:L37)</f>
        <v>5</v>
      </c>
      <c r="M82" s="17">
        <f>SUBTOTAL(9,$C37:M37)</f>
        <v>9</v>
      </c>
      <c r="N82" s="17">
        <f>SUBTOTAL(9,$C37:N37)</f>
        <v>9</v>
      </c>
      <c r="O82" s="17">
        <f>SUBTOTAL(9,$C37:O37)</f>
        <v>10</v>
      </c>
      <c r="P82" s="17">
        <f>SUBTOTAL(9,$C37:P37)</f>
        <v>14</v>
      </c>
      <c r="Q82" s="17">
        <f>SUBTOTAL(9,$C37:Q37)</f>
        <v>14</v>
      </c>
      <c r="R82" s="17">
        <f>SUBTOTAL(9,$C37:R37)</f>
        <v>14</v>
      </c>
      <c r="S82" s="17">
        <f>SUBTOTAL(9,$C37:S37)</f>
        <v>14</v>
      </c>
      <c r="T82" s="17">
        <f>SUBTOTAL(9,$T37:T37)</f>
        <v>0</v>
      </c>
      <c r="U82" s="17">
        <f>SUBTOTAL(9,$T37:U37)</f>
        <v>2</v>
      </c>
      <c r="V82" s="17">
        <f>SUBTOTAL(9,$T37:V37)</f>
        <v>3</v>
      </c>
      <c r="W82" s="17">
        <f>SUBTOTAL(9,$T37:W37)</f>
        <v>3</v>
      </c>
      <c r="X82" s="17">
        <f>SUBTOTAL(9,$T37:X37)</f>
        <v>3</v>
      </c>
      <c r="Y82" s="17">
        <f>SUBTOTAL(9,$T37:Y37)</f>
        <v>4</v>
      </c>
      <c r="Z82" s="17">
        <f>SUBTOTAL(9,$T37:Z37)</f>
        <v>5</v>
      </c>
      <c r="AA82" s="17">
        <f>SUBTOTAL(9,$T37:AA37)</f>
        <v>5</v>
      </c>
      <c r="AB82" s="17">
        <f>SUBTOTAL(9,$T37:AB37)</f>
        <v>5</v>
      </c>
      <c r="AC82" s="17">
        <f>SUBTOTAL(9,$T37:AC37)</f>
        <v>5</v>
      </c>
      <c r="AD82" s="17">
        <f>SUBTOTAL(9,$T37:AD37)</f>
        <v>5</v>
      </c>
      <c r="AE82" s="17">
        <f>SUBTOTAL(9,$T37:AE37)</f>
        <v>5</v>
      </c>
      <c r="AF82" s="17">
        <f>SUBTOTAL(9,$T37:AF37)</f>
        <v>5</v>
      </c>
      <c r="AG82" s="17">
        <f>SUBTOTAL(9,$T37:AG37)</f>
        <v>10</v>
      </c>
      <c r="AH82" s="17">
        <f>SUBTOTAL(9,$T37:AH37)</f>
        <v>10</v>
      </c>
      <c r="AI82" s="17">
        <f>SUBTOTAL(9,$T37:AI37)</f>
        <v>10</v>
      </c>
      <c r="AJ82" s="17">
        <f>SUBTOTAL(9,$T37:AJ37)</f>
        <v>10</v>
      </c>
    </row>
    <row r="83" spans="1:36" x14ac:dyDescent="0.25">
      <c r="A83" s="13" t="s">
        <v>217</v>
      </c>
      <c r="B83" s="12" t="s">
        <v>218</v>
      </c>
      <c r="C83" s="17">
        <f>SUBTOTAL(9,$C38:C38)</f>
        <v>1</v>
      </c>
      <c r="D83" s="17">
        <f>SUBTOTAL(9,$C38:D38)</f>
        <v>2</v>
      </c>
      <c r="E83" s="17">
        <f>SUBTOTAL(9,$C38:E38)</f>
        <v>2</v>
      </c>
      <c r="F83" s="17">
        <f>SUBTOTAL(9,$C38:F38)</f>
        <v>2</v>
      </c>
      <c r="G83" s="17">
        <f>SUBTOTAL(9,$C38:G38)</f>
        <v>3</v>
      </c>
      <c r="H83" s="17">
        <f>SUBTOTAL(9,$C38:H38)</f>
        <v>3</v>
      </c>
      <c r="I83" s="17">
        <f>SUBTOTAL(9,$C38:I38)</f>
        <v>3</v>
      </c>
      <c r="J83" s="17">
        <f>SUBTOTAL(9,$C38:J38)</f>
        <v>3</v>
      </c>
      <c r="K83" s="17">
        <f>SUBTOTAL(9,$C38:K38)</f>
        <v>3</v>
      </c>
      <c r="L83" s="17">
        <f>SUBTOTAL(9,$C38:L38)</f>
        <v>3</v>
      </c>
      <c r="M83" s="17">
        <f>SUBTOTAL(9,$C38:M38)</f>
        <v>3</v>
      </c>
      <c r="N83" s="17">
        <f>SUBTOTAL(9,$C38:N38)</f>
        <v>3</v>
      </c>
      <c r="O83" s="17">
        <f>SUBTOTAL(9,$C38:O38)</f>
        <v>3</v>
      </c>
      <c r="P83" s="17">
        <f>SUBTOTAL(9,$C38:P38)</f>
        <v>3</v>
      </c>
      <c r="Q83" s="17">
        <f>SUBTOTAL(9,$C38:Q38)</f>
        <v>3</v>
      </c>
      <c r="R83" s="17">
        <f>SUBTOTAL(9,$C38:R38)</f>
        <v>3</v>
      </c>
      <c r="S83" s="17">
        <f>SUBTOTAL(9,$C38:S38)</f>
        <v>3</v>
      </c>
      <c r="T83" s="17">
        <f>SUBTOTAL(9,$T38:T38)</f>
        <v>0</v>
      </c>
      <c r="U83" s="17">
        <f>SUBTOTAL(9,$T38:U38)</f>
        <v>0</v>
      </c>
      <c r="V83" s="17">
        <f>SUBTOTAL(9,$T38:V38)</f>
        <v>1</v>
      </c>
      <c r="W83" s="17">
        <f>SUBTOTAL(9,$T38:W38)</f>
        <v>1</v>
      </c>
      <c r="X83" s="17">
        <f>SUBTOTAL(9,$T38:X38)</f>
        <v>1</v>
      </c>
      <c r="Y83" s="17">
        <f>SUBTOTAL(9,$T38:Y38)</f>
        <v>1</v>
      </c>
      <c r="Z83" s="17">
        <f>SUBTOTAL(9,$T38:Z38)</f>
        <v>1</v>
      </c>
      <c r="AA83" s="17">
        <f>SUBTOTAL(9,$T38:AA38)</f>
        <v>1</v>
      </c>
      <c r="AB83" s="17">
        <f>SUBTOTAL(9,$T38:AB38)</f>
        <v>1</v>
      </c>
      <c r="AC83" s="17">
        <f>SUBTOTAL(9,$T38:AC38)</f>
        <v>1</v>
      </c>
      <c r="AD83" s="17">
        <f>SUBTOTAL(9,$T38:AD38)</f>
        <v>1</v>
      </c>
      <c r="AE83" s="17">
        <f>SUBTOTAL(9,$T38:AE38)</f>
        <v>1</v>
      </c>
      <c r="AF83" s="17">
        <f>SUBTOTAL(9,$T38:AF38)</f>
        <v>1</v>
      </c>
      <c r="AG83" s="17">
        <f>SUBTOTAL(9,$T38:AG38)</f>
        <v>1</v>
      </c>
      <c r="AH83" s="17">
        <f>SUBTOTAL(9,$T38:AH38)</f>
        <v>1</v>
      </c>
      <c r="AI83" s="17">
        <f>SUBTOTAL(9,$T38:AI38)</f>
        <v>1</v>
      </c>
      <c r="AJ83" s="17">
        <f>SUBTOTAL(9,$T38:AJ38)</f>
        <v>1</v>
      </c>
    </row>
    <row r="84" spans="1:36" x14ac:dyDescent="0.25">
      <c r="A84" s="13" t="s">
        <v>219</v>
      </c>
      <c r="B84" s="12" t="s">
        <v>220</v>
      </c>
      <c r="C84" s="17">
        <f>SUBTOTAL(9,$C39:C39)</f>
        <v>1</v>
      </c>
      <c r="D84" s="17">
        <f>SUBTOTAL(9,$C39:D39)</f>
        <v>1</v>
      </c>
      <c r="E84" s="17">
        <f>SUBTOTAL(9,$C39:E39)</f>
        <v>1</v>
      </c>
      <c r="F84" s="17">
        <f>SUBTOTAL(9,$C39:F39)</f>
        <v>1</v>
      </c>
      <c r="G84" s="17">
        <f>SUBTOTAL(9,$C39:G39)</f>
        <v>1</v>
      </c>
      <c r="H84" s="17">
        <f>SUBTOTAL(9,$C39:H39)</f>
        <v>1</v>
      </c>
      <c r="I84" s="17">
        <f>SUBTOTAL(9,$C39:I39)</f>
        <v>1</v>
      </c>
      <c r="J84" s="17">
        <f>SUBTOTAL(9,$C39:J39)</f>
        <v>1</v>
      </c>
      <c r="K84" s="17">
        <f>SUBTOTAL(9,$C39:K39)</f>
        <v>1</v>
      </c>
      <c r="L84" s="17">
        <f>SUBTOTAL(9,$C39:L39)</f>
        <v>1</v>
      </c>
      <c r="M84" s="17">
        <f>SUBTOTAL(9,$C39:M39)</f>
        <v>3</v>
      </c>
      <c r="N84" s="17">
        <f>SUBTOTAL(9,$C39:N39)</f>
        <v>3</v>
      </c>
      <c r="O84" s="17">
        <f>SUBTOTAL(9,$C39:O39)</f>
        <v>3</v>
      </c>
      <c r="P84" s="17">
        <f>SUBTOTAL(9,$C39:P39)</f>
        <v>3</v>
      </c>
      <c r="Q84" s="17">
        <f>SUBTOTAL(9,$C39:Q39)</f>
        <v>4</v>
      </c>
      <c r="R84" s="17">
        <f>SUBTOTAL(9,$C39:R39)</f>
        <v>4</v>
      </c>
      <c r="S84" s="17">
        <f>SUBTOTAL(9,$C39:S39)</f>
        <v>4</v>
      </c>
      <c r="T84" s="17">
        <f>SUBTOTAL(9,$T39:T39)</f>
        <v>0</v>
      </c>
      <c r="U84" s="17">
        <f>SUBTOTAL(9,$T39:U39)</f>
        <v>0</v>
      </c>
      <c r="V84" s="17">
        <f>SUBTOTAL(9,$T39:V39)</f>
        <v>0</v>
      </c>
      <c r="W84" s="17">
        <f>SUBTOTAL(9,$T39:W39)</f>
        <v>0</v>
      </c>
      <c r="X84" s="17">
        <f>SUBTOTAL(9,$T39:X39)</f>
        <v>0</v>
      </c>
      <c r="Y84" s="17">
        <f>SUBTOTAL(9,$T39:Y39)</f>
        <v>0</v>
      </c>
      <c r="Z84" s="17">
        <f>SUBTOTAL(9,$T39:Z39)</f>
        <v>1</v>
      </c>
      <c r="AA84" s="17">
        <f>SUBTOTAL(9,$T39:AA39)</f>
        <v>1</v>
      </c>
      <c r="AB84" s="17">
        <f>SUBTOTAL(9,$T39:AB39)</f>
        <v>1</v>
      </c>
      <c r="AC84" s="17">
        <f>SUBTOTAL(9,$T39:AC39)</f>
        <v>1</v>
      </c>
      <c r="AD84" s="17">
        <f>SUBTOTAL(9,$T39:AD39)</f>
        <v>1</v>
      </c>
      <c r="AE84" s="17">
        <f>SUBTOTAL(9,$T39:AE39)</f>
        <v>1</v>
      </c>
      <c r="AF84" s="17">
        <f>SUBTOTAL(9,$T39:AF39)</f>
        <v>1</v>
      </c>
      <c r="AG84" s="17">
        <f>SUBTOTAL(9,$T39:AG39)</f>
        <v>1</v>
      </c>
      <c r="AH84" s="17">
        <f>SUBTOTAL(9,$T39:AH39)</f>
        <v>3</v>
      </c>
      <c r="AI84" s="17">
        <f>SUBTOTAL(9,$T39:AI39)</f>
        <v>3</v>
      </c>
      <c r="AJ84" s="17">
        <f>SUBTOTAL(9,$T39:AJ39)</f>
        <v>3</v>
      </c>
    </row>
    <row r="85" spans="1:36" x14ac:dyDescent="0.25">
      <c r="A85" s="13" t="s">
        <v>221</v>
      </c>
      <c r="B85" s="12" t="s">
        <v>222</v>
      </c>
      <c r="C85" s="17">
        <f>SUBTOTAL(9,$C40:C40)</f>
        <v>0</v>
      </c>
      <c r="D85" s="17">
        <f>SUBTOTAL(9,$C40:D40)</f>
        <v>0</v>
      </c>
      <c r="E85" s="17">
        <f>SUBTOTAL(9,$C40:E40)</f>
        <v>0</v>
      </c>
      <c r="F85" s="17">
        <f>SUBTOTAL(9,$C40:F40)</f>
        <v>0</v>
      </c>
      <c r="G85" s="17">
        <f>SUBTOTAL(9,$C40:G40)</f>
        <v>0</v>
      </c>
      <c r="H85" s="17">
        <f>SUBTOTAL(9,$C40:H40)</f>
        <v>0</v>
      </c>
      <c r="I85" s="17">
        <f>SUBTOTAL(9,$C40:I40)</f>
        <v>0</v>
      </c>
      <c r="J85" s="17">
        <f>SUBTOTAL(9,$C40:J40)</f>
        <v>0</v>
      </c>
      <c r="K85" s="17">
        <f>SUBTOTAL(9,$C40:K40)</f>
        <v>0</v>
      </c>
      <c r="L85" s="17">
        <f>SUBTOTAL(9,$C40:L40)</f>
        <v>0</v>
      </c>
      <c r="M85" s="17">
        <f>SUBTOTAL(9,$C40:M40)</f>
        <v>0</v>
      </c>
      <c r="N85" s="17">
        <f>SUBTOTAL(9,$C40:N40)</f>
        <v>0</v>
      </c>
      <c r="O85" s="17">
        <f>SUBTOTAL(9,$C40:O40)</f>
        <v>0</v>
      </c>
      <c r="P85" s="17">
        <f>SUBTOTAL(9,$C40:P40)</f>
        <v>0</v>
      </c>
      <c r="Q85" s="17">
        <f>SUBTOTAL(9,$C40:Q40)</f>
        <v>0</v>
      </c>
      <c r="R85" s="17">
        <f>SUBTOTAL(9,$C40:R40)</f>
        <v>0</v>
      </c>
      <c r="S85" s="17">
        <f>SUBTOTAL(9,$C40:S40)</f>
        <v>0</v>
      </c>
      <c r="T85" s="17">
        <f>SUBTOTAL(9,$T40:T40)</f>
        <v>0</v>
      </c>
      <c r="U85" s="17">
        <f>SUBTOTAL(9,$T40:U40)</f>
        <v>0</v>
      </c>
      <c r="V85" s="17">
        <f>SUBTOTAL(9,$T40:V40)</f>
        <v>0</v>
      </c>
      <c r="W85" s="17">
        <f>SUBTOTAL(9,$T40:W40)</f>
        <v>0</v>
      </c>
      <c r="X85" s="17">
        <f>SUBTOTAL(9,$T40:X40)</f>
        <v>0</v>
      </c>
      <c r="Y85" s="17">
        <f>SUBTOTAL(9,$T40:Y40)</f>
        <v>0</v>
      </c>
      <c r="Z85" s="17">
        <f>SUBTOTAL(9,$T40:Z40)</f>
        <v>0</v>
      </c>
      <c r="AA85" s="17">
        <f>SUBTOTAL(9,$T40:AA40)</f>
        <v>0</v>
      </c>
      <c r="AB85" s="17">
        <f>SUBTOTAL(9,$T40:AB40)</f>
        <v>0</v>
      </c>
      <c r="AC85" s="17">
        <f>SUBTOTAL(9,$T40:AC40)</f>
        <v>0</v>
      </c>
      <c r="AD85" s="17">
        <f>SUBTOTAL(9,$T40:AD40)</f>
        <v>0</v>
      </c>
      <c r="AE85" s="17">
        <f>SUBTOTAL(9,$T40:AE40)</f>
        <v>0</v>
      </c>
      <c r="AF85" s="17">
        <f>SUBTOTAL(9,$T40:AF40)</f>
        <v>0</v>
      </c>
      <c r="AG85" s="17">
        <f>SUBTOTAL(9,$T40:AG40)</f>
        <v>0</v>
      </c>
      <c r="AH85" s="17">
        <f>SUBTOTAL(9,$T40:AH40)</f>
        <v>0</v>
      </c>
      <c r="AI85" s="17">
        <f>SUBTOTAL(9,$T40:AI40)</f>
        <v>0</v>
      </c>
      <c r="AJ85" s="17">
        <f>SUBTOTAL(9,$T40:AJ40)</f>
        <v>0</v>
      </c>
    </row>
    <row r="86" spans="1:36" x14ac:dyDescent="0.25">
      <c r="A86" s="13" t="s">
        <v>223</v>
      </c>
      <c r="B86" s="12" t="s">
        <v>224</v>
      </c>
      <c r="C86" s="17">
        <f>SUBTOTAL(9,$C41:C41)</f>
        <v>0</v>
      </c>
      <c r="D86" s="17">
        <f>SUBTOTAL(9,$C41:D41)</f>
        <v>1</v>
      </c>
      <c r="E86" s="17">
        <f>SUBTOTAL(9,$C41:E41)</f>
        <v>1</v>
      </c>
      <c r="F86" s="17">
        <f>SUBTOTAL(9,$C41:F41)</f>
        <v>1</v>
      </c>
      <c r="G86" s="17">
        <f>SUBTOTAL(9,$C41:G41)</f>
        <v>1</v>
      </c>
      <c r="H86" s="17">
        <f>SUBTOTAL(9,$C41:H41)</f>
        <v>1</v>
      </c>
      <c r="I86" s="17">
        <f>SUBTOTAL(9,$C41:I41)</f>
        <v>1</v>
      </c>
      <c r="J86" s="17">
        <f>SUBTOTAL(9,$C41:J41)</f>
        <v>1</v>
      </c>
      <c r="K86" s="17">
        <f>SUBTOTAL(9,$C41:K41)</f>
        <v>1</v>
      </c>
      <c r="L86" s="17">
        <f>SUBTOTAL(9,$C41:L41)</f>
        <v>1</v>
      </c>
      <c r="M86" s="17">
        <f>SUBTOTAL(9,$C41:M41)</f>
        <v>1</v>
      </c>
      <c r="N86" s="17">
        <f>SUBTOTAL(9,$C41:N41)</f>
        <v>1</v>
      </c>
      <c r="O86" s="17">
        <f>SUBTOTAL(9,$C41:O41)</f>
        <v>1</v>
      </c>
      <c r="P86" s="17">
        <f>SUBTOTAL(9,$C41:P41)</f>
        <v>1</v>
      </c>
      <c r="Q86" s="17">
        <f>SUBTOTAL(9,$C41:Q41)</f>
        <v>1</v>
      </c>
      <c r="R86" s="17">
        <f>SUBTOTAL(9,$C41:R41)</f>
        <v>1</v>
      </c>
      <c r="S86" s="17">
        <f>SUBTOTAL(9,$C41:S41)</f>
        <v>1</v>
      </c>
      <c r="T86" s="17">
        <f>SUBTOTAL(9,$T41:T41)</f>
        <v>0</v>
      </c>
      <c r="U86" s="17">
        <f>SUBTOTAL(9,$T41:U41)</f>
        <v>0</v>
      </c>
      <c r="V86" s="17">
        <f>SUBTOTAL(9,$T41:V41)</f>
        <v>0</v>
      </c>
      <c r="W86" s="17">
        <f>SUBTOTAL(9,$T41:W41)</f>
        <v>0</v>
      </c>
      <c r="X86" s="17">
        <f>SUBTOTAL(9,$T41:X41)</f>
        <v>0</v>
      </c>
      <c r="Y86" s="17">
        <f>SUBTOTAL(9,$T41:Y41)</f>
        <v>0</v>
      </c>
      <c r="Z86" s="17">
        <f>SUBTOTAL(9,$T41:Z41)</f>
        <v>0</v>
      </c>
      <c r="AA86" s="17">
        <f>SUBTOTAL(9,$T41:AA41)</f>
        <v>0</v>
      </c>
      <c r="AB86" s="17">
        <f>SUBTOTAL(9,$T41:AB41)</f>
        <v>0</v>
      </c>
      <c r="AC86" s="17">
        <f>SUBTOTAL(9,$T41:AC41)</f>
        <v>0</v>
      </c>
      <c r="AD86" s="17">
        <f>SUBTOTAL(9,$T41:AD41)</f>
        <v>0</v>
      </c>
      <c r="AE86" s="17">
        <f>SUBTOTAL(9,$T41:AE41)</f>
        <v>0</v>
      </c>
      <c r="AF86" s="17">
        <f>SUBTOTAL(9,$T41:AF41)</f>
        <v>0</v>
      </c>
      <c r="AG86" s="17">
        <f>SUBTOTAL(9,$T41:AG41)</f>
        <v>0</v>
      </c>
      <c r="AH86" s="17">
        <f>SUBTOTAL(9,$T41:AH41)</f>
        <v>0</v>
      </c>
      <c r="AI86" s="17">
        <f>SUBTOTAL(9,$T41:AI41)</f>
        <v>0</v>
      </c>
      <c r="AJ86" s="17">
        <f>SUBTOTAL(9,$T41:AJ41)</f>
        <v>0</v>
      </c>
    </row>
    <row r="87" spans="1:36" x14ac:dyDescent="0.25">
      <c r="A87" s="13" t="s">
        <v>225</v>
      </c>
      <c r="B87" s="12" t="s">
        <v>226</v>
      </c>
      <c r="C87" s="17">
        <f>SUBTOTAL(9,$C42:C42)</f>
        <v>0</v>
      </c>
      <c r="D87" s="17">
        <f>SUBTOTAL(9,$C42:D42)</f>
        <v>0</v>
      </c>
      <c r="E87" s="17">
        <f>SUBTOTAL(9,$C42:E42)</f>
        <v>0</v>
      </c>
      <c r="F87" s="17">
        <f>SUBTOTAL(9,$C42:F42)</f>
        <v>0</v>
      </c>
      <c r="G87" s="17">
        <f>SUBTOTAL(9,$C42:G42)</f>
        <v>0</v>
      </c>
      <c r="H87" s="17">
        <f>SUBTOTAL(9,$C42:H42)</f>
        <v>0</v>
      </c>
      <c r="I87" s="17">
        <f>SUBTOTAL(9,$C42:I42)</f>
        <v>0</v>
      </c>
      <c r="J87" s="17">
        <f>SUBTOTAL(9,$C42:J42)</f>
        <v>0</v>
      </c>
      <c r="K87" s="17">
        <f>SUBTOTAL(9,$C42:K42)</f>
        <v>0</v>
      </c>
      <c r="L87" s="17">
        <f>SUBTOTAL(9,$C42:L42)</f>
        <v>0</v>
      </c>
      <c r="M87" s="17">
        <f>SUBTOTAL(9,$C42:M42)</f>
        <v>0</v>
      </c>
      <c r="N87" s="17">
        <f>SUBTOTAL(9,$C42:N42)</f>
        <v>0</v>
      </c>
      <c r="O87" s="17">
        <f>SUBTOTAL(9,$C42:O42)</f>
        <v>0</v>
      </c>
      <c r="P87" s="17">
        <f>SUBTOTAL(9,$C42:P42)</f>
        <v>0</v>
      </c>
      <c r="Q87" s="17">
        <f>SUBTOTAL(9,$C42:Q42)</f>
        <v>0</v>
      </c>
      <c r="R87" s="17">
        <f>SUBTOTAL(9,$C42:R42)</f>
        <v>0</v>
      </c>
      <c r="S87" s="17">
        <f>SUBTOTAL(9,$C42:S42)</f>
        <v>0</v>
      </c>
      <c r="T87" s="17">
        <f>SUBTOTAL(9,$T42:T42)</f>
        <v>0</v>
      </c>
      <c r="U87" s="17">
        <f>SUBTOTAL(9,$T42:U42)</f>
        <v>0</v>
      </c>
      <c r="V87" s="17">
        <f>SUBTOTAL(9,$T42:V42)</f>
        <v>0</v>
      </c>
      <c r="W87" s="17">
        <f>SUBTOTAL(9,$T42:W42)</f>
        <v>0</v>
      </c>
      <c r="X87" s="17">
        <f>SUBTOTAL(9,$T42:X42)</f>
        <v>0</v>
      </c>
      <c r="Y87" s="17">
        <f>SUBTOTAL(9,$T42:Y42)</f>
        <v>0</v>
      </c>
      <c r="Z87" s="17">
        <f>SUBTOTAL(9,$T42:Z42)</f>
        <v>0</v>
      </c>
      <c r="AA87" s="17">
        <f>SUBTOTAL(9,$T42:AA42)</f>
        <v>0</v>
      </c>
      <c r="AB87" s="17">
        <f>SUBTOTAL(9,$T42:AB42)</f>
        <v>0</v>
      </c>
      <c r="AC87" s="17">
        <f>SUBTOTAL(9,$T42:AC42)</f>
        <v>0</v>
      </c>
      <c r="AD87" s="17">
        <f>SUBTOTAL(9,$T42:AD42)</f>
        <v>0</v>
      </c>
      <c r="AE87" s="17">
        <f>SUBTOTAL(9,$T42:AE42)</f>
        <v>0</v>
      </c>
      <c r="AF87" s="17">
        <f>SUBTOTAL(9,$T42:AF42)</f>
        <v>1</v>
      </c>
      <c r="AG87" s="17">
        <f>SUBTOTAL(9,$T42:AG42)</f>
        <v>1</v>
      </c>
      <c r="AH87" s="17">
        <f>SUBTOTAL(9,$T42:AH42)</f>
        <v>1</v>
      </c>
      <c r="AI87" s="17">
        <f>SUBTOTAL(9,$T42:AI42)</f>
        <v>1</v>
      </c>
      <c r="AJ87" s="17">
        <f>SUBTOTAL(9,$T42:AJ42)</f>
        <v>1</v>
      </c>
    </row>
    <row r="88" spans="1:36" x14ac:dyDescent="0.25">
      <c r="A88" s="13" t="s">
        <v>227</v>
      </c>
      <c r="B88" s="12" t="s">
        <v>228</v>
      </c>
      <c r="C88" s="17">
        <f>SUBTOTAL(9,$C43:C43)</f>
        <v>0</v>
      </c>
      <c r="D88" s="17">
        <f>SUBTOTAL(9,$C43:D43)</f>
        <v>0</v>
      </c>
      <c r="E88" s="17">
        <f>SUBTOTAL(9,$C43:E43)</f>
        <v>0</v>
      </c>
      <c r="F88" s="17">
        <f>SUBTOTAL(9,$C43:F43)</f>
        <v>0</v>
      </c>
      <c r="G88" s="17">
        <f>SUBTOTAL(9,$C43:G43)</f>
        <v>0</v>
      </c>
      <c r="H88" s="17">
        <f>SUBTOTAL(9,$C43:H43)</f>
        <v>0</v>
      </c>
      <c r="I88" s="17">
        <f>SUBTOTAL(9,$C43:I43)</f>
        <v>0</v>
      </c>
      <c r="J88" s="17">
        <f>SUBTOTAL(9,$C43:J43)</f>
        <v>0</v>
      </c>
      <c r="K88" s="17">
        <f>SUBTOTAL(9,$C43:K43)</f>
        <v>0</v>
      </c>
      <c r="L88" s="17">
        <f>SUBTOTAL(9,$C43:L43)</f>
        <v>0</v>
      </c>
      <c r="M88" s="17">
        <f>SUBTOTAL(9,$C43:M43)</f>
        <v>0</v>
      </c>
      <c r="N88" s="17">
        <f>SUBTOTAL(9,$C43:N43)</f>
        <v>0</v>
      </c>
      <c r="O88" s="17">
        <f>SUBTOTAL(9,$C43:O43)</f>
        <v>0</v>
      </c>
      <c r="P88" s="17">
        <f>SUBTOTAL(9,$C43:P43)</f>
        <v>0</v>
      </c>
      <c r="Q88" s="17">
        <f>SUBTOTAL(9,$C43:Q43)</f>
        <v>0</v>
      </c>
      <c r="R88" s="17">
        <f>SUBTOTAL(9,$C43:R43)</f>
        <v>0</v>
      </c>
      <c r="S88" s="17">
        <f>SUBTOTAL(9,$C43:S43)</f>
        <v>0</v>
      </c>
      <c r="T88" s="17">
        <f>SUBTOTAL(9,$T43:T43)</f>
        <v>0</v>
      </c>
      <c r="U88" s="17">
        <f>SUBTOTAL(9,$T43:U43)</f>
        <v>0</v>
      </c>
      <c r="V88" s="17">
        <f>SUBTOTAL(9,$T43:V43)</f>
        <v>0</v>
      </c>
      <c r="W88" s="17">
        <f>SUBTOTAL(9,$T43:W43)</f>
        <v>0</v>
      </c>
      <c r="X88" s="17">
        <f>SUBTOTAL(9,$T43:X43)</f>
        <v>0</v>
      </c>
      <c r="Y88" s="17">
        <f>SUBTOTAL(9,$T43:Y43)</f>
        <v>0</v>
      </c>
      <c r="Z88" s="17">
        <f>SUBTOTAL(9,$T43:Z43)</f>
        <v>0</v>
      </c>
      <c r="AA88" s="17">
        <f>SUBTOTAL(9,$T43:AA43)</f>
        <v>0</v>
      </c>
      <c r="AB88" s="17">
        <f>SUBTOTAL(9,$T43:AB43)</f>
        <v>0</v>
      </c>
      <c r="AC88" s="17">
        <f>SUBTOTAL(9,$T43:AC43)</f>
        <v>0</v>
      </c>
      <c r="AD88" s="17">
        <f>SUBTOTAL(9,$T43:AD43)</f>
        <v>0</v>
      </c>
      <c r="AE88" s="17">
        <f>SUBTOTAL(9,$T43:AE43)</f>
        <v>0</v>
      </c>
      <c r="AF88" s="17">
        <f>SUBTOTAL(9,$T43:AF43)</f>
        <v>0</v>
      </c>
      <c r="AG88" s="17">
        <f>SUBTOTAL(9,$T43:AG43)</f>
        <v>0</v>
      </c>
      <c r="AH88" s="17">
        <f>SUBTOTAL(9,$T43:AH43)</f>
        <v>0</v>
      </c>
      <c r="AI88" s="17">
        <f>SUBTOTAL(9,$T43:AI43)</f>
        <v>0</v>
      </c>
      <c r="AJ88" s="17">
        <f>SUBTOTAL(9,$T43:AJ43)</f>
        <v>0</v>
      </c>
    </row>
    <row r="89" spans="1:36" x14ac:dyDescent="0.25">
      <c r="A89" s="13" t="s">
        <v>229</v>
      </c>
      <c r="B89" s="12" t="s">
        <v>230</v>
      </c>
      <c r="C89" s="17">
        <f>SUBTOTAL(9,$C44:C44)</f>
        <v>0</v>
      </c>
      <c r="D89" s="17">
        <f>SUBTOTAL(9,$C44:D44)</f>
        <v>0</v>
      </c>
      <c r="E89" s="17">
        <f>SUBTOTAL(9,$C44:E44)</f>
        <v>0</v>
      </c>
      <c r="F89" s="17">
        <f>SUBTOTAL(9,$C44:F44)</f>
        <v>0</v>
      </c>
      <c r="G89" s="17">
        <f>SUBTOTAL(9,$C44:G44)</f>
        <v>0</v>
      </c>
      <c r="H89" s="17">
        <f>SUBTOTAL(9,$C44:H44)</f>
        <v>0</v>
      </c>
      <c r="I89" s="17">
        <f>SUBTOTAL(9,$C44:I44)</f>
        <v>0</v>
      </c>
      <c r="J89" s="17">
        <f>SUBTOTAL(9,$C44:J44)</f>
        <v>0</v>
      </c>
      <c r="K89" s="17">
        <f>SUBTOTAL(9,$C44:K44)</f>
        <v>0</v>
      </c>
      <c r="L89" s="17">
        <f>SUBTOTAL(9,$C44:L44)</f>
        <v>0</v>
      </c>
      <c r="M89" s="17">
        <f>SUBTOTAL(9,$C44:M44)</f>
        <v>0</v>
      </c>
      <c r="N89" s="17">
        <f>SUBTOTAL(9,$C44:N44)</f>
        <v>0</v>
      </c>
      <c r="O89" s="17">
        <f>SUBTOTAL(9,$C44:O44)</f>
        <v>0</v>
      </c>
      <c r="P89" s="17">
        <f>SUBTOTAL(9,$C44:P44)</f>
        <v>0</v>
      </c>
      <c r="Q89" s="17">
        <f>SUBTOTAL(9,$C44:Q44)</f>
        <v>0</v>
      </c>
      <c r="R89" s="17">
        <f>SUBTOTAL(9,$C44:R44)</f>
        <v>0</v>
      </c>
      <c r="S89" s="17">
        <f>SUBTOTAL(9,$C44:S44)</f>
        <v>0</v>
      </c>
      <c r="T89" s="17">
        <f>SUBTOTAL(9,$T44:T44)</f>
        <v>0</v>
      </c>
      <c r="U89" s="17">
        <f>SUBTOTAL(9,$T44:U44)</f>
        <v>0</v>
      </c>
      <c r="V89" s="17">
        <f>SUBTOTAL(9,$T44:V44)</f>
        <v>0</v>
      </c>
      <c r="W89" s="17">
        <f>SUBTOTAL(9,$T44:W44)</f>
        <v>0</v>
      </c>
      <c r="X89" s="17">
        <f>SUBTOTAL(9,$T44:X44)</f>
        <v>0</v>
      </c>
      <c r="Y89" s="17">
        <f>SUBTOTAL(9,$T44:Y44)</f>
        <v>0</v>
      </c>
      <c r="Z89" s="17">
        <f>SUBTOTAL(9,$T44:Z44)</f>
        <v>0</v>
      </c>
      <c r="AA89" s="17">
        <f>SUBTOTAL(9,$T44:AA44)</f>
        <v>0</v>
      </c>
      <c r="AB89" s="17">
        <f>SUBTOTAL(9,$T44:AB44)</f>
        <v>0</v>
      </c>
      <c r="AC89" s="17">
        <f>SUBTOTAL(9,$T44:AC44)</f>
        <v>0</v>
      </c>
      <c r="AD89" s="17">
        <f>SUBTOTAL(9,$T44:AD44)</f>
        <v>0</v>
      </c>
      <c r="AE89" s="17">
        <f>SUBTOTAL(9,$T44:AE44)</f>
        <v>0</v>
      </c>
      <c r="AF89" s="17">
        <f>SUBTOTAL(9,$T44:AF44)</f>
        <v>0</v>
      </c>
      <c r="AG89" s="17">
        <f>SUBTOTAL(9,$T44:AG44)</f>
        <v>0</v>
      </c>
      <c r="AH89" s="17">
        <f>SUBTOTAL(9,$T44:AH44)</f>
        <v>0</v>
      </c>
      <c r="AI89" s="17">
        <f>SUBTOTAL(9,$T44:AI44)</f>
        <v>0</v>
      </c>
      <c r="AJ89" s="17">
        <f>SUBTOTAL(9,$T44:AJ44)</f>
        <v>0</v>
      </c>
    </row>
  </sheetData>
  <mergeCells count="4">
    <mergeCell ref="C1:S1"/>
    <mergeCell ref="T1:AJ1"/>
    <mergeCell ref="A47:B47"/>
    <mergeCell ref="A45:B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FF00"/>
  </sheetPr>
  <dimension ref="A1:T672"/>
  <sheetViews>
    <sheetView workbookViewId="0">
      <selection activeCell="J222" sqref="J222"/>
    </sheetView>
  </sheetViews>
  <sheetFormatPr defaultRowHeight="15" x14ac:dyDescent="0.25"/>
  <cols>
    <col min="4" max="4" width="20.7109375" customWidth="1"/>
    <col min="5" max="5" width="15.7109375" customWidth="1"/>
    <col min="6" max="6" width="46.42578125" customWidth="1"/>
    <col min="7" max="7" width="13.85546875" customWidth="1"/>
    <col min="8" max="8" width="21.28515625" style="4" customWidth="1"/>
    <col min="9" max="9" width="16" style="4" customWidth="1"/>
    <col min="10" max="10" width="46.7109375" customWidth="1"/>
    <col min="11" max="11" width="12.7109375" customWidth="1"/>
    <col min="12" max="12" width="14.85546875" customWidth="1"/>
    <col min="13" max="13" width="16.140625" customWidth="1"/>
    <col min="14" max="14" width="13" customWidth="1"/>
    <col min="16" max="16" width="14.140625" style="6" customWidth="1"/>
    <col min="17" max="18" width="21.7109375" style="6" customWidth="1"/>
    <col min="19" max="19" width="10.5703125" style="6" customWidth="1"/>
    <col min="20" max="20" width="9.140625" style="6"/>
  </cols>
  <sheetData>
    <row r="1" spans="1:20" x14ac:dyDescent="0.25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s="4" t="s">
        <v>251</v>
      </c>
      <c r="I1" s="4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s="6" t="s">
        <v>5</v>
      </c>
      <c r="Q1" s="6" t="s">
        <v>4</v>
      </c>
      <c r="R1" s="6" t="s">
        <v>259</v>
      </c>
      <c r="S1" s="7" t="s">
        <v>231</v>
      </c>
      <c r="T1" s="7" t="s">
        <v>260</v>
      </c>
    </row>
    <row r="2" spans="1:20" x14ac:dyDescent="0.25">
      <c r="A2">
        <v>299399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s="5">
        <v>45799</v>
      </c>
      <c r="I2" s="5">
        <v>45806</v>
      </c>
      <c r="J2" t="s">
        <v>267</v>
      </c>
      <c r="K2" t="s">
        <v>268</v>
      </c>
      <c r="L2">
        <v>1</v>
      </c>
      <c r="M2" t="s">
        <v>269</v>
      </c>
      <c r="N2" t="s">
        <v>236</v>
      </c>
      <c r="O2">
        <v>1</v>
      </c>
      <c r="P2" s="6" t="str">
        <f>VLOOKUP(J2,'Store lookup'!A:C,2,0)</f>
        <v>A001</v>
      </c>
      <c r="Q2" s="6" t="str">
        <f>VLOOKUP(J2,'Store lookup'!A:C,3,0)</f>
        <v>Anaconda Bayswater</v>
      </c>
      <c r="R2" s="6" t="str">
        <f t="shared" ref="R2:R65" si="0">IF(LEFT(Q2,1)="A","Ananconda",IF(LEFT(Q2,1)="H","Harris Scarfe",IF(LEFT(Q2,1)="S","Spotlight","Exempt")))</f>
        <v>Ananconda</v>
      </c>
      <c r="S2" s="6" t="str">
        <f>VLOOKUP(I2,'FIN CAL LOOKUP'!A:J,7,1)</f>
        <v>MAY, FY25</v>
      </c>
      <c r="T2" s="6" t="str">
        <f>VLOOKUP(I2,'FIN CAL LOOKUP'!A:J,10,1)</f>
        <v>Q4, FY25</v>
      </c>
    </row>
    <row r="3" spans="1:20" x14ac:dyDescent="0.25">
      <c r="A3">
        <v>321839</v>
      </c>
      <c r="B3" t="s">
        <v>270</v>
      </c>
      <c r="C3" t="s">
        <v>271</v>
      </c>
      <c r="D3" t="s">
        <v>272</v>
      </c>
      <c r="E3" t="s">
        <v>264</v>
      </c>
      <c r="F3" t="s">
        <v>273</v>
      </c>
      <c r="G3" t="s">
        <v>266</v>
      </c>
      <c r="H3" s="5">
        <v>45798</v>
      </c>
      <c r="I3" s="5">
        <v>45813</v>
      </c>
      <c r="J3" t="s">
        <v>274</v>
      </c>
      <c r="K3" t="s">
        <v>268</v>
      </c>
      <c r="L3">
        <v>1</v>
      </c>
      <c r="M3" t="s">
        <v>275</v>
      </c>
      <c r="N3" t="s">
        <v>236</v>
      </c>
      <c r="O3">
        <v>1</v>
      </c>
      <c r="P3" s="6" t="str">
        <f>VLOOKUP(J3,'Store lookup'!A:C,2,0)</f>
        <v>A026</v>
      </c>
      <c r="Q3" s="6" t="str">
        <f>VLOOKUP(J3,'Store lookup'!A:C,3,0)</f>
        <v>Anaconda Springvale</v>
      </c>
      <c r="R3" s="6" t="str">
        <f t="shared" si="0"/>
        <v>Ananconda</v>
      </c>
      <c r="S3" s="6" t="str">
        <f>VLOOKUP(I3,'FIN CAL LOOKUP'!A:J,7,1)</f>
        <v>JUN, FY25</v>
      </c>
      <c r="T3" s="6" t="str">
        <f>VLOOKUP(I3,'FIN CAL LOOKUP'!A:J,10,1)</f>
        <v>Q4, FY25</v>
      </c>
    </row>
    <row r="4" spans="1:20" x14ac:dyDescent="0.25">
      <c r="A4">
        <v>312588</v>
      </c>
      <c r="B4" t="s">
        <v>276</v>
      </c>
      <c r="C4" t="s">
        <v>277</v>
      </c>
      <c r="D4" t="s">
        <v>278</v>
      </c>
      <c r="E4" t="s">
        <v>264</v>
      </c>
      <c r="F4" t="s">
        <v>279</v>
      </c>
      <c r="G4" t="s">
        <v>266</v>
      </c>
      <c r="H4" s="5">
        <v>45798</v>
      </c>
      <c r="I4" s="5">
        <v>45805</v>
      </c>
      <c r="J4" t="s">
        <v>280</v>
      </c>
      <c r="K4" t="s">
        <v>268</v>
      </c>
      <c r="L4">
        <v>1</v>
      </c>
      <c r="M4" t="s">
        <v>281</v>
      </c>
      <c r="N4" t="s">
        <v>236</v>
      </c>
      <c r="O4">
        <v>1</v>
      </c>
      <c r="P4" s="6" t="str">
        <f>VLOOKUP(J4,'Store lookup'!A:C,2,0)</f>
        <v>A041</v>
      </c>
      <c r="Q4" s="6" t="str">
        <f>VLOOKUP(J4,'Store lookup'!A:C,3,0)</f>
        <v>Anaconda Box Hill</v>
      </c>
      <c r="R4" s="6" t="str">
        <f t="shared" si="0"/>
        <v>Ananconda</v>
      </c>
      <c r="S4" s="6" t="str">
        <f>VLOOKUP(I4,'FIN CAL LOOKUP'!A:J,7,1)</f>
        <v>MAY, FY25</v>
      </c>
      <c r="T4" s="6" t="str">
        <f>VLOOKUP(I4,'FIN CAL LOOKUP'!A:J,10,1)</f>
        <v>Q4, FY25</v>
      </c>
    </row>
    <row r="5" spans="1:20" x14ac:dyDescent="0.25">
      <c r="A5">
        <v>335621</v>
      </c>
      <c r="B5" t="s">
        <v>282</v>
      </c>
      <c r="C5" t="s">
        <v>283</v>
      </c>
      <c r="D5" t="s">
        <v>284</v>
      </c>
      <c r="E5" t="s">
        <v>264</v>
      </c>
      <c r="F5" t="s">
        <v>285</v>
      </c>
      <c r="G5" t="s">
        <v>266</v>
      </c>
      <c r="H5" s="5">
        <v>45797</v>
      </c>
      <c r="I5" s="5">
        <v>45818</v>
      </c>
      <c r="J5" t="s">
        <v>286</v>
      </c>
      <c r="K5" t="s">
        <v>268</v>
      </c>
      <c r="L5">
        <v>1</v>
      </c>
      <c r="M5" t="s">
        <v>287</v>
      </c>
      <c r="N5" t="s">
        <v>236</v>
      </c>
      <c r="O5">
        <v>1</v>
      </c>
      <c r="P5" s="6" t="str">
        <f>VLOOKUP(J5,'Store lookup'!A:C,2,0)</f>
        <v>A040</v>
      </c>
      <c r="Q5" s="6" t="str">
        <f>VLOOKUP(J5,'Store lookup'!A:C,3,0)</f>
        <v>Anaconda Watergardens</v>
      </c>
      <c r="R5" s="6" t="str">
        <f t="shared" si="0"/>
        <v>Ananconda</v>
      </c>
      <c r="S5" s="6" t="str">
        <f>VLOOKUP(I5,'FIN CAL LOOKUP'!A:J,7,1)</f>
        <v>JUN, FY25</v>
      </c>
      <c r="T5" s="6" t="str">
        <f>VLOOKUP(I5,'FIN CAL LOOKUP'!A:J,10,1)</f>
        <v>Q4, FY25</v>
      </c>
    </row>
    <row r="6" spans="1:20" x14ac:dyDescent="0.25">
      <c r="A6">
        <v>336927</v>
      </c>
      <c r="B6" t="s">
        <v>288</v>
      </c>
      <c r="C6" t="s">
        <v>289</v>
      </c>
      <c r="D6" t="s">
        <v>272</v>
      </c>
      <c r="E6" t="s">
        <v>264</v>
      </c>
      <c r="F6" t="s">
        <v>290</v>
      </c>
      <c r="G6" t="s">
        <v>266</v>
      </c>
      <c r="H6" s="5">
        <v>45784</v>
      </c>
      <c r="I6" s="5">
        <v>45798</v>
      </c>
      <c r="J6" t="s">
        <v>291</v>
      </c>
      <c r="K6" t="s">
        <v>268</v>
      </c>
      <c r="L6">
        <v>1</v>
      </c>
      <c r="M6" t="s">
        <v>292</v>
      </c>
      <c r="N6" t="s">
        <v>236</v>
      </c>
      <c r="O6">
        <v>1</v>
      </c>
      <c r="P6" s="6" t="str">
        <f>VLOOKUP(J6,'Store lookup'!A:C,2,0)</f>
        <v>A035</v>
      </c>
      <c r="Q6" s="6" t="str">
        <f>VLOOKUP(J6,'Store lookup'!A:C,3,0)</f>
        <v>Anaconda Ballarat</v>
      </c>
      <c r="R6" s="6" t="str">
        <f t="shared" si="0"/>
        <v>Ananconda</v>
      </c>
      <c r="S6" s="6" t="str">
        <f>VLOOKUP(I6,'FIN CAL LOOKUP'!A:J,7,1)</f>
        <v>MAY, FY25</v>
      </c>
      <c r="T6" s="6" t="str">
        <f>VLOOKUP(I6,'FIN CAL LOOKUP'!A:J,10,1)</f>
        <v>Q4, FY25</v>
      </c>
    </row>
    <row r="7" spans="1:20" x14ac:dyDescent="0.25">
      <c r="A7">
        <v>338549</v>
      </c>
      <c r="B7" t="s">
        <v>293</v>
      </c>
      <c r="C7" t="s">
        <v>294</v>
      </c>
      <c r="D7" t="s">
        <v>263</v>
      </c>
      <c r="E7" t="s">
        <v>264</v>
      </c>
      <c r="F7" t="s">
        <v>279</v>
      </c>
      <c r="G7" t="s">
        <v>266</v>
      </c>
      <c r="H7" s="5">
        <v>45783</v>
      </c>
      <c r="I7" s="5">
        <v>45827</v>
      </c>
      <c r="J7" t="s">
        <v>280</v>
      </c>
      <c r="K7" t="s">
        <v>268</v>
      </c>
      <c r="L7">
        <v>1</v>
      </c>
      <c r="M7" t="s">
        <v>281</v>
      </c>
      <c r="N7" t="s">
        <v>236</v>
      </c>
      <c r="O7">
        <v>1</v>
      </c>
      <c r="P7" s="6" t="str">
        <f>VLOOKUP(J7,'Store lookup'!A:C,2,0)</f>
        <v>A041</v>
      </c>
      <c r="Q7" s="6" t="str">
        <f>VLOOKUP(J7,'Store lookup'!A:C,3,0)</f>
        <v>Anaconda Box Hill</v>
      </c>
      <c r="R7" s="6" t="str">
        <f t="shared" si="0"/>
        <v>Ananconda</v>
      </c>
      <c r="S7" s="6" t="str">
        <f>VLOOKUP(I7,'FIN CAL LOOKUP'!A:J,7,1)</f>
        <v>JUN, FY25</v>
      </c>
      <c r="T7" s="6" t="str">
        <f>VLOOKUP(I7,'FIN CAL LOOKUP'!A:J,10,1)</f>
        <v>Q4, FY25</v>
      </c>
    </row>
    <row r="8" spans="1:20" x14ac:dyDescent="0.25">
      <c r="A8">
        <v>339197</v>
      </c>
      <c r="B8" t="s">
        <v>295</v>
      </c>
      <c r="C8" t="s">
        <v>296</v>
      </c>
      <c r="D8" t="s">
        <v>284</v>
      </c>
      <c r="E8" t="s">
        <v>264</v>
      </c>
      <c r="F8" t="s">
        <v>297</v>
      </c>
      <c r="G8" t="s">
        <v>266</v>
      </c>
      <c r="H8" s="5">
        <v>45777</v>
      </c>
      <c r="I8" s="5">
        <v>45791</v>
      </c>
      <c r="J8" t="s">
        <v>298</v>
      </c>
      <c r="K8" t="s">
        <v>268</v>
      </c>
      <c r="L8">
        <v>1</v>
      </c>
      <c r="M8" t="s">
        <v>299</v>
      </c>
      <c r="N8" t="s">
        <v>237</v>
      </c>
      <c r="O8">
        <v>1</v>
      </c>
      <c r="P8" s="6" t="str">
        <f>VLOOKUP(J8,'Store lookup'!A:C,2,0)</f>
        <v>A039</v>
      </c>
      <c r="Q8" s="6" t="str">
        <f>VLOOKUP(J8,'Store lookup'!A:C,3,0)</f>
        <v>Anaconda Highett</v>
      </c>
      <c r="R8" s="6" t="str">
        <f t="shared" si="0"/>
        <v>Ananconda</v>
      </c>
      <c r="S8" s="6" t="str">
        <f>VLOOKUP(I8,'FIN CAL LOOKUP'!A:J,7,1)</f>
        <v>MAY, FY25</v>
      </c>
      <c r="T8" s="6" t="str">
        <f>VLOOKUP(I8,'FIN CAL LOOKUP'!A:J,10,1)</f>
        <v>Q4, FY25</v>
      </c>
    </row>
    <row r="9" spans="1:20" x14ac:dyDescent="0.25">
      <c r="A9">
        <v>339308</v>
      </c>
      <c r="B9" t="s">
        <v>300</v>
      </c>
      <c r="C9" t="s">
        <v>301</v>
      </c>
      <c r="D9" t="s">
        <v>284</v>
      </c>
      <c r="E9" t="s">
        <v>264</v>
      </c>
      <c r="F9" t="s">
        <v>302</v>
      </c>
      <c r="G9" t="s">
        <v>266</v>
      </c>
      <c r="H9" s="5">
        <v>45777</v>
      </c>
      <c r="I9" s="5">
        <v>45791</v>
      </c>
      <c r="J9" t="s">
        <v>303</v>
      </c>
      <c r="K9" t="s">
        <v>268</v>
      </c>
      <c r="L9">
        <v>1</v>
      </c>
      <c r="M9" t="s">
        <v>304</v>
      </c>
      <c r="N9" t="s">
        <v>237</v>
      </c>
      <c r="O9">
        <v>1</v>
      </c>
      <c r="P9" s="6" t="str">
        <f>VLOOKUP(J9,'Store lookup'!A:C,2,0)</f>
        <v>A020</v>
      </c>
      <c r="Q9" s="6" t="str">
        <f>VLOOKUP(J9,'Store lookup'!A:C,3,0)</f>
        <v>Anaconda Preston</v>
      </c>
      <c r="R9" s="6" t="str">
        <f t="shared" si="0"/>
        <v>Ananconda</v>
      </c>
      <c r="S9" s="6" t="str">
        <f>VLOOKUP(I9,'FIN CAL LOOKUP'!A:J,7,1)</f>
        <v>MAY, FY25</v>
      </c>
      <c r="T9" s="6" t="str">
        <f>VLOOKUP(I9,'FIN CAL LOOKUP'!A:J,10,1)</f>
        <v>Q4, FY25</v>
      </c>
    </row>
    <row r="10" spans="1:20" x14ac:dyDescent="0.25">
      <c r="A10">
        <v>339098</v>
      </c>
      <c r="B10" t="s">
        <v>305</v>
      </c>
      <c r="C10" t="s">
        <v>306</v>
      </c>
      <c r="D10" t="s">
        <v>307</v>
      </c>
      <c r="E10" t="s">
        <v>264</v>
      </c>
      <c r="F10" t="s">
        <v>308</v>
      </c>
      <c r="G10" t="s">
        <v>266</v>
      </c>
      <c r="H10" s="5">
        <v>45769</v>
      </c>
      <c r="I10" s="5">
        <v>45776</v>
      </c>
      <c r="J10" t="s">
        <v>309</v>
      </c>
      <c r="K10" t="s">
        <v>268</v>
      </c>
      <c r="L10">
        <v>1</v>
      </c>
      <c r="M10" t="s">
        <v>310</v>
      </c>
      <c r="N10" t="s">
        <v>237</v>
      </c>
      <c r="O10">
        <v>1</v>
      </c>
      <c r="P10" s="6" t="str">
        <f>VLOOKUP(J10,'Store lookup'!A:C,2,0)</f>
        <v>A058</v>
      </c>
      <c r="Q10" s="6" t="str">
        <f>VLOOKUP(J10,'Store lookup'!A:C,3,0)</f>
        <v>Anaconda Hawthorn East</v>
      </c>
      <c r="R10" s="6" t="str">
        <f t="shared" si="0"/>
        <v>Ananconda</v>
      </c>
      <c r="S10" s="6" t="str">
        <f>VLOOKUP(I10,'FIN CAL LOOKUP'!A:J,7,1)</f>
        <v>MAY, FY25</v>
      </c>
      <c r="T10" s="6" t="str">
        <f>VLOOKUP(I10,'FIN CAL LOOKUP'!A:J,10,1)</f>
        <v>Q4, FY25</v>
      </c>
    </row>
    <row r="11" spans="1:20" x14ac:dyDescent="0.25">
      <c r="A11">
        <v>332963</v>
      </c>
      <c r="B11" t="s">
        <v>311</v>
      </c>
      <c r="C11" t="s">
        <v>312</v>
      </c>
      <c r="D11" t="s">
        <v>307</v>
      </c>
      <c r="E11" t="s">
        <v>264</v>
      </c>
      <c r="F11" t="s">
        <v>297</v>
      </c>
      <c r="G11" t="s">
        <v>266</v>
      </c>
      <c r="H11" s="5">
        <v>45764</v>
      </c>
      <c r="I11" s="5">
        <v>45778</v>
      </c>
      <c r="J11" t="s">
        <v>298</v>
      </c>
      <c r="K11" t="s">
        <v>268</v>
      </c>
      <c r="L11">
        <v>1</v>
      </c>
      <c r="M11" t="s">
        <v>299</v>
      </c>
      <c r="N11" t="s">
        <v>237</v>
      </c>
      <c r="O11">
        <v>1</v>
      </c>
      <c r="P11" s="6" t="str">
        <f>VLOOKUP(J11,'Store lookup'!A:C,2,0)</f>
        <v>A039</v>
      </c>
      <c r="Q11" s="6" t="str">
        <f>VLOOKUP(J11,'Store lookup'!A:C,3,0)</f>
        <v>Anaconda Highett</v>
      </c>
      <c r="R11" s="6" t="str">
        <f t="shared" si="0"/>
        <v>Ananconda</v>
      </c>
      <c r="S11" s="6" t="str">
        <f>VLOOKUP(I11,'FIN CAL LOOKUP'!A:J,7,1)</f>
        <v>MAY, FY25</v>
      </c>
      <c r="T11" s="6" t="str">
        <f>VLOOKUP(I11,'FIN CAL LOOKUP'!A:J,10,1)</f>
        <v>Q4, FY25</v>
      </c>
    </row>
    <row r="12" spans="1:20" x14ac:dyDescent="0.25">
      <c r="A12">
        <v>333888</v>
      </c>
      <c r="B12" t="s">
        <v>313</v>
      </c>
      <c r="C12" t="s">
        <v>314</v>
      </c>
      <c r="D12" t="s">
        <v>263</v>
      </c>
      <c r="E12" t="s">
        <v>264</v>
      </c>
      <c r="F12" t="s">
        <v>290</v>
      </c>
      <c r="G12" t="s">
        <v>266</v>
      </c>
      <c r="H12" s="5">
        <v>45751</v>
      </c>
      <c r="I12" s="5">
        <v>45762</v>
      </c>
      <c r="J12" t="s">
        <v>291</v>
      </c>
      <c r="K12" t="s">
        <v>268</v>
      </c>
      <c r="L12">
        <v>1</v>
      </c>
      <c r="M12" t="s">
        <v>292</v>
      </c>
      <c r="N12" t="s">
        <v>237</v>
      </c>
      <c r="O12">
        <v>1</v>
      </c>
      <c r="P12" s="6" t="str">
        <f>VLOOKUP(J12,'Store lookup'!A:C,2,0)</f>
        <v>A035</v>
      </c>
      <c r="Q12" s="6" t="str">
        <f>VLOOKUP(J12,'Store lookup'!A:C,3,0)</f>
        <v>Anaconda Ballarat</v>
      </c>
      <c r="R12" s="6" t="str">
        <f t="shared" si="0"/>
        <v>Ananconda</v>
      </c>
      <c r="S12" s="6" t="str">
        <f>VLOOKUP(I12,'FIN CAL LOOKUP'!A:J,7,1)</f>
        <v>APR, FY25</v>
      </c>
      <c r="T12" s="6" t="str">
        <f>VLOOKUP(I12,'FIN CAL LOOKUP'!A:J,10,1)</f>
        <v>Q4, FY25</v>
      </c>
    </row>
    <row r="13" spans="1:20" x14ac:dyDescent="0.25">
      <c r="A13">
        <v>338604</v>
      </c>
      <c r="B13" t="s">
        <v>301</v>
      </c>
      <c r="C13" t="s">
        <v>315</v>
      </c>
      <c r="D13" t="s">
        <v>307</v>
      </c>
      <c r="E13" t="s">
        <v>264</v>
      </c>
      <c r="F13" t="s">
        <v>316</v>
      </c>
      <c r="G13" t="s">
        <v>266</v>
      </c>
      <c r="H13" s="5">
        <v>45727</v>
      </c>
      <c r="I13" s="5">
        <v>45742</v>
      </c>
      <c r="J13" t="s">
        <v>317</v>
      </c>
      <c r="K13" t="s">
        <v>268</v>
      </c>
      <c r="L13">
        <v>1</v>
      </c>
      <c r="M13" t="s">
        <v>318</v>
      </c>
      <c r="N13" t="s">
        <v>236</v>
      </c>
      <c r="O13">
        <v>1</v>
      </c>
      <c r="P13" s="6" t="str">
        <f>VLOOKUP(J13,'Store lookup'!A:C,2,0)</f>
        <v>A052</v>
      </c>
      <c r="Q13" s="6" t="str">
        <f>VLOOKUP(J13,'Store lookup'!A:C,3,0)</f>
        <v>Anaconda Epping</v>
      </c>
      <c r="R13" s="6" t="str">
        <f t="shared" si="0"/>
        <v>Ananconda</v>
      </c>
      <c r="S13" s="6" t="str">
        <f>VLOOKUP(I13,'FIN CAL LOOKUP'!A:J,7,1)</f>
        <v>MAR, FY25</v>
      </c>
      <c r="T13" s="6" t="str">
        <f>VLOOKUP(I13,'FIN CAL LOOKUP'!A:J,10,1)</f>
        <v>Q3, FY25</v>
      </c>
    </row>
    <row r="14" spans="1:20" x14ac:dyDescent="0.25">
      <c r="A14">
        <v>203902</v>
      </c>
      <c r="B14" t="s">
        <v>319</v>
      </c>
      <c r="C14" t="s">
        <v>320</v>
      </c>
      <c r="D14" t="s">
        <v>278</v>
      </c>
      <c r="E14" t="s">
        <v>264</v>
      </c>
      <c r="F14" t="s">
        <v>273</v>
      </c>
      <c r="G14" t="s">
        <v>266</v>
      </c>
      <c r="H14" s="5">
        <v>45721</v>
      </c>
      <c r="I14" s="5">
        <v>45748</v>
      </c>
      <c r="J14" t="s">
        <v>274</v>
      </c>
      <c r="K14" t="s">
        <v>268</v>
      </c>
      <c r="L14">
        <v>1</v>
      </c>
      <c r="M14" t="s">
        <v>275</v>
      </c>
      <c r="N14" t="s">
        <v>237</v>
      </c>
      <c r="O14">
        <v>1</v>
      </c>
      <c r="P14" s="6" t="str">
        <f>VLOOKUP(J14,'Store lookup'!A:C,2,0)</f>
        <v>A026</v>
      </c>
      <c r="Q14" s="6" t="str">
        <f>VLOOKUP(J14,'Store lookup'!A:C,3,0)</f>
        <v>Anaconda Springvale</v>
      </c>
      <c r="R14" s="6" t="str">
        <f t="shared" si="0"/>
        <v>Ananconda</v>
      </c>
      <c r="S14" s="6" t="str">
        <f>VLOOKUP(I14,'FIN CAL LOOKUP'!A:J,7,1)</f>
        <v>APR, FY25</v>
      </c>
      <c r="T14" s="6" t="str">
        <f>VLOOKUP(I14,'FIN CAL LOOKUP'!A:J,10,1)</f>
        <v>Q4, FY25</v>
      </c>
    </row>
    <row r="15" spans="1:20" x14ac:dyDescent="0.25">
      <c r="A15">
        <v>328014</v>
      </c>
      <c r="B15" t="s">
        <v>321</v>
      </c>
      <c r="C15" t="s">
        <v>322</v>
      </c>
      <c r="D15" t="s">
        <v>307</v>
      </c>
      <c r="E15" t="s">
        <v>264</v>
      </c>
      <c r="F15" t="s">
        <v>273</v>
      </c>
      <c r="G15" t="s">
        <v>266</v>
      </c>
      <c r="H15" s="5">
        <v>45702</v>
      </c>
      <c r="I15" s="5">
        <v>45806</v>
      </c>
      <c r="J15" t="s">
        <v>274</v>
      </c>
      <c r="K15" t="s">
        <v>268</v>
      </c>
      <c r="L15">
        <v>2</v>
      </c>
      <c r="M15" t="s">
        <v>275</v>
      </c>
      <c r="N15" t="s">
        <v>236</v>
      </c>
      <c r="O15">
        <v>0</v>
      </c>
      <c r="P15" s="6" t="str">
        <f>VLOOKUP(J15,'Store lookup'!A:C,2,0)</f>
        <v>A026</v>
      </c>
      <c r="Q15" s="6" t="str">
        <f>VLOOKUP(J15,'Store lookup'!A:C,3,0)</f>
        <v>Anaconda Springvale</v>
      </c>
      <c r="R15" s="6" t="str">
        <f t="shared" si="0"/>
        <v>Ananconda</v>
      </c>
      <c r="S15" s="6" t="str">
        <f>VLOOKUP(I15,'FIN CAL LOOKUP'!A:J,7,1)</f>
        <v>MAY, FY25</v>
      </c>
      <c r="T15" s="6" t="str">
        <f>VLOOKUP(I15,'FIN CAL LOOKUP'!A:J,10,1)</f>
        <v>Q4, FY25</v>
      </c>
    </row>
    <row r="16" spans="1:20" x14ac:dyDescent="0.25">
      <c r="A16">
        <v>328927</v>
      </c>
      <c r="B16" t="s">
        <v>323</v>
      </c>
      <c r="C16" t="s">
        <v>324</v>
      </c>
      <c r="D16" t="s">
        <v>307</v>
      </c>
      <c r="E16" t="s">
        <v>264</v>
      </c>
      <c r="F16" t="s">
        <v>273</v>
      </c>
      <c r="G16" t="s">
        <v>266</v>
      </c>
      <c r="H16" s="5">
        <v>45702</v>
      </c>
      <c r="I16" s="5">
        <v>45806</v>
      </c>
      <c r="J16" t="s">
        <v>274</v>
      </c>
      <c r="K16" t="s">
        <v>268</v>
      </c>
      <c r="L16">
        <v>2</v>
      </c>
      <c r="M16" t="s">
        <v>275</v>
      </c>
      <c r="N16" t="s">
        <v>236</v>
      </c>
      <c r="O16">
        <v>0</v>
      </c>
      <c r="P16" s="6" t="str">
        <f>VLOOKUP(J16,'Store lookup'!A:C,2,0)</f>
        <v>A026</v>
      </c>
      <c r="Q16" s="6" t="str">
        <f>VLOOKUP(J16,'Store lookup'!A:C,3,0)</f>
        <v>Anaconda Springvale</v>
      </c>
      <c r="R16" s="6" t="str">
        <f t="shared" si="0"/>
        <v>Ananconda</v>
      </c>
      <c r="S16" s="6" t="str">
        <f>VLOOKUP(I16,'FIN CAL LOOKUP'!A:J,7,1)</f>
        <v>MAY, FY25</v>
      </c>
      <c r="T16" s="6" t="str">
        <f>VLOOKUP(I16,'FIN CAL LOOKUP'!A:J,10,1)</f>
        <v>Q4, FY25</v>
      </c>
    </row>
    <row r="17" spans="1:20" x14ac:dyDescent="0.25">
      <c r="A17">
        <v>322577</v>
      </c>
      <c r="B17" t="s">
        <v>325</v>
      </c>
      <c r="C17" t="s">
        <v>326</v>
      </c>
      <c r="D17" t="s">
        <v>327</v>
      </c>
      <c r="E17" t="s">
        <v>264</v>
      </c>
      <c r="F17" t="s">
        <v>328</v>
      </c>
      <c r="G17" t="s">
        <v>266</v>
      </c>
      <c r="H17" s="5">
        <v>45700</v>
      </c>
      <c r="I17" s="5">
        <v>45701</v>
      </c>
      <c r="J17" t="s">
        <v>329</v>
      </c>
      <c r="K17" t="s">
        <v>268</v>
      </c>
      <c r="L17">
        <v>1</v>
      </c>
      <c r="M17" t="s">
        <v>330</v>
      </c>
      <c r="N17" t="s">
        <v>237</v>
      </c>
      <c r="O17">
        <v>1</v>
      </c>
      <c r="P17" s="6" t="str">
        <f>VLOOKUP(J17,'Store lookup'!A:C,2,0)</f>
        <v>A021</v>
      </c>
      <c r="Q17" s="6" t="str">
        <f>VLOOKUP(J17,'Store lookup'!A:C,3,0)</f>
        <v>Anaconda Bendigo</v>
      </c>
      <c r="R17" s="6" t="str">
        <f t="shared" si="0"/>
        <v>Ananconda</v>
      </c>
      <c r="S17" s="6" t="str">
        <f>VLOOKUP(I17,'FIN CAL LOOKUP'!A:J,7,1)</f>
        <v>FEB, FY25</v>
      </c>
      <c r="T17" s="6" t="str">
        <f>VLOOKUP(I17,'FIN CAL LOOKUP'!A:J,10,1)</f>
        <v>Q3, FY25</v>
      </c>
    </row>
    <row r="18" spans="1:20" x14ac:dyDescent="0.25">
      <c r="A18">
        <v>314085</v>
      </c>
      <c r="B18" t="s">
        <v>331</v>
      </c>
      <c r="C18" t="s">
        <v>332</v>
      </c>
      <c r="D18" t="s">
        <v>333</v>
      </c>
      <c r="E18" t="s">
        <v>264</v>
      </c>
      <c r="F18" t="s">
        <v>273</v>
      </c>
      <c r="G18" t="s">
        <v>266</v>
      </c>
      <c r="H18" s="5">
        <v>45699</v>
      </c>
      <c r="I18" s="5">
        <v>45734</v>
      </c>
      <c r="J18" t="s">
        <v>274</v>
      </c>
      <c r="K18" t="s">
        <v>268</v>
      </c>
      <c r="L18">
        <v>1</v>
      </c>
      <c r="M18" t="s">
        <v>275</v>
      </c>
      <c r="N18" t="s">
        <v>236</v>
      </c>
      <c r="O18">
        <v>1</v>
      </c>
      <c r="P18" s="6" t="str">
        <f>VLOOKUP(J18,'Store lookup'!A:C,2,0)</f>
        <v>A026</v>
      </c>
      <c r="Q18" s="6" t="str">
        <f>VLOOKUP(J18,'Store lookup'!A:C,3,0)</f>
        <v>Anaconda Springvale</v>
      </c>
      <c r="R18" s="6" t="str">
        <f t="shared" si="0"/>
        <v>Ananconda</v>
      </c>
      <c r="S18" s="6" t="str">
        <f>VLOOKUP(I18,'FIN CAL LOOKUP'!A:J,7,1)</f>
        <v>MAR, FY25</v>
      </c>
      <c r="T18" s="6" t="str">
        <f>VLOOKUP(I18,'FIN CAL LOOKUP'!A:J,10,1)</f>
        <v>Q3, FY25</v>
      </c>
    </row>
    <row r="19" spans="1:20" x14ac:dyDescent="0.25">
      <c r="A19">
        <v>335473</v>
      </c>
      <c r="B19" t="s">
        <v>334</v>
      </c>
      <c r="C19" t="s">
        <v>335</v>
      </c>
      <c r="D19" t="s">
        <v>307</v>
      </c>
      <c r="E19" t="s">
        <v>264</v>
      </c>
      <c r="F19" t="s">
        <v>336</v>
      </c>
      <c r="G19" t="s">
        <v>266</v>
      </c>
      <c r="H19" s="5">
        <v>45677</v>
      </c>
      <c r="I19" s="5">
        <v>45813</v>
      </c>
      <c r="J19" t="s">
        <v>337</v>
      </c>
      <c r="K19" t="s">
        <v>268</v>
      </c>
      <c r="L19">
        <v>1</v>
      </c>
      <c r="M19" t="s">
        <v>338</v>
      </c>
      <c r="N19" t="s">
        <v>236</v>
      </c>
      <c r="O19">
        <v>1</v>
      </c>
      <c r="P19" s="6" t="str">
        <f>VLOOKUP(J19,'Store lookup'!A:C,2,0)</f>
        <v>A042</v>
      </c>
      <c r="Q19" s="6" t="str">
        <f>VLOOKUP(J19,'Store lookup'!A:C,3,0)</f>
        <v>Anaconda Maribyrnong</v>
      </c>
      <c r="R19" s="6" t="str">
        <f t="shared" si="0"/>
        <v>Ananconda</v>
      </c>
      <c r="S19" s="6" t="str">
        <f>VLOOKUP(I19,'FIN CAL LOOKUP'!A:J,7,1)</f>
        <v>JUN, FY25</v>
      </c>
      <c r="T19" s="6" t="str">
        <f>VLOOKUP(I19,'FIN CAL LOOKUP'!A:J,10,1)</f>
        <v>Q4, FY25</v>
      </c>
    </row>
    <row r="20" spans="1:20" x14ac:dyDescent="0.25">
      <c r="A20">
        <v>334016</v>
      </c>
      <c r="B20" t="s">
        <v>339</v>
      </c>
      <c r="C20" t="s">
        <v>340</v>
      </c>
      <c r="D20" t="s">
        <v>333</v>
      </c>
      <c r="E20" t="s">
        <v>264</v>
      </c>
      <c r="F20" t="s">
        <v>308</v>
      </c>
      <c r="G20" t="s">
        <v>266</v>
      </c>
      <c r="H20" s="5">
        <v>45639</v>
      </c>
      <c r="I20" s="5">
        <v>45644</v>
      </c>
      <c r="J20" t="s">
        <v>309</v>
      </c>
      <c r="K20" t="s">
        <v>268</v>
      </c>
      <c r="L20">
        <v>2</v>
      </c>
      <c r="M20" t="s">
        <v>310</v>
      </c>
      <c r="N20" t="s">
        <v>237</v>
      </c>
      <c r="O20">
        <v>0</v>
      </c>
      <c r="P20" s="6" t="str">
        <f>VLOOKUP(J20,'Store lookup'!A:C,2,0)</f>
        <v>A058</v>
      </c>
      <c r="Q20" s="6" t="str">
        <f>VLOOKUP(J20,'Store lookup'!A:C,3,0)</f>
        <v>Anaconda Hawthorn East</v>
      </c>
      <c r="R20" s="6" t="str">
        <f t="shared" si="0"/>
        <v>Ananconda</v>
      </c>
      <c r="S20" s="6" t="str">
        <f>VLOOKUP(I20,'FIN CAL LOOKUP'!A:J,7,1)</f>
        <v>DEC, FY25</v>
      </c>
      <c r="T20" s="6" t="str">
        <f>VLOOKUP(I20,'FIN CAL LOOKUP'!A:J,10,1)</f>
        <v>Q2, FY25</v>
      </c>
    </row>
    <row r="21" spans="1:20" x14ac:dyDescent="0.25">
      <c r="A21">
        <v>298748</v>
      </c>
      <c r="B21" t="s">
        <v>341</v>
      </c>
      <c r="C21" t="s">
        <v>342</v>
      </c>
      <c r="D21" t="s">
        <v>333</v>
      </c>
      <c r="E21" t="s">
        <v>264</v>
      </c>
      <c r="F21" t="s">
        <v>308</v>
      </c>
      <c r="G21" t="s">
        <v>266</v>
      </c>
      <c r="H21" s="5">
        <v>45636</v>
      </c>
      <c r="I21" s="5">
        <v>45644</v>
      </c>
      <c r="J21" t="s">
        <v>309</v>
      </c>
      <c r="K21" t="s">
        <v>268</v>
      </c>
      <c r="L21">
        <v>2</v>
      </c>
      <c r="M21" t="s">
        <v>310</v>
      </c>
      <c r="N21" t="s">
        <v>237</v>
      </c>
      <c r="O21">
        <v>0</v>
      </c>
      <c r="P21" s="6" t="str">
        <f>VLOOKUP(J21,'Store lookup'!A:C,2,0)</f>
        <v>A058</v>
      </c>
      <c r="Q21" s="6" t="str">
        <f>VLOOKUP(J21,'Store lookup'!A:C,3,0)</f>
        <v>Anaconda Hawthorn East</v>
      </c>
      <c r="R21" s="6" t="str">
        <f t="shared" si="0"/>
        <v>Ananconda</v>
      </c>
      <c r="S21" s="6" t="str">
        <f>VLOOKUP(I21,'FIN CAL LOOKUP'!A:J,7,1)</f>
        <v>DEC, FY25</v>
      </c>
      <c r="T21" s="6" t="str">
        <f>VLOOKUP(I21,'FIN CAL LOOKUP'!A:J,10,1)</f>
        <v>Q2, FY25</v>
      </c>
    </row>
    <row r="22" spans="1:20" x14ac:dyDescent="0.25">
      <c r="A22">
        <v>336791</v>
      </c>
      <c r="B22" t="s">
        <v>343</v>
      </c>
      <c r="C22" t="s">
        <v>344</v>
      </c>
      <c r="D22" t="s">
        <v>327</v>
      </c>
      <c r="E22" t="s">
        <v>264</v>
      </c>
      <c r="F22" t="s">
        <v>297</v>
      </c>
      <c r="G22" t="s">
        <v>266</v>
      </c>
      <c r="H22" s="5">
        <v>45631</v>
      </c>
      <c r="I22" s="5">
        <v>45644</v>
      </c>
      <c r="J22" t="s">
        <v>298</v>
      </c>
      <c r="K22" t="s">
        <v>268</v>
      </c>
      <c r="L22">
        <v>1</v>
      </c>
      <c r="M22" t="s">
        <v>299</v>
      </c>
      <c r="N22" t="s">
        <v>237</v>
      </c>
      <c r="O22">
        <v>1</v>
      </c>
      <c r="P22" s="6" t="str">
        <f>VLOOKUP(J22,'Store lookup'!A:C,2,0)</f>
        <v>A039</v>
      </c>
      <c r="Q22" s="6" t="str">
        <f>VLOOKUP(J22,'Store lookup'!A:C,3,0)</f>
        <v>Anaconda Highett</v>
      </c>
      <c r="R22" s="6" t="str">
        <f t="shared" si="0"/>
        <v>Ananconda</v>
      </c>
      <c r="S22" s="6" t="str">
        <f>VLOOKUP(I22,'FIN CAL LOOKUP'!A:J,7,1)</f>
        <v>DEC, FY25</v>
      </c>
      <c r="T22" s="6" t="str">
        <f>VLOOKUP(I22,'FIN CAL LOOKUP'!A:J,10,1)</f>
        <v>Q2, FY25</v>
      </c>
    </row>
    <row r="23" spans="1:20" x14ac:dyDescent="0.25">
      <c r="A23">
        <v>203286</v>
      </c>
      <c r="B23" t="s">
        <v>345</v>
      </c>
      <c r="C23" t="s">
        <v>346</v>
      </c>
      <c r="D23" t="s">
        <v>284</v>
      </c>
      <c r="E23" t="s">
        <v>264</v>
      </c>
      <c r="F23" t="s">
        <v>302</v>
      </c>
      <c r="G23" t="s">
        <v>266</v>
      </c>
      <c r="H23" s="5">
        <v>45624</v>
      </c>
      <c r="I23" s="5">
        <v>45625</v>
      </c>
      <c r="J23" t="s">
        <v>303</v>
      </c>
      <c r="K23" t="s">
        <v>268</v>
      </c>
      <c r="L23">
        <v>1</v>
      </c>
      <c r="M23" t="s">
        <v>304</v>
      </c>
      <c r="N23" t="s">
        <v>237</v>
      </c>
      <c r="O23">
        <v>1</v>
      </c>
      <c r="P23" s="6" t="str">
        <f>VLOOKUP(J23,'Store lookup'!A:C,2,0)</f>
        <v>A020</v>
      </c>
      <c r="Q23" s="6" t="str">
        <f>VLOOKUP(J23,'Store lookup'!A:C,3,0)</f>
        <v>Anaconda Preston</v>
      </c>
      <c r="R23" s="6" t="str">
        <f t="shared" si="0"/>
        <v>Ananconda</v>
      </c>
      <c r="S23" s="6" t="str">
        <f>VLOOKUP(I23,'FIN CAL LOOKUP'!A:J,7,1)</f>
        <v>NOV, FY25</v>
      </c>
      <c r="T23" s="6" t="str">
        <f>VLOOKUP(I23,'FIN CAL LOOKUP'!A:J,10,1)</f>
        <v>Q2, FY25</v>
      </c>
    </row>
    <row r="24" spans="1:20" x14ac:dyDescent="0.25">
      <c r="A24">
        <v>335471</v>
      </c>
      <c r="B24" t="s">
        <v>347</v>
      </c>
      <c r="C24" t="s">
        <v>348</v>
      </c>
      <c r="D24" t="s">
        <v>327</v>
      </c>
      <c r="E24" t="s">
        <v>264</v>
      </c>
      <c r="F24" t="s">
        <v>273</v>
      </c>
      <c r="G24" t="s">
        <v>266</v>
      </c>
      <c r="H24" s="5">
        <v>45623</v>
      </c>
      <c r="I24" s="5">
        <v>45639</v>
      </c>
      <c r="J24" t="s">
        <v>274</v>
      </c>
      <c r="K24" t="s">
        <v>268</v>
      </c>
      <c r="L24">
        <v>1</v>
      </c>
      <c r="M24" t="s">
        <v>275</v>
      </c>
      <c r="N24" t="s">
        <v>237</v>
      </c>
      <c r="O24">
        <v>1</v>
      </c>
      <c r="P24" s="6" t="str">
        <f>VLOOKUP(J24,'Store lookup'!A:C,2,0)</f>
        <v>A026</v>
      </c>
      <c r="Q24" s="6" t="str">
        <f>VLOOKUP(J24,'Store lookup'!A:C,3,0)</f>
        <v>Anaconda Springvale</v>
      </c>
      <c r="R24" s="6" t="str">
        <f t="shared" si="0"/>
        <v>Ananconda</v>
      </c>
      <c r="S24" s="6" t="str">
        <f>VLOOKUP(I24,'FIN CAL LOOKUP'!A:J,7,1)</f>
        <v>DEC, FY25</v>
      </c>
      <c r="T24" s="6" t="str">
        <f>VLOOKUP(I24,'FIN CAL LOOKUP'!A:J,10,1)</f>
        <v>Q2, FY25</v>
      </c>
    </row>
    <row r="25" spans="1:20" x14ac:dyDescent="0.25">
      <c r="A25">
        <v>327761</v>
      </c>
      <c r="B25" t="s">
        <v>349</v>
      </c>
      <c r="C25" t="s">
        <v>350</v>
      </c>
      <c r="D25" t="s">
        <v>327</v>
      </c>
      <c r="E25" t="s">
        <v>264</v>
      </c>
      <c r="F25" t="s">
        <v>302</v>
      </c>
      <c r="G25" t="s">
        <v>266</v>
      </c>
      <c r="H25" s="5">
        <v>45623</v>
      </c>
      <c r="I25" s="5">
        <v>45631</v>
      </c>
      <c r="J25" t="s">
        <v>303</v>
      </c>
      <c r="K25" t="s">
        <v>268</v>
      </c>
      <c r="L25">
        <v>1</v>
      </c>
      <c r="M25" t="s">
        <v>304</v>
      </c>
      <c r="N25" t="s">
        <v>237</v>
      </c>
      <c r="O25">
        <v>1</v>
      </c>
      <c r="P25" s="6" t="str">
        <f>VLOOKUP(J25,'Store lookup'!A:C,2,0)</f>
        <v>A020</v>
      </c>
      <c r="Q25" s="6" t="str">
        <f>VLOOKUP(J25,'Store lookup'!A:C,3,0)</f>
        <v>Anaconda Preston</v>
      </c>
      <c r="R25" s="6" t="str">
        <f t="shared" si="0"/>
        <v>Ananconda</v>
      </c>
      <c r="S25" s="6" t="str">
        <f>VLOOKUP(I25,'FIN CAL LOOKUP'!A:J,7,1)</f>
        <v>DEC, FY25</v>
      </c>
      <c r="T25" s="6" t="str">
        <f>VLOOKUP(I25,'FIN CAL LOOKUP'!A:J,10,1)</f>
        <v>Q2, FY25</v>
      </c>
    </row>
    <row r="26" spans="1:20" x14ac:dyDescent="0.25">
      <c r="A26">
        <v>335422</v>
      </c>
      <c r="B26" t="s">
        <v>351</v>
      </c>
      <c r="C26" t="s">
        <v>352</v>
      </c>
      <c r="D26" t="s">
        <v>327</v>
      </c>
      <c r="E26" t="s">
        <v>264</v>
      </c>
      <c r="F26" t="s">
        <v>353</v>
      </c>
      <c r="G26" t="s">
        <v>266</v>
      </c>
      <c r="H26" s="5">
        <v>45623</v>
      </c>
      <c r="I26" s="5">
        <v>45631</v>
      </c>
      <c r="J26" t="s">
        <v>354</v>
      </c>
      <c r="K26" t="s">
        <v>268</v>
      </c>
      <c r="L26">
        <v>1</v>
      </c>
      <c r="M26" t="s">
        <v>355</v>
      </c>
      <c r="N26" t="s">
        <v>237</v>
      </c>
      <c r="O26">
        <v>1</v>
      </c>
      <c r="P26" s="6" t="str">
        <f>VLOOKUP(J26,'Store lookup'!A:C,2,0)</f>
        <v>A017</v>
      </c>
      <c r="Q26" s="6" t="str">
        <f>VLOOKUP(J26,'Store lookup'!A:C,3,0)</f>
        <v>Anaconda Narre Warren</v>
      </c>
      <c r="R26" s="6" t="str">
        <f t="shared" si="0"/>
        <v>Ananconda</v>
      </c>
      <c r="S26" s="6" t="str">
        <f>VLOOKUP(I26,'FIN CAL LOOKUP'!A:J,7,1)</f>
        <v>DEC, FY25</v>
      </c>
      <c r="T26" s="6" t="str">
        <f>VLOOKUP(I26,'FIN CAL LOOKUP'!A:J,10,1)</f>
        <v>Q2, FY25</v>
      </c>
    </row>
    <row r="27" spans="1:20" x14ac:dyDescent="0.25">
      <c r="A27">
        <v>330636</v>
      </c>
      <c r="B27" t="s">
        <v>356</v>
      </c>
      <c r="C27" t="s">
        <v>357</v>
      </c>
      <c r="D27" t="s">
        <v>327</v>
      </c>
      <c r="E27" t="s">
        <v>264</v>
      </c>
      <c r="F27" t="s">
        <v>358</v>
      </c>
      <c r="G27" t="s">
        <v>266</v>
      </c>
      <c r="H27" s="5">
        <v>45621</v>
      </c>
      <c r="I27" s="5">
        <v>45632</v>
      </c>
      <c r="J27" t="s">
        <v>359</v>
      </c>
      <c r="K27" t="s">
        <v>268</v>
      </c>
      <c r="L27">
        <v>2</v>
      </c>
      <c r="M27" t="s">
        <v>360</v>
      </c>
      <c r="N27" t="s">
        <v>237</v>
      </c>
      <c r="O27">
        <v>0</v>
      </c>
      <c r="P27" s="6" t="str">
        <f>VLOOKUP(J27,'Store lookup'!A:C,2,0)</f>
        <v>A030</v>
      </c>
      <c r="Q27" s="6" t="str">
        <f>VLOOKUP(J27,'Store lookup'!A:C,3,0)</f>
        <v>Anaconda Hoppers Crossing</v>
      </c>
      <c r="R27" s="6" t="str">
        <f t="shared" si="0"/>
        <v>Ananconda</v>
      </c>
      <c r="S27" s="6" t="str">
        <f>VLOOKUP(I27,'FIN CAL LOOKUP'!A:J,7,1)</f>
        <v>DEC, FY25</v>
      </c>
      <c r="T27" s="6" t="str">
        <f>VLOOKUP(I27,'FIN CAL LOOKUP'!A:J,10,1)</f>
        <v>Q2, FY25</v>
      </c>
    </row>
    <row r="28" spans="1:20" x14ac:dyDescent="0.25">
      <c r="A28">
        <v>236721</v>
      </c>
      <c r="B28" t="s">
        <v>361</v>
      </c>
      <c r="C28" t="s">
        <v>362</v>
      </c>
      <c r="D28" t="s">
        <v>327</v>
      </c>
      <c r="E28" t="s">
        <v>264</v>
      </c>
      <c r="F28" t="s">
        <v>363</v>
      </c>
      <c r="G28" t="s">
        <v>266</v>
      </c>
      <c r="H28" s="5">
        <v>45618</v>
      </c>
      <c r="I28" s="5">
        <v>45638</v>
      </c>
      <c r="J28" t="s">
        <v>364</v>
      </c>
      <c r="K28" t="s">
        <v>268</v>
      </c>
      <c r="L28">
        <v>1</v>
      </c>
      <c r="M28" t="s">
        <v>365</v>
      </c>
      <c r="N28" t="s">
        <v>237</v>
      </c>
      <c r="O28">
        <v>1</v>
      </c>
      <c r="P28" s="6" t="str">
        <f>VLOOKUP(J28,'Store lookup'!A:C,2,0)</f>
        <v>A004</v>
      </c>
      <c r="Q28" s="6" t="str">
        <f>VLOOKUP(J28,'Store lookup'!A:C,3,0)</f>
        <v>Anaconda Everton Park</v>
      </c>
      <c r="R28" s="6" t="str">
        <f t="shared" si="0"/>
        <v>Ananconda</v>
      </c>
      <c r="S28" s="6" t="str">
        <f>VLOOKUP(I28,'FIN CAL LOOKUP'!A:J,7,1)</f>
        <v>DEC, FY25</v>
      </c>
      <c r="T28" s="6" t="str">
        <f>VLOOKUP(I28,'FIN CAL LOOKUP'!A:J,10,1)</f>
        <v>Q2, FY25</v>
      </c>
    </row>
    <row r="29" spans="1:20" x14ac:dyDescent="0.25">
      <c r="A29">
        <v>298251</v>
      </c>
      <c r="B29" t="s">
        <v>366</v>
      </c>
      <c r="C29" t="s">
        <v>367</v>
      </c>
      <c r="D29" t="s">
        <v>278</v>
      </c>
      <c r="E29" t="s">
        <v>264</v>
      </c>
      <c r="F29" t="s">
        <v>368</v>
      </c>
      <c r="G29" t="s">
        <v>266</v>
      </c>
      <c r="H29" s="5">
        <v>45617</v>
      </c>
      <c r="I29" s="5">
        <v>45629</v>
      </c>
      <c r="J29" t="s">
        <v>369</v>
      </c>
      <c r="K29" t="s">
        <v>268</v>
      </c>
      <c r="L29">
        <v>1</v>
      </c>
      <c r="M29" t="s">
        <v>370</v>
      </c>
      <c r="N29" t="s">
        <v>237</v>
      </c>
      <c r="O29">
        <v>1</v>
      </c>
      <c r="P29" s="6" t="str">
        <f>VLOOKUP(J29,'Store lookup'!A:C,2,0)</f>
        <v>A032</v>
      </c>
      <c r="Q29" s="6" t="str">
        <f>VLOOKUP(J29,'Store lookup'!A:C,3,0)</f>
        <v>Anaconda Modbury</v>
      </c>
      <c r="R29" s="6" t="str">
        <f t="shared" si="0"/>
        <v>Ananconda</v>
      </c>
      <c r="S29" s="6" t="str">
        <f>VLOOKUP(I29,'FIN CAL LOOKUP'!A:J,7,1)</f>
        <v>DEC, FY25</v>
      </c>
      <c r="T29" s="6" t="str">
        <f>VLOOKUP(I29,'FIN CAL LOOKUP'!A:J,10,1)</f>
        <v>Q2, FY25</v>
      </c>
    </row>
    <row r="30" spans="1:20" x14ac:dyDescent="0.25">
      <c r="A30">
        <v>298251</v>
      </c>
      <c r="B30" t="s">
        <v>366</v>
      </c>
      <c r="C30" t="s">
        <v>367</v>
      </c>
      <c r="D30" t="s">
        <v>278</v>
      </c>
      <c r="E30" t="s">
        <v>264</v>
      </c>
      <c r="F30" t="s">
        <v>371</v>
      </c>
      <c r="G30" t="s">
        <v>266</v>
      </c>
      <c r="H30" s="5">
        <v>45617</v>
      </c>
      <c r="I30" s="5">
        <v>45628</v>
      </c>
      <c r="J30" t="s">
        <v>371</v>
      </c>
      <c r="K30" t="s">
        <v>268</v>
      </c>
      <c r="L30">
        <v>1</v>
      </c>
      <c r="M30" t="s">
        <v>372</v>
      </c>
      <c r="N30" t="s">
        <v>237</v>
      </c>
      <c r="O30">
        <v>1</v>
      </c>
      <c r="P30" s="6" t="str">
        <f>VLOOKUP(J30,'Store lookup'!A:C,2,0)</f>
        <v>A069</v>
      </c>
      <c r="Q30" s="6" t="str">
        <f>VLOOKUP(J30,'Store lookup'!A:C,3,0)</f>
        <v>Anaconda Gepps Cross</v>
      </c>
      <c r="R30" s="6" t="str">
        <f t="shared" si="0"/>
        <v>Ananconda</v>
      </c>
      <c r="S30" s="6" t="str">
        <f>VLOOKUP(I30,'FIN CAL LOOKUP'!A:J,7,1)</f>
        <v>DEC, FY25</v>
      </c>
      <c r="T30" s="6" t="str">
        <f>VLOOKUP(I30,'FIN CAL LOOKUP'!A:J,10,1)</f>
        <v>Q2, FY25</v>
      </c>
    </row>
    <row r="31" spans="1:20" x14ac:dyDescent="0.25">
      <c r="A31">
        <v>297922</v>
      </c>
      <c r="B31" t="s">
        <v>373</v>
      </c>
      <c r="C31" t="s">
        <v>374</v>
      </c>
      <c r="D31" t="s">
        <v>333</v>
      </c>
      <c r="E31" t="s">
        <v>264</v>
      </c>
      <c r="F31" t="s">
        <v>336</v>
      </c>
      <c r="G31" t="s">
        <v>266</v>
      </c>
      <c r="H31" s="5">
        <v>45615</v>
      </c>
      <c r="I31" s="5">
        <v>45618</v>
      </c>
      <c r="J31" t="s">
        <v>337</v>
      </c>
      <c r="K31" t="s">
        <v>268</v>
      </c>
      <c r="L31">
        <v>1</v>
      </c>
      <c r="M31" t="s">
        <v>338</v>
      </c>
      <c r="N31" t="s">
        <v>237</v>
      </c>
      <c r="O31">
        <v>1</v>
      </c>
      <c r="P31" s="6" t="str">
        <f>VLOOKUP(J31,'Store lookup'!A:C,2,0)</f>
        <v>A042</v>
      </c>
      <c r="Q31" s="6" t="str">
        <f>VLOOKUP(J31,'Store lookup'!A:C,3,0)</f>
        <v>Anaconda Maribyrnong</v>
      </c>
      <c r="R31" s="6" t="str">
        <f t="shared" si="0"/>
        <v>Ananconda</v>
      </c>
      <c r="S31" s="6" t="str">
        <f>VLOOKUP(I31,'FIN CAL LOOKUP'!A:J,7,1)</f>
        <v>NOV, FY25</v>
      </c>
      <c r="T31" s="6" t="str">
        <f>VLOOKUP(I31,'FIN CAL LOOKUP'!A:J,10,1)</f>
        <v>Q2, FY25</v>
      </c>
    </row>
    <row r="32" spans="1:20" x14ac:dyDescent="0.25">
      <c r="A32">
        <v>300666</v>
      </c>
      <c r="B32" t="s">
        <v>375</v>
      </c>
      <c r="C32" t="s">
        <v>376</v>
      </c>
      <c r="D32" t="s">
        <v>327</v>
      </c>
      <c r="E32" t="s">
        <v>264</v>
      </c>
      <c r="F32" t="s">
        <v>302</v>
      </c>
      <c r="G32" t="s">
        <v>266</v>
      </c>
      <c r="H32" s="5">
        <v>45614</v>
      </c>
      <c r="I32" s="5">
        <v>45636</v>
      </c>
      <c r="J32" t="s">
        <v>303</v>
      </c>
      <c r="K32" t="s">
        <v>268</v>
      </c>
      <c r="L32">
        <v>2</v>
      </c>
      <c r="M32" t="s">
        <v>304</v>
      </c>
      <c r="N32" t="s">
        <v>237</v>
      </c>
      <c r="O32">
        <v>0</v>
      </c>
      <c r="P32" s="6" t="str">
        <f>VLOOKUP(J32,'Store lookup'!A:C,2,0)</f>
        <v>A020</v>
      </c>
      <c r="Q32" s="6" t="str">
        <f>VLOOKUP(J32,'Store lookup'!A:C,3,0)</f>
        <v>Anaconda Preston</v>
      </c>
      <c r="R32" s="6" t="str">
        <f t="shared" si="0"/>
        <v>Ananconda</v>
      </c>
      <c r="S32" s="6" t="str">
        <f>VLOOKUP(I32,'FIN CAL LOOKUP'!A:J,7,1)</f>
        <v>DEC, FY25</v>
      </c>
      <c r="T32" s="6" t="str">
        <f>VLOOKUP(I32,'FIN CAL LOOKUP'!A:J,10,1)</f>
        <v>Q2, FY25</v>
      </c>
    </row>
    <row r="33" spans="1:20" x14ac:dyDescent="0.25">
      <c r="A33">
        <v>332540</v>
      </c>
      <c r="B33" t="s">
        <v>377</v>
      </c>
      <c r="C33" t="s">
        <v>378</v>
      </c>
      <c r="D33" t="s">
        <v>327</v>
      </c>
      <c r="E33" t="s">
        <v>264</v>
      </c>
      <c r="F33" t="s">
        <v>302</v>
      </c>
      <c r="G33" t="s">
        <v>266</v>
      </c>
      <c r="H33" s="5">
        <v>45614</v>
      </c>
      <c r="I33" s="5">
        <v>45636</v>
      </c>
      <c r="J33" t="s">
        <v>303</v>
      </c>
      <c r="K33" t="s">
        <v>268</v>
      </c>
      <c r="L33">
        <v>2</v>
      </c>
      <c r="M33" t="s">
        <v>304</v>
      </c>
      <c r="N33" t="s">
        <v>237</v>
      </c>
      <c r="O33">
        <v>0</v>
      </c>
      <c r="P33" s="6" t="str">
        <f>VLOOKUP(J33,'Store lookup'!A:C,2,0)</f>
        <v>A020</v>
      </c>
      <c r="Q33" s="6" t="str">
        <f>VLOOKUP(J33,'Store lookup'!A:C,3,0)</f>
        <v>Anaconda Preston</v>
      </c>
      <c r="R33" s="6" t="str">
        <f t="shared" si="0"/>
        <v>Ananconda</v>
      </c>
      <c r="S33" s="6" t="str">
        <f>VLOOKUP(I33,'FIN CAL LOOKUP'!A:J,7,1)</f>
        <v>DEC, FY25</v>
      </c>
      <c r="T33" s="6" t="str">
        <f>VLOOKUP(I33,'FIN CAL LOOKUP'!A:J,10,1)</f>
        <v>Q2, FY25</v>
      </c>
    </row>
    <row r="34" spans="1:20" x14ac:dyDescent="0.25">
      <c r="A34">
        <v>309806</v>
      </c>
      <c r="B34" t="s">
        <v>379</v>
      </c>
      <c r="C34" t="s">
        <v>380</v>
      </c>
      <c r="D34" t="s">
        <v>327</v>
      </c>
      <c r="E34" t="s">
        <v>264</v>
      </c>
      <c r="F34" t="s">
        <v>285</v>
      </c>
      <c r="G34" t="s">
        <v>266</v>
      </c>
      <c r="H34" s="5">
        <v>45611</v>
      </c>
      <c r="I34" s="5">
        <v>45636</v>
      </c>
      <c r="J34" t="s">
        <v>286</v>
      </c>
      <c r="K34" t="s">
        <v>268</v>
      </c>
      <c r="L34">
        <v>1</v>
      </c>
      <c r="M34" t="s">
        <v>287</v>
      </c>
      <c r="N34" t="s">
        <v>237</v>
      </c>
      <c r="O34">
        <v>1</v>
      </c>
      <c r="P34" s="6" t="str">
        <f>VLOOKUP(J34,'Store lookup'!A:C,2,0)</f>
        <v>A040</v>
      </c>
      <c r="Q34" s="6" t="str">
        <f>VLOOKUP(J34,'Store lookup'!A:C,3,0)</f>
        <v>Anaconda Watergardens</v>
      </c>
      <c r="R34" s="6" t="str">
        <f t="shared" si="0"/>
        <v>Ananconda</v>
      </c>
      <c r="S34" s="6" t="str">
        <f>VLOOKUP(I34,'FIN CAL LOOKUP'!A:J,7,1)</f>
        <v>DEC, FY25</v>
      </c>
      <c r="T34" s="6" t="str">
        <f>VLOOKUP(I34,'FIN CAL LOOKUP'!A:J,10,1)</f>
        <v>Q2, FY25</v>
      </c>
    </row>
    <row r="35" spans="1:20" x14ac:dyDescent="0.25">
      <c r="A35">
        <v>326813</v>
      </c>
      <c r="B35" t="s">
        <v>381</v>
      </c>
      <c r="C35" t="s">
        <v>382</v>
      </c>
      <c r="D35" t="s">
        <v>327</v>
      </c>
      <c r="E35" t="s">
        <v>264</v>
      </c>
      <c r="F35" t="s">
        <v>383</v>
      </c>
      <c r="G35" t="s">
        <v>266</v>
      </c>
      <c r="H35" s="5">
        <v>45611</v>
      </c>
      <c r="I35" s="5">
        <v>45636</v>
      </c>
      <c r="J35" t="s">
        <v>384</v>
      </c>
      <c r="K35" t="s">
        <v>268</v>
      </c>
      <c r="L35">
        <v>1</v>
      </c>
      <c r="M35" t="s">
        <v>385</v>
      </c>
      <c r="N35" t="s">
        <v>236</v>
      </c>
      <c r="O35">
        <v>1</v>
      </c>
      <c r="P35" s="6" t="str">
        <f>VLOOKUP(J35,'Store lookup'!A:C,2,0)</f>
        <v>A009</v>
      </c>
      <c r="Q35" s="6" t="str">
        <f>VLOOKUP(J35,'Store lookup'!A:C,3,0)</f>
        <v>Anaconda Geelong</v>
      </c>
      <c r="R35" s="6" t="str">
        <f t="shared" si="0"/>
        <v>Ananconda</v>
      </c>
      <c r="S35" s="6" t="str">
        <f>VLOOKUP(I35,'FIN CAL LOOKUP'!A:J,7,1)</f>
        <v>DEC, FY25</v>
      </c>
      <c r="T35" s="6" t="str">
        <f>VLOOKUP(I35,'FIN CAL LOOKUP'!A:J,10,1)</f>
        <v>Q2, FY25</v>
      </c>
    </row>
    <row r="36" spans="1:20" x14ac:dyDescent="0.25">
      <c r="A36" t="s">
        <v>386</v>
      </c>
      <c r="B36" t="s">
        <v>387</v>
      </c>
      <c r="C36" t="s">
        <v>388</v>
      </c>
      <c r="D36" t="s">
        <v>240</v>
      </c>
      <c r="E36" t="s">
        <v>264</v>
      </c>
      <c r="F36" t="s">
        <v>328</v>
      </c>
      <c r="G36" t="s">
        <v>266</v>
      </c>
      <c r="H36" s="5">
        <v>45611</v>
      </c>
      <c r="I36" s="5">
        <v>45636</v>
      </c>
      <c r="J36" t="s">
        <v>329</v>
      </c>
      <c r="K36" t="s">
        <v>268</v>
      </c>
      <c r="L36">
        <v>1</v>
      </c>
      <c r="M36" t="s">
        <v>330</v>
      </c>
      <c r="N36" t="s">
        <v>237</v>
      </c>
      <c r="O36">
        <v>1</v>
      </c>
      <c r="P36" s="6" t="str">
        <f>VLOOKUP(J36,'Store lookup'!A:C,2,0)</f>
        <v>A021</v>
      </c>
      <c r="Q36" s="6" t="str">
        <f>VLOOKUP(J36,'Store lookup'!A:C,3,0)</f>
        <v>Anaconda Bendigo</v>
      </c>
      <c r="R36" s="6" t="str">
        <f t="shared" si="0"/>
        <v>Ananconda</v>
      </c>
      <c r="S36" s="6" t="str">
        <f>VLOOKUP(I36,'FIN CAL LOOKUP'!A:J,7,1)</f>
        <v>DEC, FY25</v>
      </c>
      <c r="T36" s="6" t="str">
        <f>VLOOKUP(I36,'FIN CAL LOOKUP'!A:J,10,1)</f>
        <v>Q2, FY25</v>
      </c>
    </row>
    <row r="37" spans="1:20" x14ac:dyDescent="0.25">
      <c r="A37">
        <v>308787</v>
      </c>
      <c r="B37" t="s">
        <v>389</v>
      </c>
      <c r="C37" t="s">
        <v>390</v>
      </c>
      <c r="D37" t="s">
        <v>327</v>
      </c>
      <c r="E37" t="s">
        <v>264</v>
      </c>
      <c r="F37" t="s">
        <v>316</v>
      </c>
      <c r="G37" t="s">
        <v>266</v>
      </c>
      <c r="H37" s="5">
        <v>45611</v>
      </c>
      <c r="I37" s="5">
        <v>45632</v>
      </c>
      <c r="J37" t="s">
        <v>317</v>
      </c>
      <c r="K37" t="s">
        <v>268</v>
      </c>
      <c r="L37">
        <v>1</v>
      </c>
      <c r="M37" t="s">
        <v>318</v>
      </c>
      <c r="N37" t="s">
        <v>237</v>
      </c>
      <c r="O37">
        <v>1</v>
      </c>
      <c r="P37" s="6" t="str">
        <f>VLOOKUP(J37,'Store lookup'!A:C,2,0)</f>
        <v>A052</v>
      </c>
      <c r="Q37" s="6" t="str">
        <f>VLOOKUP(J37,'Store lookup'!A:C,3,0)</f>
        <v>Anaconda Epping</v>
      </c>
      <c r="R37" s="6" t="str">
        <f t="shared" si="0"/>
        <v>Ananconda</v>
      </c>
      <c r="S37" s="6" t="str">
        <f>VLOOKUP(I37,'FIN CAL LOOKUP'!A:J,7,1)</f>
        <v>DEC, FY25</v>
      </c>
      <c r="T37" s="6" t="str">
        <f>VLOOKUP(I37,'FIN CAL LOOKUP'!A:J,10,1)</f>
        <v>Q2, FY25</v>
      </c>
    </row>
    <row r="38" spans="1:20" x14ac:dyDescent="0.25">
      <c r="A38">
        <v>321421</v>
      </c>
      <c r="B38" t="s">
        <v>391</v>
      </c>
      <c r="C38" t="s">
        <v>392</v>
      </c>
      <c r="D38" t="s">
        <v>272</v>
      </c>
      <c r="E38" t="s">
        <v>264</v>
      </c>
      <c r="F38" t="s">
        <v>302</v>
      </c>
      <c r="G38" t="s">
        <v>266</v>
      </c>
      <c r="H38" s="5">
        <v>45611</v>
      </c>
      <c r="I38" s="5">
        <v>45629</v>
      </c>
      <c r="J38" t="s">
        <v>303</v>
      </c>
      <c r="K38" t="s">
        <v>268</v>
      </c>
      <c r="L38">
        <v>1</v>
      </c>
      <c r="M38" t="s">
        <v>304</v>
      </c>
      <c r="N38" t="s">
        <v>237</v>
      </c>
      <c r="O38">
        <v>1</v>
      </c>
      <c r="P38" s="6" t="str">
        <f>VLOOKUP(J38,'Store lookup'!A:C,2,0)</f>
        <v>A020</v>
      </c>
      <c r="Q38" s="6" t="str">
        <f>VLOOKUP(J38,'Store lookup'!A:C,3,0)</f>
        <v>Anaconda Preston</v>
      </c>
      <c r="R38" s="6" t="str">
        <f t="shared" si="0"/>
        <v>Ananconda</v>
      </c>
      <c r="S38" s="6" t="str">
        <f>VLOOKUP(I38,'FIN CAL LOOKUP'!A:J,7,1)</f>
        <v>DEC, FY25</v>
      </c>
      <c r="T38" s="6" t="str">
        <f>VLOOKUP(I38,'FIN CAL LOOKUP'!A:J,10,1)</f>
        <v>Q2, FY25</v>
      </c>
    </row>
    <row r="39" spans="1:20" x14ac:dyDescent="0.25">
      <c r="A39">
        <v>298748</v>
      </c>
      <c r="B39" t="s">
        <v>341</v>
      </c>
      <c r="C39" t="s">
        <v>342</v>
      </c>
      <c r="D39" t="s">
        <v>333</v>
      </c>
      <c r="E39" t="s">
        <v>264</v>
      </c>
      <c r="F39" t="s">
        <v>308</v>
      </c>
      <c r="G39" t="s">
        <v>266</v>
      </c>
      <c r="H39" s="5">
        <v>45611</v>
      </c>
      <c r="I39" s="5">
        <v>45625</v>
      </c>
      <c r="J39" t="s">
        <v>309</v>
      </c>
      <c r="K39" t="s">
        <v>268</v>
      </c>
      <c r="L39">
        <v>1</v>
      </c>
      <c r="M39" t="s">
        <v>310</v>
      </c>
      <c r="N39" t="s">
        <v>237</v>
      </c>
      <c r="O39">
        <v>1</v>
      </c>
      <c r="P39" s="6" t="str">
        <f>VLOOKUP(J39,'Store lookup'!A:C,2,0)</f>
        <v>A058</v>
      </c>
      <c r="Q39" s="6" t="str">
        <f>VLOOKUP(J39,'Store lookup'!A:C,3,0)</f>
        <v>Anaconda Hawthorn East</v>
      </c>
      <c r="R39" s="6" t="str">
        <f t="shared" si="0"/>
        <v>Ananconda</v>
      </c>
      <c r="S39" s="6" t="str">
        <f>VLOOKUP(I39,'FIN CAL LOOKUP'!A:J,7,1)</f>
        <v>NOV, FY25</v>
      </c>
      <c r="T39" s="6" t="str">
        <f>VLOOKUP(I39,'FIN CAL LOOKUP'!A:J,10,1)</f>
        <v>Q2, FY25</v>
      </c>
    </row>
    <row r="40" spans="1:20" x14ac:dyDescent="0.25">
      <c r="A40">
        <v>322845</v>
      </c>
      <c r="B40" t="s">
        <v>393</v>
      </c>
      <c r="C40" t="s">
        <v>394</v>
      </c>
      <c r="D40" t="s">
        <v>327</v>
      </c>
      <c r="E40" t="s">
        <v>264</v>
      </c>
      <c r="F40" t="s">
        <v>383</v>
      </c>
      <c r="G40" t="s">
        <v>266</v>
      </c>
      <c r="H40" s="5">
        <v>45610</v>
      </c>
      <c r="I40" s="5">
        <v>45639</v>
      </c>
      <c r="J40" t="s">
        <v>384</v>
      </c>
      <c r="K40" t="s">
        <v>268</v>
      </c>
      <c r="L40">
        <v>1</v>
      </c>
      <c r="M40" t="s">
        <v>385</v>
      </c>
      <c r="N40" t="s">
        <v>237</v>
      </c>
      <c r="O40">
        <v>1</v>
      </c>
      <c r="P40" s="6" t="str">
        <f>VLOOKUP(J40,'Store lookup'!A:C,2,0)</f>
        <v>A009</v>
      </c>
      <c r="Q40" s="6" t="str">
        <f>VLOOKUP(J40,'Store lookup'!A:C,3,0)</f>
        <v>Anaconda Geelong</v>
      </c>
      <c r="R40" s="6" t="str">
        <f t="shared" si="0"/>
        <v>Ananconda</v>
      </c>
      <c r="S40" s="6" t="str">
        <f>VLOOKUP(I40,'FIN CAL LOOKUP'!A:J,7,1)</f>
        <v>DEC, FY25</v>
      </c>
      <c r="T40" s="6" t="str">
        <f>VLOOKUP(I40,'FIN CAL LOOKUP'!A:J,10,1)</f>
        <v>Q2, FY25</v>
      </c>
    </row>
    <row r="41" spans="1:20" x14ac:dyDescent="0.25">
      <c r="A41">
        <v>229234</v>
      </c>
      <c r="B41" t="s">
        <v>395</v>
      </c>
      <c r="C41" t="s">
        <v>396</v>
      </c>
      <c r="D41" t="s">
        <v>327</v>
      </c>
      <c r="E41" t="s">
        <v>264</v>
      </c>
      <c r="F41" t="s">
        <v>358</v>
      </c>
      <c r="G41" t="s">
        <v>266</v>
      </c>
      <c r="H41" s="5">
        <v>45610</v>
      </c>
      <c r="I41" s="5">
        <v>45632</v>
      </c>
      <c r="J41" t="s">
        <v>359</v>
      </c>
      <c r="K41" t="s">
        <v>268</v>
      </c>
      <c r="L41">
        <v>2</v>
      </c>
      <c r="M41" t="s">
        <v>360</v>
      </c>
      <c r="N41" t="s">
        <v>237</v>
      </c>
      <c r="O41">
        <v>0</v>
      </c>
      <c r="P41" s="6" t="str">
        <f>VLOOKUP(J41,'Store lookup'!A:C,2,0)</f>
        <v>A030</v>
      </c>
      <c r="Q41" s="6" t="str">
        <f>VLOOKUP(J41,'Store lookup'!A:C,3,0)</f>
        <v>Anaconda Hoppers Crossing</v>
      </c>
      <c r="R41" s="6" t="str">
        <f t="shared" si="0"/>
        <v>Ananconda</v>
      </c>
      <c r="S41" s="6" t="str">
        <f>VLOOKUP(I41,'FIN CAL LOOKUP'!A:J,7,1)</f>
        <v>DEC, FY25</v>
      </c>
      <c r="T41" s="6" t="str">
        <f>VLOOKUP(I41,'FIN CAL LOOKUP'!A:J,10,1)</f>
        <v>Q2, FY25</v>
      </c>
    </row>
    <row r="42" spans="1:20" x14ac:dyDescent="0.25">
      <c r="A42">
        <v>327036</v>
      </c>
      <c r="B42" t="s">
        <v>397</v>
      </c>
      <c r="C42" t="s">
        <v>398</v>
      </c>
      <c r="D42" t="s">
        <v>278</v>
      </c>
      <c r="E42" t="s">
        <v>264</v>
      </c>
      <c r="F42" t="s">
        <v>273</v>
      </c>
      <c r="G42" t="s">
        <v>266</v>
      </c>
      <c r="H42" s="5">
        <v>45610</v>
      </c>
      <c r="I42" s="5">
        <v>45629</v>
      </c>
      <c r="J42" t="s">
        <v>274</v>
      </c>
      <c r="K42" t="s">
        <v>268</v>
      </c>
      <c r="L42">
        <v>1</v>
      </c>
      <c r="M42" t="s">
        <v>275</v>
      </c>
      <c r="N42" t="s">
        <v>237</v>
      </c>
      <c r="O42">
        <v>1</v>
      </c>
      <c r="P42" s="6" t="str">
        <f>VLOOKUP(J42,'Store lookup'!A:C,2,0)</f>
        <v>A026</v>
      </c>
      <c r="Q42" s="6" t="str">
        <f>VLOOKUP(J42,'Store lookup'!A:C,3,0)</f>
        <v>Anaconda Springvale</v>
      </c>
      <c r="R42" s="6" t="str">
        <f t="shared" si="0"/>
        <v>Ananconda</v>
      </c>
      <c r="S42" s="6" t="str">
        <f>VLOOKUP(I42,'FIN CAL LOOKUP'!A:J,7,1)</f>
        <v>DEC, FY25</v>
      </c>
      <c r="T42" s="6" t="str">
        <f>VLOOKUP(I42,'FIN CAL LOOKUP'!A:J,10,1)</f>
        <v>Q2, FY25</v>
      </c>
    </row>
    <row r="43" spans="1:20" x14ac:dyDescent="0.25">
      <c r="A43">
        <v>291346</v>
      </c>
      <c r="B43" t="s">
        <v>399</v>
      </c>
      <c r="C43" t="s">
        <v>400</v>
      </c>
      <c r="D43" t="s">
        <v>327</v>
      </c>
      <c r="E43" t="s">
        <v>264</v>
      </c>
      <c r="F43" t="s">
        <v>302</v>
      </c>
      <c r="G43" t="s">
        <v>266</v>
      </c>
      <c r="H43" s="5">
        <v>45609</v>
      </c>
      <c r="I43" s="5">
        <v>45638</v>
      </c>
      <c r="J43" t="s">
        <v>303</v>
      </c>
      <c r="K43" t="s">
        <v>268</v>
      </c>
      <c r="L43">
        <v>2</v>
      </c>
      <c r="M43" t="s">
        <v>304</v>
      </c>
      <c r="N43" t="s">
        <v>237</v>
      </c>
      <c r="O43">
        <v>0</v>
      </c>
      <c r="P43" s="6" t="str">
        <f>VLOOKUP(J43,'Store lookup'!A:C,2,0)</f>
        <v>A020</v>
      </c>
      <c r="Q43" s="6" t="str">
        <f>VLOOKUP(J43,'Store lookup'!A:C,3,0)</f>
        <v>Anaconda Preston</v>
      </c>
      <c r="R43" s="6" t="str">
        <f t="shared" si="0"/>
        <v>Ananconda</v>
      </c>
      <c r="S43" s="6" t="str">
        <f>VLOOKUP(I43,'FIN CAL LOOKUP'!A:J,7,1)</f>
        <v>DEC, FY25</v>
      </c>
      <c r="T43" s="6" t="str">
        <f>VLOOKUP(I43,'FIN CAL LOOKUP'!A:J,10,1)</f>
        <v>Q2, FY25</v>
      </c>
    </row>
    <row r="44" spans="1:20" x14ac:dyDescent="0.25">
      <c r="A44">
        <v>241029</v>
      </c>
      <c r="B44" t="s">
        <v>401</v>
      </c>
      <c r="C44" t="s">
        <v>402</v>
      </c>
      <c r="D44" t="s">
        <v>327</v>
      </c>
      <c r="E44" t="s">
        <v>264</v>
      </c>
      <c r="F44" t="s">
        <v>403</v>
      </c>
      <c r="G44" t="s">
        <v>266</v>
      </c>
      <c r="H44" s="5">
        <v>45609</v>
      </c>
      <c r="I44" s="5">
        <v>45632</v>
      </c>
      <c r="J44" t="s">
        <v>404</v>
      </c>
      <c r="K44" t="s">
        <v>268</v>
      </c>
      <c r="L44">
        <v>1</v>
      </c>
      <c r="M44" t="s">
        <v>405</v>
      </c>
      <c r="N44" t="s">
        <v>237</v>
      </c>
      <c r="O44">
        <v>1</v>
      </c>
      <c r="P44" s="6" t="str">
        <f>VLOOKUP(J44,'Store lookup'!A:C,2,0)</f>
        <v>A047</v>
      </c>
      <c r="Q44" s="6" t="str">
        <f>VLOOKUP(J44,'Store lookup'!A:C,3,0)</f>
        <v>Anaconda North Lakes</v>
      </c>
      <c r="R44" s="6" t="str">
        <f t="shared" si="0"/>
        <v>Ananconda</v>
      </c>
      <c r="S44" s="6" t="str">
        <f>VLOOKUP(I44,'FIN CAL LOOKUP'!A:J,7,1)</f>
        <v>DEC, FY25</v>
      </c>
      <c r="T44" s="6" t="str">
        <f>VLOOKUP(I44,'FIN CAL LOOKUP'!A:J,10,1)</f>
        <v>Q2, FY25</v>
      </c>
    </row>
    <row r="45" spans="1:20" x14ac:dyDescent="0.25">
      <c r="A45">
        <v>336162</v>
      </c>
      <c r="B45" t="s">
        <v>406</v>
      </c>
      <c r="C45" t="s">
        <v>407</v>
      </c>
      <c r="D45" t="s">
        <v>327</v>
      </c>
      <c r="E45" t="s">
        <v>264</v>
      </c>
      <c r="F45" t="s">
        <v>383</v>
      </c>
      <c r="G45" t="s">
        <v>266</v>
      </c>
      <c r="H45" s="5">
        <v>45609</v>
      </c>
      <c r="I45" s="5">
        <v>45632</v>
      </c>
      <c r="J45" t="s">
        <v>384</v>
      </c>
      <c r="K45" t="s">
        <v>268</v>
      </c>
      <c r="L45">
        <v>2</v>
      </c>
      <c r="M45" t="s">
        <v>385</v>
      </c>
      <c r="N45" t="s">
        <v>237</v>
      </c>
      <c r="O45">
        <v>0</v>
      </c>
      <c r="P45" s="6" t="str">
        <f>VLOOKUP(J45,'Store lookup'!A:C,2,0)</f>
        <v>A009</v>
      </c>
      <c r="Q45" s="6" t="str">
        <f>VLOOKUP(J45,'Store lookup'!A:C,3,0)</f>
        <v>Anaconda Geelong</v>
      </c>
      <c r="R45" s="6" t="str">
        <f t="shared" si="0"/>
        <v>Ananconda</v>
      </c>
      <c r="S45" s="6" t="str">
        <f>VLOOKUP(I45,'FIN CAL LOOKUP'!A:J,7,1)</f>
        <v>DEC, FY25</v>
      </c>
      <c r="T45" s="6" t="str">
        <f>VLOOKUP(I45,'FIN CAL LOOKUP'!A:J,10,1)</f>
        <v>Q2, FY25</v>
      </c>
    </row>
    <row r="46" spans="1:20" x14ac:dyDescent="0.25">
      <c r="A46">
        <v>317485</v>
      </c>
      <c r="B46" t="s">
        <v>408</v>
      </c>
      <c r="C46" t="s">
        <v>409</v>
      </c>
      <c r="D46" t="s">
        <v>327</v>
      </c>
      <c r="E46" t="s">
        <v>264</v>
      </c>
      <c r="F46" t="s">
        <v>308</v>
      </c>
      <c r="G46" t="s">
        <v>266</v>
      </c>
      <c r="H46" s="5">
        <v>45609</v>
      </c>
      <c r="I46" s="5">
        <v>45631</v>
      </c>
      <c r="J46" t="s">
        <v>309</v>
      </c>
      <c r="K46" t="s">
        <v>268</v>
      </c>
      <c r="L46">
        <v>2</v>
      </c>
      <c r="M46" t="s">
        <v>310</v>
      </c>
      <c r="N46" t="s">
        <v>237</v>
      </c>
      <c r="O46">
        <v>0</v>
      </c>
      <c r="P46" s="6" t="str">
        <f>VLOOKUP(J46,'Store lookup'!A:C,2,0)</f>
        <v>A058</v>
      </c>
      <c r="Q46" s="6" t="str">
        <f>VLOOKUP(J46,'Store lookup'!A:C,3,0)</f>
        <v>Anaconda Hawthorn East</v>
      </c>
      <c r="R46" s="6" t="str">
        <f t="shared" si="0"/>
        <v>Ananconda</v>
      </c>
      <c r="S46" s="6" t="str">
        <f>VLOOKUP(I46,'FIN CAL LOOKUP'!A:J,7,1)</f>
        <v>DEC, FY25</v>
      </c>
      <c r="T46" s="6" t="str">
        <f>VLOOKUP(I46,'FIN CAL LOOKUP'!A:J,10,1)</f>
        <v>Q2, FY25</v>
      </c>
    </row>
    <row r="47" spans="1:20" x14ac:dyDescent="0.25">
      <c r="A47">
        <v>322433</v>
      </c>
      <c r="B47" t="s">
        <v>410</v>
      </c>
      <c r="C47" t="s">
        <v>411</v>
      </c>
      <c r="D47" t="s">
        <v>327</v>
      </c>
      <c r="E47" t="s">
        <v>264</v>
      </c>
      <c r="F47" t="s">
        <v>308</v>
      </c>
      <c r="G47" t="s">
        <v>266</v>
      </c>
      <c r="H47" s="5">
        <v>45609</v>
      </c>
      <c r="I47" s="5">
        <v>45631</v>
      </c>
      <c r="J47" t="s">
        <v>309</v>
      </c>
      <c r="K47" t="s">
        <v>268</v>
      </c>
      <c r="L47">
        <v>2</v>
      </c>
      <c r="M47" t="s">
        <v>310</v>
      </c>
      <c r="N47" t="s">
        <v>237</v>
      </c>
      <c r="O47">
        <v>0</v>
      </c>
      <c r="P47" s="6" t="str">
        <f>VLOOKUP(J47,'Store lookup'!A:C,2,0)</f>
        <v>A058</v>
      </c>
      <c r="Q47" s="6" t="str">
        <f>VLOOKUP(J47,'Store lookup'!A:C,3,0)</f>
        <v>Anaconda Hawthorn East</v>
      </c>
      <c r="R47" s="6" t="str">
        <f t="shared" si="0"/>
        <v>Ananconda</v>
      </c>
      <c r="S47" s="6" t="str">
        <f>VLOOKUP(I47,'FIN CAL LOOKUP'!A:J,7,1)</f>
        <v>DEC, FY25</v>
      </c>
      <c r="T47" s="6" t="str">
        <f>VLOOKUP(I47,'FIN CAL LOOKUP'!A:J,10,1)</f>
        <v>Q2, FY25</v>
      </c>
    </row>
    <row r="48" spans="1:20" x14ac:dyDescent="0.25">
      <c r="A48">
        <v>334297</v>
      </c>
      <c r="B48" t="s">
        <v>412</v>
      </c>
      <c r="C48" t="s">
        <v>413</v>
      </c>
      <c r="D48" t="s">
        <v>327</v>
      </c>
      <c r="E48" t="s">
        <v>264</v>
      </c>
      <c r="F48" t="s">
        <v>308</v>
      </c>
      <c r="G48" t="s">
        <v>266</v>
      </c>
      <c r="H48" s="5">
        <v>45609</v>
      </c>
      <c r="I48" s="5">
        <v>45629</v>
      </c>
      <c r="J48" t="s">
        <v>309</v>
      </c>
      <c r="K48" t="s">
        <v>268</v>
      </c>
      <c r="L48">
        <v>1</v>
      </c>
      <c r="M48" t="s">
        <v>310</v>
      </c>
      <c r="N48" t="s">
        <v>237</v>
      </c>
      <c r="O48">
        <v>1</v>
      </c>
      <c r="P48" s="6" t="str">
        <f>VLOOKUP(J48,'Store lookup'!A:C,2,0)</f>
        <v>A058</v>
      </c>
      <c r="Q48" s="6" t="str">
        <f>VLOOKUP(J48,'Store lookup'!A:C,3,0)</f>
        <v>Anaconda Hawthorn East</v>
      </c>
      <c r="R48" s="6" t="str">
        <f t="shared" si="0"/>
        <v>Ananconda</v>
      </c>
      <c r="S48" s="6" t="str">
        <f>VLOOKUP(I48,'FIN CAL LOOKUP'!A:J,7,1)</f>
        <v>DEC, FY25</v>
      </c>
      <c r="T48" s="6" t="str">
        <f>VLOOKUP(I48,'FIN CAL LOOKUP'!A:J,10,1)</f>
        <v>Q2, FY25</v>
      </c>
    </row>
    <row r="49" spans="1:20" x14ac:dyDescent="0.25">
      <c r="A49">
        <v>328358</v>
      </c>
      <c r="B49" t="s">
        <v>414</v>
      </c>
      <c r="C49" t="s">
        <v>415</v>
      </c>
      <c r="D49" t="s">
        <v>278</v>
      </c>
      <c r="E49" t="s">
        <v>264</v>
      </c>
      <c r="F49" t="s">
        <v>265</v>
      </c>
      <c r="G49" t="s">
        <v>266</v>
      </c>
      <c r="H49" s="5">
        <v>45609</v>
      </c>
      <c r="I49" s="5">
        <v>45610</v>
      </c>
      <c r="J49" t="s">
        <v>267</v>
      </c>
      <c r="K49" t="s">
        <v>268</v>
      </c>
      <c r="L49">
        <v>1</v>
      </c>
      <c r="M49" t="s">
        <v>269</v>
      </c>
      <c r="N49" t="s">
        <v>237</v>
      </c>
      <c r="O49">
        <v>1</v>
      </c>
      <c r="P49" s="6" t="str">
        <f>VLOOKUP(J49,'Store lookup'!A:C,2,0)</f>
        <v>A001</v>
      </c>
      <c r="Q49" s="6" t="str">
        <f>VLOOKUP(J49,'Store lookup'!A:C,3,0)</f>
        <v>Anaconda Bayswater</v>
      </c>
      <c r="R49" s="6" t="str">
        <f t="shared" si="0"/>
        <v>Ananconda</v>
      </c>
      <c r="S49" s="6" t="str">
        <f>VLOOKUP(I49,'FIN CAL LOOKUP'!A:J,7,1)</f>
        <v>NOV, FY25</v>
      </c>
      <c r="T49" s="6" t="str">
        <f>VLOOKUP(I49,'FIN CAL LOOKUP'!A:J,10,1)</f>
        <v>Q2, FY25</v>
      </c>
    </row>
    <row r="50" spans="1:20" x14ac:dyDescent="0.25">
      <c r="A50">
        <v>333917</v>
      </c>
      <c r="B50" t="s">
        <v>416</v>
      </c>
      <c r="C50" t="s">
        <v>417</v>
      </c>
      <c r="D50" t="s">
        <v>327</v>
      </c>
      <c r="E50" t="s">
        <v>264</v>
      </c>
      <c r="F50" t="s">
        <v>383</v>
      </c>
      <c r="G50" t="s">
        <v>266</v>
      </c>
      <c r="H50" s="5">
        <v>45608</v>
      </c>
      <c r="I50" s="5">
        <v>45646</v>
      </c>
      <c r="J50" t="s">
        <v>384</v>
      </c>
      <c r="K50" t="s">
        <v>268</v>
      </c>
      <c r="L50">
        <v>1</v>
      </c>
      <c r="M50" t="s">
        <v>385</v>
      </c>
      <c r="N50" t="s">
        <v>237</v>
      </c>
      <c r="O50">
        <v>1</v>
      </c>
      <c r="P50" s="6" t="str">
        <f>VLOOKUP(J50,'Store lookup'!A:C,2,0)</f>
        <v>A009</v>
      </c>
      <c r="Q50" s="6" t="str">
        <f>VLOOKUP(J50,'Store lookup'!A:C,3,0)</f>
        <v>Anaconda Geelong</v>
      </c>
      <c r="R50" s="6" t="str">
        <f t="shared" si="0"/>
        <v>Ananconda</v>
      </c>
      <c r="S50" s="6" t="str">
        <f>VLOOKUP(I50,'FIN CAL LOOKUP'!A:J,7,1)</f>
        <v>DEC, FY25</v>
      </c>
      <c r="T50" s="6" t="str">
        <f>VLOOKUP(I50,'FIN CAL LOOKUP'!A:J,10,1)</f>
        <v>Q2, FY25</v>
      </c>
    </row>
    <row r="51" spans="1:20" x14ac:dyDescent="0.25">
      <c r="A51">
        <v>238998</v>
      </c>
      <c r="B51" t="s">
        <v>418</v>
      </c>
      <c r="C51" t="s">
        <v>419</v>
      </c>
      <c r="D51" t="s">
        <v>327</v>
      </c>
      <c r="E51" t="s">
        <v>264</v>
      </c>
      <c r="F51" t="s">
        <v>420</v>
      </c>
      <c r="G51" t="s">
        <v>266</v>
      </c>
      <c r="H51" s="5">
        <v>45608</v>
      </c>
      <c r="I51" s="5">
        <v>45643</v>
      </c>
      <c r="J51" t="s">
        <v>421</v>
      </c>
      <c r="K51" t="s">
        <v>268</v>
      </c>
      <c r="L51">
        <v>1</v>
      </c>
      <c r="M51" t="s">
        <v>422</v>
      </c>
      <c r="N51" t="s">
        <v>236</v>
      </c>
      <c r="O51">
        <v>1</v>
      </c>
      <c r="P51" s="6" t="str">
        <f>VLOOKUP(J51,'Store lookup'!A:C,2,0)</f>
        <v>A050</v>
      </c>
      <c r="Q51" s="6" t="str">
        <f>VLOOKUP(J51,'Store lookup'!A:C,3,0)</f>
        <v>Anaconda Albury</v>
      </c>
      <c r="R51" s="6" t="str">
        <f t="shared" si="0"/>
        <v>Ananconda</v>
      </c>
      <c r="S51" s="6" t="str">
        <f>VLOOKUP(I51,'FIN CAL LOOKUP'!A:J,7,1)</f>
        <v>DEC, FY25</v>
      </c>
      <c r="T51" s="6" t="str">
        <f>VLOOKUP(I51,'FIN CAL LOOKUP'!A:J,10,1)</f>
        <v>Q2, FY25</v>
      </c>
    </row>
    <row r="52" spans="1:20" x14ac:dyDescent="0.25">
      <c r="A52">
        <v>240839</v>
      </c>
      <c r="B52" t="s">
        <v>423</v>
      </c>
      <c r="C52" t="s">
        <v>424</v>
      </c>
      <c r="D52" t="s">
        <v>327</v>
      </c>
      <c r="E52" t="s">
        <v>264</v>
      </c>
      <c r="F52" t="s">
        <v>403</v>
      </c>
      <c r="G52" t="s">
        <v>266</v>
      </c>
      <c r="H52" s="5">
        <v>45608</v>
      </c>
      <c r="I52" s="5">
        <v>45642</v>
      </c>
      <c r="J52" t="s">
        <v>404</v>
      </c>
      <c r="K52" t="s">
        <v>268</v>
      </c>
      <c r="L52">
        <v>1</v>
      </c>
      <c r="M52" t="s">
        <v>405</v>
      </c>
      <c r="N52" t="s">
        <v>237</v>
      </c>
      <c r="O52">
        <v>1</v>
      </c>
      <c r="P52" s="6" t="str">
        <f>VLOOKUP(J52,'Store lookup'!A:C,2,0)</f>
        <v>A047</v>
      </c>
      <c r="Q52" s="6" t="str">
        <f>VLOOKUP(J52,'Store lookup'!A:C,3,0)</f>
        <v>Anaconda North Lakes</v>
      </c>
      <c r="R52" s="6" t="str">
        <f t="shared" si="0"/>
        <v>Ananconda</v>
      </c>
      <c r="S52" s="6" t="str">
        <f>VLOOKUP(I52,'FIN CAL LOOKUP'!A:J,7,1)</f>
        <v>DEC, FY25</v>
      </c>
      <c r="T52" s="6" t="str">
        <f>VLOOKUP(I52,'FIN CAL LOOKUP'!A:J,10,1)</f>
        <v>Q2, FY25</v>
      </c>
    </row>
    <row r="53" spans="1:20" x14ac:dyDescent="0.25">
      <c r="A53">
        <v>324010</v>
      </c>
      <c r="B53" t="s">
        <v>425</v>
      </c>
      <c r="C53" t="s">
        <v>426</v>
      </c>
      <c r="D53" t="s">
        <v>327</v>
      </c>
      <c r="E53" t="s">
        <v>264</v>
      </c>
      <c r="F53" t="s">
        <v>358</v>
      </c>
      <c r="G53" t="s">
        <v>266</v>
      </c>
      <c r="H53" s="5">
        <v>45608</v>
      </c>
      <c r="I53" s="5">
        <v>45639</v>
      </c>
      <c r="J53" t="s">
        <v>359</v>
      </c>
      <c r="K53" t="s">
        <v>268</v>
      </c>
      <c r="L53">
        <v>1</v>
      </c>
      <c r="M53" t="s">
        <v>360</v>
      </c>
      <c r="N53" t="s">
        <v>237</v>
      </c>
      <c r="O53">
        <v>1</v>
      </c>
      <c r="P53" s="6" t="str">
        <f>VLOOKUP(J53,'Store lookup'!A:C,2,0)</f>
        <v>A030</v>
      </c>
      <c r="Q53" s="6" t="str">
        <f>VLOOKUP(J53,'Store lookup'!A:C,3,0)</f>
        <v>Anaconda Hoppers Crossing</v>
      </c>
      <c r="R53" s="6" t="str">
        <f t="shared" si="0"/>
        <v>Ananconda</v>
      </c>
      <c r="S53" s="6" t="str">
        <f>VLOOKUP(I53,'FIN CAL LOOKUP'!A:J,7,1)</f>
        <v>DEC, FY25</v>
      </c>
      <c r="T53" s="6" t="str">
        <f>VLOOKUP(I53,'FIN CAL LOOKUP'!A:J,10,1)</f>
        <v>Q2, FY25</v>
      </c>
    </row>
    <row r="54" spans="1:20" x14ac:dyDescent="0.25">
      <c r="A54">
        <v>331737</v>
      </c>
      <c r="B54" t="s">
        <v>427</v>
      </c>
      <c r="C54" t="s">
        <v>428</v>
      </c>
      <c r="D54" t="s">
        <v>327</v>
      </c>
      <c r="E54" t="s">
        <v>264</v>
      </c>
      <c r="F54" t="s">
        <v>265</v>
      </c>
      <c r="G54" t="s">
        <v>266</v>
      </c>
      <c r="H54" s="5">
        <v>45608</v>
      </c>
      <c r="I54" s="5">
        <v>45638</v>
      </c>
      <c r="J54" t="s">
        <v>267</v>
      </c>
      <c r="K54" t="s">
        <v>268</v>
      </c>
      <c r="L54">
        <v>1</v>
      </c>
      <c r="M54" t="s">
        <v>269</v>
      </c>
      <c r="N54" t="s">
        <v>237</v>
      </c>
      <c r="O54">
        <v>1</v>
      </c>
      <c r="P54" s="6" t="str">
        <f>VLOOKUP(J54,'Store lookup'!A:C,2,0)</f>
        <v>A001</v>
      </c>
      <c r="Q54" s="6" t="str">
        <f>VLOOKUP(J54,'Store lookup'!A:C,3,0)</f>
        <v>Anaconda Bayswater</v>
      </c>
      <c r="R54" s="6" t="str">
        <f t="shared" si="0"/>
        <v>Ananconda</v>
      </c>
      <c r="S54" s="6" t="str">
        <f>VLOOKUP(I54,'FIN CAL LOOKUP'!A:J,7,1)</f>
        <v>DEC, FY25</v>
      </c>
      <c r="T54" s="6" t="str">
        <f>VLOOKUP(I54,'FIN CAL LOOKUP'!A:J,10,1)</f>
        <v>Q2, FY25</v>
      </c>
    </row>
    <row r="55" spans="1:20" x14ac:dyDescent="0.25">
      <c r="A55">
        <v>333889</v>
      </c>
      <c r="B55" t="s">
        <v>429</v>
      </c>
      <c r="C55" t="s">
        <v>430</v>
      </c>
      <c r="D55" t="s">
        <v>327</v>
      </c>
      <c r="E55" t="s">
        <v>264</v>
      </c>
      <c r="F55" t="s">
        <v>302</v>
      </c>
      <c r="G55" t="s">
        <v>266</v>
      </c>
      <c r="H55" s="5">
        <v>45608</v>
      </c>
      <c r="I55" s="5">
        <v>45638</v>
      </c>
      <c r="J55" t="s">
        <v>303</v>
      </c>
      <c r="K55" t="s">
        <v>268</v>
      </c>
      <c r="L55">
        <v>2</v>
      </c>
      <c r="M55" t="s">
        <v>304</v>
      </c>
      <c r="N55" t="s">
        <v>237</v>
      </c>
      <c r="O55">
        <v>0</v>
      </c>
      <c r="P55" s="6" t="str">
        <f>VLOOKUP(J55,'Store lookup'!A:C,2,0)</f>
        <v>A020</v>
      </c>
      <c r="Q55" s="6" t="str">
        <f>VLOOKUP(J55,'Store lookup'!A:C,3,0)</f>
        <v>Anaconda Preston</v>
      </c>
      <c r="R55" s="6" t="str">
        <f t="shared" si="0"/>
        <v>Ananconda</v>
      </c>
      <c r="S55" s="6" t="str">
        <f>VLOOKUP(I55,'FIN CAL LOOKUP'!A:J,7,1)</f>
        <v>DEC, FY25</v>
      </c>
      <c r="T55" s="6" t="str">
        <f>VLOOKUP(I55,'FIN CAL LOOKUP'!A:J,10,1)</f>
        <v>Q2, FY25</v>
      </c>
    </row>
    <row r="56" spans="1:20" x14ac:dyDescent="0.25">
      <c r="A56">
        <v>323122</v>
      </c>
      <c r="B56" t="s">
        <v>431</v>
      </c>
      <c r="C56" t="s">
        <v>432</v>
      </c>
      <c r="D56" t="s">
        <v>327</v>
      </c>
      <c r="E56" t="s">
        <v>264</v>
      </c>
      <c r="F56" t="s">
        <v>302</v>
      </c>
      <c r="G56" t="s">
        <v>266</v>
      </c>
      <c r="H56" s="5">
        <v>45608</v>
      </c>
      <c r="I56" s="5">
        <v>45637</v>
      </c>
      <c r="J56" t="s">
        <v>303</v>
      </c>
      <c r="K56" t="s">
        <v>268</v>
      </c>
      <c r="L56">
        <v>1</v>
      </c>
      <c r="M56" t="s">
        <v>304</v>
      </c>
      <c r="N56" t="s">
        <v>237</v>
      </c>
      <c r="O56">
        <v>1</v>
      </c>
      <c r="P56" s="6" t="str">
        <f>VLOOKUP(J56,'Store lookup'!A:C,2,0)</f>
        <v>A020</v>
      </c>
      <c r="Q56" s="6" t="str">
        <f>VLOOKUP(J56,'Store lookup'!A:C,3,0)</f>
        <v>Anaconda Preston</v>
      </c>
      <c r="R56" s="6" t="str">
        <f t="shared" si="0"/>
        <v>Ananconda</v>
      </c>
      <c r="S56" s="6" t="str">
        <f>VLOOKUP(I56,'FIN CAL LOOKUP'!A:J,7,1)</f>
        <v>DEC, FY25</v>
      </c>
      <c r="T56" s="6" t="str">
        <f>VLOOKUP(I56,'FIN CAL LOOKUP'!A:J,10,1)</f>
        <v>Q2, FY25</v>
      </c>
    </row>
    <row r="57" spans="1:20" x14ac:dyDescent="0.25">
      <c r="A57">
        <v>297859</v>
      </c>
      <c r="B57" t="s">
        <v>377</v>
      </c>
      <c r="C57" t="s">
        <v>433</v>
      </c>
      <c r="D57" t="s">
        <v>327</v>
      </c>
      <c r="E57" t="s">
        <v>264</v>
      </c>
      <c r="F57" t="s">
        <v>383</v>
      </c>
      <c r="G57" t="s">
        <v>266</v>
      </c>
      <c r="H57" s="5">
        <v>45608</v>
      </c>
      <c r="I57" s="5">
        <v>45632</v>
      </c>
      <c r="J57" t="s">
        <v>384</v>
      </c>
      <c r="K57" t="s">
        <v>268</v>
      </c>
      <c r="L57">
        <v>2</v>
      </c>
      <c r="M57" t="s">
        <v>385</v>
      </c>
      <c r="N57" t="s">
        <v>237</v>
      </c>
      <c r="O57">
        <v>0</v>
      </c>
      <c r="P57" s="6" t="str">
        <f>VLOOKUP(J57,'Store lookup'!A:C,2,0)</f>
        <v>A009</v>
      </c>
      <c r="Q57" s="6" t="str">
        <f>VLOOKUP(J57,'Store lookup'!A:C,3,0)</f>
        <v>Anaconda Geelong</v>
      </c>
      <c r="R57" s="6" t="str">
        <f t="shared" si="0"/>
        <v>Ananconda</v>
      </c>
      <c r="S57" s="6" t="str">
        <f>VLOOKUP(I57,'FIN CAL LOOKUP'!A:J,7,1)</f>
        <v>DEC, FY25</v>
      </c>
      <c r="T57" s="6" t="str">
        <f>VLOOKUP(I57,'FIN CAL LOOKUP'!A:J,10,1)</f>
        <v>Q2, FY25</v>
      </c>
    </row>
    <row r="58" spans="1:20" x14ac:dyDescent="0.25">
      <c r="A58">
        <v>324368</v>
      </c>
      <c r="B58" t="s">
        <v>434</v>
      </c>
      <c r="C58" t="s">
        <v>435</v>
      </c>
      <c r="D58" t="s">
        <v>327</v>
      </c>
      <c r="E58" t="s">
        <v>264</v>
      </c>
      <c r="F58" t="s">
        <v>302</v>
      </c>
      <c r="G58" t="s">
        <v>266</v>
      </c>
      <c r="H58" s="5">
        <v>45608</v>
      </c>
      <c r="I58" s="5">
        <v>45632</v>
      </c>
      <c r="J58" t="s">
        <v>303</v>
      </c>
      <c r="K58" t="s">
        <v>268</v>
      </c>
      <c r="L58">
        <v>2</v>
      </c>
      <c r="M58" t="s">
        <v>304</v>
      </c>
      <c r="N58" t="s">
        <v>237</v>
      </c>
      <c r="O58">
        <v>0</v>
      </c>
      <c r="P58" s="6" t="str">
        <f>VLOOKUP(J58,'Store lookup'!A:C,2,0)</f>
        <v>A020</v>
      </c>
      <c r="Q58" s="6" t="str">
        <f>VLOOKUP(J58,'Store lookup'!A:C,3,0)</f>
        <v>Anaconda Preston</v>
      </c>
      <c r="R58" s="6" t="str">
        <f t="shared" si="0"/>
        <v>Ananconda</v>
      </c>
      <c r="S58" s="6" t="str">
        <f>VLOOKUP(I58,'FIN CAL LOOKUP'!A:J,7,1)</f>
        <v>DEC, FY25</v>
      </c>
      <c r="T58" s="6" t="str">
        <f>VLOOKUP(I58,'FIN CAL LOOKUP'!A:J,10,1)</f>
        <v>Q2, FY25</v>
      </c>
    </row>
    <row r="59" spans="1:20" x14ac:dyDescent="0.25">
      <c r="A59">
        <v>333446</v>
      </c>
      <c r="B59" t="s">
        <v>436</v>
      </c>
      <c r="C59" t="s">
        <v>437</v>
      </c>
      <c r="D59" t="s">
        <v>327</v>
      </c>
      <c r="E59" t="s">
        <v>264</v>
      </c>
      <c r="F59" t="s">
        <v>302</v>
      </c>
      <c r="G59" t="s">
        <v>266</v>
      </c>
      <c r="H59" s="5">
        <v>45608</v>
      </c>
      <c r="I59" s="5">
        <v>45632</v>
      </c>
      <c r="J59" t="s">
        <v>303</v>
      </c>
      <c r="K59" t="s">
        <v>268</v>
      </c>
      <c r="L59">
        <v>2</v>
      </c>
      <c r="M59" t="s">
        <v>304</v>
      </c>
      <c r="N59" t="s">
        <v>237</v>
      </c>
      <c r="O59">
        <v>0</v>
      </c>
      <c r="P59" s="6" t="str">
        <f>VLOOKUP(J59,'Store lookup'!A:C,2,0)</f>
        <v>A020</v>
      </c>
      <c r="Q59" s="6" t="str">
        <f>VLOOKUP(J59,'Store lookup'!A:C,3,0)</f>
        <v>Anaconda Preston</v>
      </c>
      <c r="R59" s="6" t="str">
        <f t="shared" si="0"/>
        <v>Ananconda</v>
      </c>
      <c r="S59" s="6" t="str">
        <f>VLOOKUP(I59,'FIN CAL LOOKUP'!A:J,7,1)</f>
        <v>DEC, FY25</v>
      </c>
      <c r="T59" s="6" t="str">
        <f>VLOOKUP(I59,'FIN CAL LOOKUP'!A:J,10,1)</f>
        <v>Q2, FY25</v>
      </c>
    </row>
    <row r="60" spans="1:20" x14ac:dyDescent="0.25">
      <c r="A60">
        <v>238012</v>
      </c>
      <c r="B60" t="s">
        <v>438</v>
      </c>
      <c r="C60" t="s">
        <v>439</v>
      </c>
      <c r="D60" t="s">
        <v>327</v>
      </c>
      <c r="E60" t="s">
        <v>264</v>
      </c>
      <c r="F60" t="s">
        <v>358</v>
      </c>
      <c r="G60" t="s">
        <v>266</v>
      </c>
      <c r="H60" s="5">
        <v>45608</v>
      </c>
      <c r="I60" s="5">
        <v>45631</v>
      </c>
      <c r="J60" t="s">
        <v>359</v>
      </c>
      <c r="K60" t="s">
        <v>268</v>
      </c>
      <c r="L60">
        <v>1</v>
      </c>
      <c r="M60" t="s">
        <v>360</v>
      </c>
      <c r="N60" t="s">
        <v>237</v>
      </c>
      <c r="O60">
        <v>1</v>
      </c>
      <c r="P60" s="6" t="str">
        <f>VLOOKUP(J60,'Store lookup'!A:C,2,0)</f>
        <v>A030</v>
      </c>
      <c r="Q60" s="6" t="str">
        <f>VLOOKUP(J60,'Store lookup'!A:C,3,0)</f>
        <v>Anaconda Hoppers Crossing</v>
      </c>
      <c r="R60" s="6" t="str">
        <f t="shared" si="0"/>
        <v>Ananconda</v>
      </c>
      <c r="S60" s="6" t="str">
        <f>VLOOKUP(I60,'FIN CAL LOOKUP'!A:J,7,1)</f>
        <v>DEC, FY25</v>
      </c>
      <c r="T60" s="6" t="str">
        <f>VLOOKUP(I60,'FIN CAL LOOKUP'!A:J,10,1)</f>
        <v>Q2, FY25</v>
      </c>
    </row>
    <row r="61" spans="1:20" x14ac:dyDescent="0.25">
      <c r="A61">
        <v>334662</v>
      </c>
      <c r="B61" t="s">
        <v>440</v>
      </c>
      <c r="C61" t="s">
        <v>441</v>
      </c>
      <c r="D61" t="s">
        <v>333</v>
      </c>
      <c r="E61" t="s">
        <v>264</v>
      </c>
      <c r="F61" t="s">
        <v>302</v>
      </c>
      <c r="G61" t="s">
        <v>266</v>
      </c>
      <c r="H61" s="5">
        <v>45603</v>
      </c>
      <c r="I61" s="5">
        <v>45609</v>
      </c>
      <c r="J61" t="s">
        <v>303</v>
      </c>
      <c r="K61" t="s">
        <v>268</v>
      </c>
      <c r="L61">
        <v>1</v>
      </c>
      <c r="M61" t="s">
        <v>304</v>
      </c>
      <c r="N61" t="s">
        <v>237</v>
      </c>
      <c r="O61">
        <v>1</v>
      </c>
      <c r="P61" s="6" t="str">
        <f>VLOOKUP(J61,'Store lookup'!A:C,2,0)</f>
        <v>A020</v>
      </c>
      <c r="Q61" s="6" t="str">
        <f>VLOOKUP(J61,'Store lookup'!A:C,3,0)</f>
        <v>Anaconda Preston</v>
      </c>
      <c r="R61" s="6" t="str">
        <f t="shared" si="0"/>
        <v>Ananconda</v>
      </c>
      <c r="S61" s="6" t="str">
        <f>VLOOKUP(I61,'FIN CAL LOOKUP'!A:J,7,1)</f>
        <v>NOV, FY25</v>
      </c>
      <c r="T61" s="6" t="str">
        <f>VLOOKUP(I61,'FIN CAL LOOKUP'!A:J,10,1)</f>
        <v>Q2, FY25</v>
      </c>
    </row>
    <row r="62" spans="1:20" x14ac:dyDescent="0.25">
      <c r="A62">
        <v>298250</v>
      </c>
      <c r="B62" t="s">
        <v>442</v>
      </c>
      <c r="C62" t="s">
        <v>443</v>
      </c>
      <c r="D62" t="s">
        <v>278</v>
      </c>
      <c r="E62" t="s">
        <v>264</v>
      </c>
      <c r="F62" t="s">
        <v>371</v>
      </c>
      <c r="G62" t="s">
        <v>266</v>
      </c>
      <c r="H62" s="5">
        <v>45593</v>
      </c>
      <c r="I62" s="5">
        <v>45617</v>
      </c>
      <c r="J62" t="s">
        <v>371</v>
      </c>
      <c r="K62" t="s">
        <v>268</v>
      </c>
      <c r="L62">
        <v>1</v>
      </c>
      <c r="M62" t="s">
        <v>372</v>
      </c>
      <c r="N62" t="s">
        <v>237</v>
      </c>
      <c r="O62">
        <v>1</v>
      </c>
      <c r="P62" s="6" t="str">
        <f>VLOOKUP(J62,'Store lookup'!A:C,2,0)</f>
        <v>A069</v>
      </c>
      <c r="Q62" s="6" t="str">
        <f>VLOOKUP(J62,'Store lookup'!A:C,3,0)</f>
        <v>Anaconda Gepps Cross</v>
      </c>
      <c r="R62" s="6" t="str">
        <f t="shared" si="0"/>
        <v>Ananconda</v>
      </c>
      <c r="S62" s="6" t="str">
        <f>VLOOKUP(I62,'FIN CAL LOOKUP'!A:J,7,1)</f>
        <v>NOV, FY25</v>
      </c>
      <c r="T62" s="6" t="str">
        <f>VLOOKUP(I62,'FIN CAL LOOKUP'!A:J,10,1)</f>
        <v>Q2, FY25</v>
      </c>
    </row>
    <row r="63" spans="1:20" x14ac:dyDescent="0.25">
      <c r="A63">
        <v>329993</v>
      </c>
      <c r="B63" t="s">
        <v>444</v>
      </c>
      <c r="C63" t="s">
        <v>445</v>
      </c>
      <c r="D63" t="s">
        <v>272</v>
      </c>
      <c r="E63" t="s">
        <v>264</v>
      </c>
      <c r="F63" t="s">
        <v>302</v>
      </c>
      <c r="G63" t="s">
        <v>266</v>
      </c>
      <c r="H63" s="5">
        <v>45593</v>
      </c>
      <c r="I63" s="5">
        <v>45610</v>
      </c>
      <c r="J63" t="s">
        <v>303</v>
      </c>
      <c r="K63" t="s">
        <v>268</v>
      </c>
      <c r="L63">
        <v>1</v>
      </c>
      <c r="M63" t="s">
        <v>304</v>
      </c>
      <c r="N63" t="s">
        <v>237</v>
      </c>
      <c r="O63">
        <v>1</v>
      </c>
      <c r="P63" s="6" t="str">
        <f>VLOOKUP(J63,'Store lookup'!A:C,2,0)</f>
        <v>A020</v>
      </c>
      <c r="Q63" s="6" t="str">
        <f>VLOOKUP(J63,'Store lookup'!A:C,3,0)</f>
        <v>Anaconda Preston</v>
      </c>
      <c r="R63" s="6" t="str">
        <f t="shared" si="0"/>
        <v>Ananconda</v>
      </c>
      <c r="S63" s="6" t="str">
        <f>VLOOKUP(I63,'FIN CAL LOOKUP'!A:J,7,1)</f>
        <v>NOV, FY25</v>
      </c>
      <c r="T63" s="6" t="str">
        <f>VLOOKUP(I63,'FIN CAL LOOKUP'!A:J,10,1)</f>
        <v>Q2, FY25</v>
      </c>
    </row>
    <row r="64" spans="1:20" x14ac:dyDescent="0.25">
      <c r="A64">
        <v>329628</v>
      </c>
      <c r="B64" t="s">
        <v>446</v>
      </c>
      <c r="C64" t="s">
        <v>447</v>
      </c>
      <c r="D64" t="s">
        <v>272</v>
      </c>
      <c r="E64" t="s">
        <v>264</v>
      </c>
      <c r="F64" t="s">
        <v>302</v>
      </c>
      <c r="G64" t="s">
        <v>266</v>
      </c>
      <c r="H64" s="5">
        <v>45593</v>
      </c>
      <c r="I64" s="5">
        <v>45608</v>
      </c>
      <c r="J64" t="s">
        <v>303</v>
      </c>
      <c r="K64" t="s">
        <v>268</v>
      </c>
      <c r="L64">
        <v>1</v>
      </c>
      <c r="M64" t="s">
        <v>304</v>
      </c>
      <c r="N64" t="s">
        <v>237</v>
      </c>
      <c r="O64">
        <v>1</v>
      </c>
      <c r="P64" s="6" t="str">
        <f>VLOOKUP(J64,'Store lookup'!A:C,2,0)</f>
        <v>A020</v>
      </c>
      <c r="Q64" s="6" t="str">
        <f>VLOOKUP(J64,'Store lookup'!A:C,3,0)</f>
        <v>Anaconda Preston</v>
      </c>
      <c r="R64" s="6" t="str">
        <f t="shared" si="0"/>
        <v>Ananconda</v>
      </c>
      <c r="S64" s="6" t="str">
        <f>VLOOKUP(I64,'FIN CAL LOOKUP'!A:J,7,1)</f>
        <v>NOV, FY25</v>
      </c>
      <c r="T64" s="6" t="str">
        <f>VLOOKUP(I64,'FIN CAL LOOKUP'!A:J,10,1)</f>
        <v>Q2, FY25</v>
      </c>
    </row>
    <row r="65" spans="1:20" x14ac:dyDescent="0.25">
      <c r="A65">
        <v>317493</v>
      </c>
      <c r="B65" t="s">
        <v>448</v>
      </c>
      <c r="C65" t="s">
        <v>449</v>
      </c>
      <c r="D65" t="s">
        <v>333</v>
      </c>
      <c r="E65" t="s">
        <v>264</v>
      </c>
      <c r="F65" t="s">
        <v>308</v>
      </c>
      <c r="G65" t="s">
        <v>266</v>
      </c>
      <c r="H65" s="5">
        <v>45593</v>
      </c>
      <c r="I65" s="5">
        <v>45604</v>
      </c>
      <c r="J65" t="s">
        <v>309</v>
      </c>
      <c r="K65" t="s">
        <v>268</v>
      </c>
      <c r="L65">
        <v>1</v>
      </c>
      <c r="M65" t="s">
        <v>310</v>
      </c>
      <c r="N65" t="s">
        <v>237</v>
      </c>
      <c r="O65">
        <v>1</v>
      </c>
      <c r="P65" s="6" t="str">
        <f>VLOOKUP(J65,'Store lookup'!A:C,2,0)</f>
        <v>A058</v>
      </c>
      <c r="Q65" s="6" t="str">
        <f>VLOOKUP(J65,'Store lookup'!A:C,3,0)</f>
        <v>Anaconda Hawthorn East</v>
      </c>
      <c r="R65" s="6" t="str">
        <f t="shared" si="0"/>
        <v>Ananconda</v>
      </c>
      <c r="S65" s="6" t="str">
        <f>VLOOKUP(I65,'FIN CAL LOOKUP'!A:J,7,1)</f>
        <v>NOV, FY25</v>
      </c>
      <c r="T65" s="6" t="str">
        <f>VLOOKUP(I65,'FIN CAL LOOKUP'!A:J,10,1)</f>
        <v>Q2, FY25</v>
      </c>
    </row>
    <row r="66" spans="1:20" x14ac:dyDescent="0.25">
      <c r="A66">
        <v>332842</v>
      </c>
      <c r="B66" t="s">
        <v>450</v>
      </c>
      <c r="C66" t="s">
        <v>451</v>
      </c>
      <c r="D66" t="s">
        <v>272</v>
      </c>
      <c r="E66" t="s">
        <v>264</v>
      </c>
      <c r="F66" t="s">
        <v>353</v>
      </c>
      <c r="G66" t="s">
        <v>266</v>
      </c>
      <c r="H66" s="5">
        <v>45589</v>
      </c>
      <c r="I66" s="5">
        <v>45603</v>
      </c>
      <c r="J66" t="s">
        <v>354</v>
      </c>
      <c r="K66" t="s">
        <v>268</v>
      </c>
      <c r="L66">
        <v>1</v>
      </c>
      <c r="M66" t="s">
        <v>355</v>
      </c>
      <c r="N66" t="s">
        <v>237</v>
      </c>
      <c r="O66">
        <v>1</v>
      </c>
      <c r="P66" s="6" t="str">
        <f>VLOOKUP(J66,'Store lookup'!A:C,2,0)</f>
        <v>A017</v>
      </c>
      <c r="Q66" s="6" t="str">
        <f>VLOOKUP(J66,'Store lookup'!A:C,3,0)</f>
        <v>Anaconda Narre Warren</v>
      </c>
      <c r="R66" s="6" t="str">
        <f t="shared" ref="R66:R129" si="1">IF(LEFT(Q66,1)="A","Ananconda",IF(LEFT(Q66,1)="H","Harris Scarfe",IF(LEFT(Q66,1)="S","Spotlight","Exempt")))</f>
        <v>Ananconda</v>
      </c>
      <c r="S66" s="6" t="str">
        <f>VLOOKUP(I66,'FIN CAL LOOKUP'!A:J,7,1)</f>
        <v>NOV, FY25</v>
      </c>
      <c r="T66" s="6" t="str">
        <f>VLOOKUP(I66,'FIN CAL LOOKUP'!A:J,10,1)</f>
        <v>Q2, FY25</v>
      </c>
    </row>
    <row r="67" spans="1:20" x14ac:dyDescent="0.25">
      <c r="A67">
        <v>336128</v>
      </c>
      <c r="B67" t="s">
        <v>452</v>
      </c>
      <c r="C67" t="s">
        <v>453</v>
      </c>
      <c r="D67" t="s">
        <v>272</v>
      </c>
      <c r="E67" t="s">
        <v>264</v>
      </c>
      <c r="F67" t="s">
        <v>285</v>
      </c>
      <c r="G67" t="s">
        <v>266</v>
      </c>
      <c r="H67" s="5">
        <v>45588</v>
      </c>
      <c r="I67" s="5">
        <v>45604</v>
      </c>
      <c r="J67" t="s">
        <v>286</v>
      </c>
      <c r="K67" t="s">
        <v>268</v>
      </c>
      <c r="L67">
        <v>1</v>
      </c>
      <c r="M67" t="s">
        <v>287</v>
      </c>
      <c r="N67" t="s">
        <v>237</v>
      </c>
      <c r="O67">
        <v>1</v>
      </c>
      <c r="P67" s="6" t="str">
        <f>VLOOKUP(J67,'Store lookup'!A:C,2,0)</f>
        <v>A040</v>
      </c>
      <c r="Q67" s="6" t="str">
        <f>VLOOKUP(J67,'Store lookup'!A:C,3,0)</f>
        <v>Anaconda Watergardens</v>
      </c>
      <c r="R67" s="6" t="str">
        <f t="shared" si="1"/>
        <v>Ananconda</v>
      </c>
      <c r="S67" s="6" t="str">
        <f>VLOOKUP(I67,'FIN CAL LOOKUP'!A:J,7,1)</f>
        <v>NOV, FY25</v>
      </c>
      <c r="T67" s="6" t="str">
        <f>VLOOKUP(I67,'FIN CAL LOOKUP'!A:J,10,1)</f>
        <v>Q2, FY25</v>
      </c>
    </row>
    <row r="68" spans="1:20" x14ac:dyDescent="0.25">
      <c r="A68">
        <v>314085</v>
      </c>
      <c r="B68" t="s">
        <v>331</v>
      </c>
      <c r="C68" t="s">
        <v>332</v>
      </c>
      <c r="D68" t="s">
        <v>333</v>
      </c>
      <c r="E68" t="s">
        <v>264</v>
      </c>
      <c r="F68" t="s">
        <v>273</v>
      </c>
      <c r="G68" t="s">
        <v>266</v>
      </c>
      <c r="H68" s="5">
        <v>45575</v>
      </c>
      <c r="I68" s="5">
        <v>45589</v>
      </c>
      <c r="J68" t="s">
        <v>274</v>
      </c>
      <c r="K68" t="s">
        <v>268</v>
      </c>
      <c r="L68">
        <v>1</v>
      </c>
      <c r="M68" t="s">
        <v>275</v>
      </c>
      <c r="N68" t="s">
        <v>237</v>
      </c>
      <c r="O68">
        <v>1</v>
      </c>
      <c r="P68" s="6" t="str">
        <f>VLOOKUP(J68,'Store lookup'!A:C,2,0)</f>
        <v>A026</v>
      </c>
      <c r="Q68" s="6" t="str">
        <f>VLOOKUP(J68,'Store lookup'!A:C,3,0)</f>
        <v>Anaconda Springvale</v>
      </c>
      <c r="R68" s="6" t="str">
        <f t="shared" si="1"/>
        <v>Ananconda</v>
      </c>
      <c r="S68" s="6" t="str">
        <f>VLOOKUP(I68,'FIN CAL LOOKUP'!A:J,7,1)</f>
        <v>OCT, FY25</v>
      </c>
      <c r="T68" s="6" t="str">
        <f>VLOOKUP(I68,'FIN CAL LOOKUP'!A:J,10,1)</f>
        <v>Q2, FY25</v>
      </c>
    </row>
    <row r="69" spans="1:20" x14ac:dyDescent="0.25">
      <c r="A69">
        <v>327402</v>
      </c>
      <c r="B69" t="s">
        <v>454</v>
      </c>
      <c r="C69" t="s">
        <v>455</v>
      </c>
      <c r="D69" t="s">
        <v>278</v>
      </c>
      <c r="E69" t="s">
        <v>264</v>
      </c>
      <c r="F69" t="s">
        <v>336</v>
      </c>
      <c r="G69" t="s">
        <v>266</v>
      </c>
      <c r="H69" s="5">
        <v>45541</v>
      </c>
      <c r="I69" s="5">
        <v>45560</v>
      </c>
      <c r="J69" t="s">
        <v>337</v>
      </c>
      <c r="K69" t="s">
        <v>268</v>
      </c>
      <c r="L69">
        <v>1</v>
      </c>
      <c r="M69" t="s">
        <v>338</v>
      </c>
      <c r="N69" t="s">
        <v>237</v>
      </c>
      <c r="O69">
        <v>1</v>
      </c>
      <c r="P69" s="6" t="str">
        <f>VLOOKUP(J69,'Store lookup'!A:C,2,0)</f>
        <v>A042</v>
      </c>
      <c r="Q69" s="6" t="str">
        <f>VLOOKUP(J69,'Store lookup'!A:C,3,0)</f>
        <v>Anaconda Maribyrnong</v>
      </c>
      <c r="R69" s="6" t="str">
        <f t="shared" si="1"/>
        <v>Ananconda</v>
      </c>
      <c r="S69" s="6" t="str">
        <f>VLOOKUP(I69,'FIN CAL LOOKUP'!A:J,7,1)</f>
        <v>SEP, FY25</v>
      </c>
      <c r="T69" s="6" t="str">
        <f>VLOOKUP(I69,'FIN CAL LOOKUP'!A:J,10,1)</f>
        <v>Q1, FY25</v>
      </c>
    </row>
    <row r="70" spans="1:20" x14ac:dyDescent="0.25">
      <c r="A70">
        <v>231957</v>
      </c>
      <c r="B70" t="s">
        <v>456</v>
      </c>
      <c r="C70" t="s">
        <v>457</v>
      </c>
      <c r="D70" t="s">
        <v>278</v>
      </c>
      <c r="E70" t="s">
        <v>264</v>
      </c>
      <c r="F70" t="s">
        <v>336</v>
      </c>
      <c r="G70" t="s">
        <v>266</v>
      </c>
      <c r="H70" s="5">
        <v>45539</v>
      </c>
      <c r="I70" s="5">
        <v>45554</v>
      </c>
      <c r="J70" t="s">
        <v>337</v>
      </c>
      <c r="K70" t="s">
        <v>268</v>
      </c>
      <c r="L70">
        <v>2</v>
      </c>
      <c r="M70" t="s">
        <v>338</v>
      </c>
      <c r="N70" t="s">
        <v>237</v>
      </c>
      <c r="O70">
        <v>0</v>
      </c>
      <c r="P70" s="6" t="str">
        <f>VLOOKUP(J70,'Store lookup'!A:C,2,0)</f>
        <v>A042</v>
      </c>
      <c r="Q70" s="6" t="str">
        <f>VLOOKUP(J70,'Store lookup'!A:C,3,0)</f>
        <v>Anaconda Maribyrnong</v>
      </c>
      <c r="R70" s="6" t="str">
        <f t="shared" si="1"/>
        <v>Ananconda</v>
      </c>
      <c r="S70" s="6" t="str">
        <f>VLOOKUP(I70,'FIN CAL LOOKUP'!A:J,7,1)</f>
        <v>SEP, FY25</v>
      </c>
      <c r="T70" s="6" t="str">
        <f>VLOOKUP(I70,'FIN CAL LOOKUP'!A:J,10,1)</f>
        <v>Q1, FY25</v>
      </c>
    </row>
    <row r="71" spans="1:20" x14ac:dyDescent="0.25">
      <c r="A71">
        <v>240305</v>
      </c>
      <c r="B71" t="s">
        <v>458</v>
      </c>
      <c r="C71" t="s">
        <v>392</v>
      </c>
      <c r="D71" t="s">
        <v>278</v>
      </c>
      <c r="E71" t="s">
        <v>264</v>
      </c>
      <c r="F71" t="s">
        <v>336</v>
      </c>
      <c r="G71" t="s">
        <v>266</v>
      </c>
      <c r="H71" s="5">
        <v>45539</v>
      </c>
      <c r="I71" s="5">
        <v>45554</v>
      </c>
      <c r="J71" t="s">
        <v>337</v>
      </c>
      <c r="K71" t="s">
        <v>268</v>
      </c>
      <c r="L71">
        <v>2</v>
      </c>
      <c r="M71" t="s">
        <v>338</v>
      </c>
      <c r="N71" t="s">
        <v>237</v>
      </c>
      <c r="O71">
        <v>0</v>
      </c>
      <c r="P71" s="6" t="str">
        <f>VLOOKUP(J71,'Store lookup'!A:C,2,0)</f>
        <v>A042</v>
      </c>
      <c r="Q71" s="6" t="str">
        <f>VLOOKUP(J71,'Store lookup'!A:C,3,0)</f>
        <v>Anaconda Maribyrnong</v>
      </c>
      <c r="R71" s="6" t="str">
        <f t="shared" si="1"/>
        <v>Ananconda</v>
      </c>
      <c r="S71" s="6" t="str">
        <f>VLOOKUP(I71,'FIN CAL LOOKUP'!A:J,7,1)</f>
        <v>SEP, FY25</v>
      </c>
      <c r="T71" s="6" t="str">
        <f>VLOOKUP(I71,'FIN CAL LOOKUP'!A:J,10,1)</f>
        <v>Q1, FY25</v>
      </c>
    </row>
    <row r="72" spans="1:20" x14ac:dyDescent="0.25">
      <c r="A72">
        <v>235135</v>
      </c>
      <c r="B72" t="s">
        <v>459</v>
      </c>
      <c r="C72" t="s">
        <v>460</v>
      </c>
      <c r="D72" t="s">
        <v>278</v>
      </c>
      <c r="E72" t="s">
        <v>264</v>
      </c>
      <c r="F72" t="s">
        <v>297</v>
      </c>
      <c r="G72" t="s">
        <v>266</v>
      </c>
      <c r="H72" s="5">
        <v>45538</v>
      </c>
      <c r="I72" s="5">
        <v>45545</v>
      </c>
      <c r="J72" t="s">
        <v>298</v>
      </c>
      <c r="K72" t="s">
        <v>268</v>
      </c>
      <c r="L72">
        <v>2</v>
      </c>
      <c r="M72" t="s">
        <v>299</v>
      </c>
      <c r="N72" t="s">
        <v>237</v>
      </c>
      <c r="O72">
        <v>0</v>
      </c>
      <c r="P72" s="6" t="str">
        <f>VLOOKUP(J72,'Store lookup'!A:C,2,0)</f>
        <v>A039</v>
      </c>
      <c r="Q72" s="6" t="str">
        <f>VLOOKUP(J72,'Store lookup'!A:C,3,0)</f>
        <v>Anaconda Highett</v>
      </c>
      <c r="R72" s="6" t="str">
        <f t="shared" si="1"/>
        <v>Ananconda</v>
      </c>
      <c r="S72" s="6" t="str">
        <f>VLOOKUP(I72,'FIN CAL LOOKUP'!A:J,7,1)</f>
        <v>SEP, FY25</v>
      </c>
      <c r="T72" s="6" t="str">
        <f>VLOOKUP(I72,'FIN CAL LOOKUP'!A:J,10,1)</f>
        <v>Q1, FY25</v>
      </c>
    </row>
    <row r="73" spans="1:20" x14ac:dyDescent="0.25">
      <c r="A73">
        <v>321433</v>
      </c>
      <c r="B73" t="s">
        <v>461</v>
      </c>
      <c r="C73" t="s">
        <v>462</v>
      </c>
      <c r="D73" t="s">
        <v>272</v>
      </c>
      <c r="E73" t="s">
        <v>264</v>
      </c>
      <c r="F73" t="s">
        <v>297</v>
      </c>
      <c r="G73" t="s">
        <v>266</v>
      </c>
      <c r="H73" s="5">
        <v>45538</v>
      </c>
      <c r="I73" s="5">
        <v>45545</v>
      </c>
      <c r="J73" t="s">
        <v>298</v>
      </c>
      <c r="K73" t="s">
        <v>268</v>
      </c>
      <c r="L73">
        <v>2</v>
      </c>
      <c r="M73" t="s">
        <v>299</v>
      </c>
      <c r="N73" t="s">
        <v>237</v>
      </c>
      <c r="O73">
        <v>0</v>
      </c>
      <c r="P73" s="6" t="str">
        <f>VLOOKUP(J73,'Store lookup'!A:C,2,0)</f>
        <v>A039</v>
      </c>
      <c r="Q73" s="6" t="str">
        <f>VLOOKUP(J73,'Store lookup'!A:C,3,0)</f>
        <v>Anaconda Highett</v>
      </c>
      <c r="R73" s="6" t="str">
        <f t="shared" si="1"/>
        <v>Ananconda</v>
      </c>
      <c r="S73" s="6" t="str">
        <f>VLOOKUP(I73,'FIN CAL LOOKUP'!A:J,7,1)</f>
        <v>SEP, FY25</v>
      </c>
      <c r="T73" s="6" t="str">
        <f>VLOOKUP(I73,'FIN CAL LOOKUP'!A:J,10,1)</f>
        <v>Q1, FY25</v>
      </c>
    </row>
    <row r="74" spans="1:20" x14ac:dyDescent="0.25">
      <c r="A74">
        <v>316506</v>
      </c>
      <c r="B74" t="s">
        <v>463</v>
      </c>
      <c r="C74" t="s">
        <v>464</v>
      </c>
      <c r="D74" t="s">
        <v>272</v>
      </c>
      <c r="E74" t="s">
        <v>264</v>
      </c>
      <c r="F74" t="s">
        <v>358</v>
      </c>
      <c r="G74" t="s">
        <v>266</v>
      </c>
      <c r="H74" s="5">
        <v>45537</v>
      </c>
      <c r="I74" s="5">
        <v>45604</v>
      </c>
      <c r="J74" t="s">
        <v>359</v>
      </c>
      <c r="K74" t="s">
        <v>268</v>
      </c>
      <c r="L74">
        <v>1</v>
      </c>
      <c r="M74" t="s">
        <v>360</v>
      </c>
      <c r="N74" t="s">
        <v>237</v>
      </c>
      <c r="O74">
        <v>1</v>
      </c>
      <c r="P74" s="6" t="str">
        <f>VLOOKUP(J74,'Store lookup'!A:C,2,0)</f>
        <v>A030</v>
      </c>
      <c r="Q74" s="6" t="str">
        <f>VLOOKUP(J74,'Store lookup'!A:C,3,0)</f>
        <v>Anaconda Hoppers Crossing</v>
      </c>
      <c r="R74" s="6" t="str">
        <f t="shared" si="1"/>
        <v>Ananconda</v>
      </c>
      <c r="S74" s="6" t="str">
        <f>VLOOKUP(I74,'FIN CAL LOOKUP'!A:J,7,1)</f>
        <v>NOV, FY25</v>
      </c>
      <c r="T74" s="6" t="str">
        <f>VLOOKUP(I74,'FIN CAL LOOKUP'!A:J,10,1)</f>
        <v>Q2, FY25</v>
      </c>
    </row>
    <row r="75" spans="1:20" x14ac:dyDescent="0.25">
      <c r="A75">
        <v>314778</v>
      </c>
      <c r="B75" t="s">
        <v>465</v>
      </c>
      <c r="C75" t="s">
        <v>466</v>
      </c>
      <c r="D75" t="s">
        <v>307</v>
      </c>
      <c r="E75" t="s">
        <v>264</v>
      </c>
      <c r="F75" t="s">
        <v>279</v>
      </c>
      <c r="G75" t="s">
        <v>266</v>
      </c>
      <c r="H75" s="5">
        <v>45530</v>
      </c>
      <c r="I75" s="5">
        <v>45611</v>
      </c>
      <c r="J75" t="s">
        <v>280</v>
      </c>
      <c r="K75" t="s">
        <v>268</v>
      </c>
      <c r="L75">
        <v>1</v>
      </c>
      <c r="M75" t="s">
        <v>281</v>
      </c>
      <c r="N75" t="s">
        <v>237</v>
      </c>
      <c r="O75">
        <v>1</v>
      </c>
      <c r="P75" s="6" t="str">
        <f>VLOOKUP(J75,'Store lookup'!A:C,2,0)</f>
        <v>A041</v>
      </c>
      <c r="Q75" s="6" t="str">
        <f>VLOOKUP(J75,'Store lookup'!A:C,3,0)</f>
        <v>Anaconda Box Hill</v>
      </c>
      <c r="R75" s="6" t="str">
        <f t="shared" si="1"/>
        <v>Ananconda</v>
      </c>
      <c r="S75" s="6" t="str">
        <f>VLOOKUP(I75,'FIN CAL LOOKUP'!A:J,7,1)</f>
        <v>NOV, FY25</v>
      </c>
      <c r="T75" s="6" t="str">
        <f>VLOOKUP(I75,'FIN CAL LOOKUP'!A:J,10,1)</f>
        <v>Q2, FY25</v>
      </c>
    </row>
    <row r="76" spans="1:20" x14ac:dyDescent="0.25">
      <c r="A76">
        <v>328927</v>
      </c>
      <c r="B76" t="s">
        <v>323</v>
      </c>
      <c r="C76" t="s">
        <v>324</v>
      </c>
      <c r="D76" t="s">
        <v>307</v>
      </c>
      <c r="E76" t="s">
        <v>264</v>
      </c>
      <c r="F76" t="s">
        <v>273</v>
      </c>
      <c r="G76" t="s">
        <v>266</v>
      </c>
      <c r="H76" s="5">
        <v>45527</v>
      </c>
      <c r="I76" s="5">
        <v>45618</v>
      </c>
      <c r="J76" t="s">
        <v>274</v>
      </c>
      <c r="K76" t="s">
        <v>268</v>
      </c>
      <c r="L76">
        <v>1</v>
      </c>
      <c r="M76" t="s">
        <v>275</v>
      </c>
      <c r="N76" t="s">
        <v>237</v>
      </c>
      <c r="O76">
        <v>1</v>
      </c>
      <c r="P76" s="6" t="str">
        <f>VLOOKUP(J76,'Store lookup'!A:C,2,0)</f>
        <v>A026</v>
      </c>
      <c r="Q76" s="6" t="str">
        <f>VLOOKUP(J76,'Store lookup'!A:C,3,0)</f>
        <v>Anaconda Springvale</v>
      </c>
      <c r="R76" s="6" t="str">
        <f t="shared" si="1"/>
        <v>Ananconda</v>
      </c>
      <c r="S76" s="6" t="str">
        <f>VLOOKUP(I76,'FIN CAL LOOKUP'!A:J,7,1)</f>
        <v>NOV, FY25</v>
      </c>
      <c r="T76" s="6" t="str">
        <f>VLOOKUP(I76,'FIN CAL LOOKUP'!A:J,10,1)</f>
        <v>Q2, FY25</v>
      </c>
    </row>
    <row r="77" spans="1:20" x14ac:dyDescent="0.25">
      <c r="A77">
        <v>316449</v>
      </c>
      <c r="B77" t="s">
        <v>467</v>
      </c>
      <c r="C77" t="s">
        <v>468</v>
      </c>
      <c r="D77" t="s">
        <v>307</v>
      </c>
      <c r="E77" t="s">
        <v>264</v>
      </c>
      <c r="F77" t="s">
        <v>358</v>
      </c>
      <c r="G77" t="s">
        <v>266</v>
      </c>
      <c r="H77" s="5">
        <v>45527</v>
      </c>
      <c r="I77" s="5">
        <v>45531</v>
      </c>
      <c r="J77" t="s">
        <v>359</v>
      </c>
      <c r="K77" t="s">
        <v>268</v>
      </c>
      <c r="L77">
        <v>1</v>
      </c>
      <c r="M77" t="s">
        <v>360</v>
      </c>
      <c r="N77" t="s">
        <v>237</v>
      </c>
      <c r="O77">
        <v>1</v>
      </c>
      <c r="P77" s="6" t="str">
        <f>VLOOKUP(J77,'Store lookup'!A:C,2,0)</f>
        <v>A030</v>
      </c>
      <c r="Q77" s="6" t="str">
        <f>VLOOKUP(J77,'Store lookup'!A:C,3,0)</f>
        <v>Anaconda Hoppers Crossing</v>
      </c>
      <c r="R77" s="6" t="str">
        <f t="shared" si="1"/>
        <v>Ananconda</v>
      </c>
      <c r="S77" s="6" t="str">
        <f>VLOOKUP(I77,'FIN CAL LOOKUP'!A:J,7,1)</f>
        <v>AUG, FY25</v>
      </c>
      <c r="T77" s="6" t="str">
        <f>VLOOKUP(I77,'FIN CAL LOOKUP'!A:J,10,1)</f>
        <v>Q1, FY25</v>
      </c>
    </row>
    <row r="78" spans="1:20" x14ac:dyDescent="0.25">
      <c r="A78">
        <v>297893</v>
      </c>
      <c r="B78" t="s">
        <v>469</v>
      </c>
      <c r="C78" t="s">
        <v>470</v>
      </c>
      <c r="D78" t="s">
        <v>307</v>
      </c>
      <c r="E78" t="s">
        <v>264</v>
      </c>
      <c r="F78" t="s">
        <v>471</v>
      </c>
      <c r="G78" t="s">
        <v>266</v>
      </c>
      <c r="H78" s="5">
        <v>45523</v>
      </c>
      <c r="I78" s="5">
        <v>45561</v>
      </c>
      <c r="J78" t="s">
        <v>471</v>
      </c>
      <c r="K78" t="s">
        <v>268</v>
      </c>
      <c r="L78">
        <v>1</v>
      </c>
      <c r="N78" t="s">
        <v>237</v>
      </c>
      <c r="O78">
        <v>1</v>
      </c>
      <c r="P78" s="6" t="str">
        <f>VLOOKUP(J78,'Store lookup'!A:C,2,0)</f>
        <v>A028</v>
      </c>
      <c r="Q78" s="6" t="str">
        <f>VLOOKUP(J78,'Store lookup'!A:C,3,0)</f>
        <v>Anaconda Launceston</v>
      </c>
      <c r="R78" s="6" t="str">
        <f t="shared" si="1"/>
        <v>Ananconda</v>
      </c>
      <c r="S78" s="6" t="str">
        <f>VLOOKUP(I78,'FIN CAL LOOKUP'!A:J,7,1)</f>
        <v>SEP, FY25</v>
      </c>
      <c r="T78" s="6" t="str">
        <f>VLOOKUP(I78,'FIN CAL LOOKUP'!A:J,10,1)</f>
        <v>Q1, FY25</v>
      </c>
    </row>
    <row r="79" spans="1:20" x14ac:dyDescent="0.25">
      <c r="A79">
        <v>335235</v>
      </c>
      <c r="B79" t="s">
        <v>472</v>
      </c>
      <c r="C79" t="s">
        <v>473</v>
      </c>
      <c r="D79" t="s">
        <v>272</v>
      </c>
      <c r="E79" t="s">
        <v>264</v>
      </c>
      <c r="F79" t="s">
        <v>308</v>
      </c>
      <c r="G79" t="s">
        <v>266</v>
      </c>
      <c r="H79" s="5">
        <v>45523</v>
      </c>
      <c r="I79" s="5">
        <v>45533</v>
      </c>
      <c r="J79" t="s">
        <v>309</v>
      </c>
      <c r="K79" t="s">
        <v>268</v>
      </c>
      <c r="L79">
        <v>1</v>
      </c>
      <c r="M79" t="s">
        <v>310</v>
      </c>
      <c r="N79" t="s">
        <v>237</v>
      </c>
      <c r="O79">
        <v>1</v>
      </c>
      <c r="P79" s="6" t="str">
        <f>VLOOKUP(J79,'Store lookup'!A:C,2,0)</f>
        <v>A058</v>
      </c>
      <c r="Q79" s="6" t="str">
        <f>VLOOKUP(J79,'Store lookup'!A:C,3,0)</f>
        <v>Anaconda Hawthorn East</v>
      </c>
      <c r="R79" s="6" t="str">
        <f t="shared" si="1"/>
        <v>Ananconda</v>
      </c>
      <c r="S79" s="6" t="str">
        <f>VLOOKUP(I79,'FIN CAL LOOKUP'!A:J,7,1)</f>
        <v>AUG, FY25</v>
      </c>
      <c r="T79" s="6" t="str">
        <f>VLOOKUP(I79,'FIN CAL LOOKUP'!A:J,10,1)</f>
        <v>Q1, FY25</v>
      </c>
    </row>
    <row r="80" spans="1:20" x14ac:dyDescent="0.25">
      <c r="A80">
        <v>328358</v>
      </c>
      <c r="B80" t="s">
        <v>414</v>
      </c>
      <c r="C80" t="s">
        <v>415</v>
      </c>
      <c r="D80" t="s">
        <v>278</v>
      </c>
      <c r="E80" t="s">
        <v>264</v>
      </c>
      <c r="F80" t="s">
        <v>302</v>
      </c>
      <c r="G80" t="s">
        <v>266</v>
      </c>
      <c r="H80" s="5">
        <v>45519</v>
      </c>
      <c r="I80" s="5">
        <v>45520</v>
      </c>
      <c r="J80" t="s">
        <v>303</v>
      </c>
      <c r="K80" t="s">
        <v>268</v>
      </c>
      <c r="L80">
        <v>1</v>
      </c>
      <c r="M80" t="s">
        <v>304</v>
      </c>
      <c r="N80" t="s">
        <v>237</v>
      </c>
      <c r="O80">
        <v>1</v>
      </c>
      <c r="P80" s="6" t="str">
        <f>VLOOKUP(J80,'Store lookup'!A:C,2,0)</f>
        <v>A020</v>
      </c>
      <c r="Q80" s="6" t="str">
        <f>VLOOKUP(J80,'Store lookup'!A:C,3,0)</f>
        <v>Anaconda Preston</v>
      </c>
      <c r="R80" s="6" t="str">
        <f t="shared" si="1"/>
        <v>Ananconda</v>
      </c>
      <c r="S80" s="6" t="str">
        <f>VLOOKUP(I80,'FIN CAL LOOKUP'!A:J,7,1)</f>
        <v>AUG, FY25</v>
      </c>
      <c r="T80" s="6" t="str">
        <f>VLOOKUP(I80,'FIN CAL LOOKUP'!A:J,10,1)</f>
        <v>Q1, FY25</v>
      </c>
    </row>
    <row r="81" spans="1:20" x14ac:dyDescent="0.25">
      <c r="A81">
        <v>335130</v>
      </c>
      <c r="B81" t="s">
        <v>474</v>
      </c>
      <c r="C81" t="s">
        <v>475</v>
      </c>
      <c r="D81" t="s">
        <v>307</v>
      </c>
      <c r="E81" t="s">
        <v>264</v>
      </c>
      <c r="F81" t="s">
        <v>285</v>
      </c>
      <c r="G81" t="s">
        <v>266</v>
      </c>
      <c r="H81" s="5">
        <v>45506</v>
      </c>
      <c r="I81" s="5">
        <v>45525</v>
      </c>
      <c r="J81" t="s">
        <v>286</v>
      </c>
      <c r="K81" t="s">
        <v>268</v>
      </c>
      <c r="L81">
        <v>1</v>
      </c>
      <c r="M81" t="s">
        <v>287</v>
      </c>
      <c r="N81" t="s">
        <v>237</v>
      </c>
      <c r="O81">
        <v>1</v>
      </c>
      <c r="P81" s="6" t="str">
        <f>VLOOKUP(J81,'Store lookup'!A:C,2,0)</f>
        <v>A040</v>
      </c>
      <c r="Q81" s="6" t="str">
        <f>VLOOKUP(J81,'Store lookup'!A:C,3,0)</f>
        <v>Anaconda Watergardens</v>
      </c>
      <c r="R81" s="6" t="str">
        <f t="shared" si="1"/>
        <v>Ananconda</v>
      </c>
      <c r="S81" s="6" t="str">
        <f>VLOOKUP(I81,'FIN CAL LOOKUP'!A:J,7,1)</f>
        <v>AUG, FY25</v>
      </c>
      <c r="T81" s="6" t="str">
        <f>VLOOKUP(I81,'FIN CAL LOOKUP'!A:J,10,1)</f>
        <v>Q1, FY25</v>
      </c>
    </row>
    <row r="82" spans="1:20" x14ac:dyDescent="0.25">
      <c r="A82">
        <v>326563</v>
      </c>
      <c r="B82" t="s">
        <v>476</v>
      </c>
      <c r="C82" t="s">
        <v>477</v>
      </c>
      <c r="D82" t="s">
        <v>278</v>
      </c>
      <c r="E82" t="s">
        <v>264</v>
      </c>
      <c r="F82" t="s">
        <v>302</v>
      </c>
      <c r="G82" t="s">
        <v>266</v>
      </c>
      <c r="H82" s="5">
        <v>45497</v>
      </c>
      <c r="I82" s="5">
        <v>45511</v>
      </c>
      <c r="J82" t="s">
        <v>303</v>
      </c>
      <c r="K82" t="s">
        <v>268</v>
      </c>
      <c r="L82">
        <v>1</v>
      </c>
      <c r="M82" t="s">
        <v>304</v>
      </c>
      <c r="N82" t="s">
        <v>237</v>
      </c>
      <c r="O82">
        <v>1</v>
      </c>
      <c r="P82" s="6" t="str">
        <f>VLOOKUP(J82,'Store lookup'!A:C,2,0)</f>
        <v>A020</v>
      </c>
      <c r="Q82" s="6" t="str">
        <f>VLOOKUP(J82,'Store lookup'!A:C,3,0)</f>
        <v>Anaconda Preston</v>
      </c>
      <c r="R82" s="6" t="str">
        <f t="shared" si="1"/>
        <v>Ananconda</v>
      </c>
      <c r="S82" s="6" t="str">
        <f>VLOOKUP(I82,'FIN CAL LOOKUP'!A:J,7,1)</f>
        <v>AUG, FY25</v>
      </c>
      <c r="T82" s="6" t="str">
        <f>VLOOKUP(I82,'FIN CAL LOOKUP'!A:J,10,1)</f>
        <v>Q1, FY25</v>
      </c>
    </row>
    <row r="83" spans="1:20" x14ac:dyDescent="0.25">
      <c r="A83">
        <v>329334</v>
      </c>
      <c r="B83" t="s">
        <v>478</v>
      </c>
      <c r="C83" t="s">
        <v>479</v>
      </c>
      <c r="D83" t="s">
        <v>278</v>
      </c>
      <c r="E83" t="s">
        <v>264</v>
      </c>
      <c r="F83" t="s">
        <v>358</v>
      </c>
      <c r="G83" t="s">
        <v>266</v>
      </c>
      <c r="H83" s="5">
        <v>45488</v>
      </c>
      <c r="I83" s="5">
        <v>45524</v>
      </c>
      <c r="J83" t="s">
        <v>359</v>
      </c>
      <c r="K83" t="s">
        <v>268</v>
      </c>
      <c r="L83">
        <v>1</v>
      </c>
      <c r="M83" t="s">
        <v>360</v>
      </c>
      <c r="N83" t="s">
        <v>237</v>
      </c>
      <c r="O83">
        <v>1</v>
      </c>
      <c r="P83" s="6" t="str">
        <f>VLOOKUP(J83,'Store lookup'!A:C,2,0)</f>
        <v>A030</v>
      </c>
      <c r="Q83" s="6" t="str">
        <f>VLOOKUP(J83,'Store lookup'!A:C,3,0)</f>
        <v>Anaconda Hoppers Crossing</v>
      </c>
      <c r="R83" s="6" t="str">
        <f t="shared" si="1"/>
        <v>Ananconda</v>
      </c>
      <c r="S83" s="6" t="str">
        <f>VLOOKUP(I83,'FIN CAL LOOKUP'!A:J,7,1)</f>
        <v>AUG, FY25</v>
      </c>
      <c r="T83" s="6" t="str">
        <f>VLOOKUP(I83,'FIN CAL LOOKUP'!A:J,10,1)</f>
        <v>Q1, FY25</v>
      </c>
    </row>
    <row r="84" spans="1:20" x14ac:dyDescent="0.25">
      <c r="A84">
        <v>333337</v>
      </c>
      <c r="B84" t="s">
        <v>480</v>
      </c>
      <c r="C84" t="s">
        <v>466</v>
      </c>
      <c r="D84" t="s">
        <v>278</v>
      </c>
      <c r="E84" t="s">
        <v>264</v>
      </c>
      <c r="F84" t="s">
        <v>273</v>
      </c>
      <c r="G84" t="s">
        <v>266</v>
      </c>
      <c r="H84" s="5">
        <v>45477</v>
      </c>
      <c r="I84" s="5">
        <v>45478</v>
      </c>
      <c r="J84" t="s">
        <v>274</v>
      </c>
      <c r="K84" t="s">
        <v>268</v>
      </c>
      <c r="L84">
        <v>1</v>
      </c>
      <c r="M84" t="s">
        <v>275</v>
      </c>
      <c r="N84" t="s">
        <v>237</v>
      </c>
      <c r="O84">
        <v>1</v>
      </c>
      <c r="P84" s="6" t="str">
        <f>VLOOKUP(J84,'Store lookup'!A:C,2,0)</f>
        <v>A026</v>
      </c>
      <c r="Q84" s="6" t="str">
        <f>VLOOKUP(J84,'Store lookup'!A:C,3,0)</f>
        <v>Anaconda Springvale</v>
      </c>
      <c r="R84" s="6" t="str">
        <f t="shared" si="1"/>
        <v>Ananconda</v>
      </c>
      <c r="S84" s="6" t="str">
        <f>VLOOKUP(I84,'FIN CAL LOOKUP'!A:J,7,1)</f>
        <v>JUL, FY25</v>
      </c>
      <c r="T84" s="6" t="str">
        <f>VLOOKUP(I84,'FIN CAL LOOKUP'!A:J,10,1)</f>
        <v>Q1, FY25</v>
      </c>
    </row>
    <row r="85" spans="1:20" x14ac:dyDescent="0.25">
      <c r="A85">
        <v>203082</v>
      </c>
      <c r="B85" t="s">
        <v>481</v>
      </c>
      <c r="C85" t="s">
        <v>482</v>
      </c>
      <c r="D85" t="s">
        <v>333</v>
      </c>
      <c r="E85" t="s">
        <v>264</v>
      </c>
      <c r="F85" t="s">
        <v>358</v>
      </c>
      <c r="G85" t="s">
        <v>266</v>
      </c>
      <c r="H85" s="5">
        <v>45460</v>
      </c>
      <c r="I85" s="5">
        <v>45484</v>
      </c>
      <c r="J85" t="s">
        <v>359</v>
      </c>
      <c r="K85" t="s">
        <v>268</v>
      </c>
      <c r="L85">
        <v>1</v>
      </c>
      <c r="M85" t="s">
        <v>360</v>
      </c>
      <c r="N85" t="s">
        <v>237</v>
      </c>
      <c r="O85">
        <v>1</v>
      </c>
      <c r="P85" s="6" t="str">
        <f>VLOOKUP(J85,'Store lookup'!A:C,2,0)</f>
        <v>A030</v>
      </c>
      <c r="Q85" s="6" t="str">
        <f>VLOOKUP(J85,'Store lookup'!A:C,3,0)</f>
        <v>Anaconda Hoppers Crossing</v>
      </c>
      <c r="R85" s="6" t="str">
        <f t="shared" si="1"/>
        <v>Ananconda</v>
      </c>
      <c r="S85" s="6" t="str">
        <f>VLOOKUP(I85,'FIN CAL LOOKUP'!A:J,7,1)</f>
        <v>JUL, FY25</v>
      </c>
      <c r="T85" s="6" t="str">
        <f>VLOOKUP(I85,'FIN CAL LOOKUP'!A:J,10,1)</f>
        <v>Q1, FY25</v>
      </c>
    </row>
    <row r="86" spans="1:20" x14ac:dyDescent="0.25">
      <c r="A86">
        <v>325030</v>
      </c>
      <c r="B86" t="s">
        <v>483</v>
      </c>
      <c r="C86" t="s">
        <v>484</v>
      </c>
      <c r="D86" t="s">
        <v>307</v>
      </c>
      <c r="E86" t="s">
        <v>264</v>
      </c>
      <c r="F86" t="s">
        <v>265</v>
      </c>
      <c r="G86" t="s">
        <v>266</v>
      </c>
      <c r="H86" s="5">
        <v>45457</v>
      </c>
      <c r="I86" s="5">
        <v>45498</v>
      </c>
      <c r="J86" t="s">
        <v>267</v>
      </c>
      <c r="K86" t="s">
        <v>268</v>
      </c>
      <c r="L86">
        <v>1</v>
      </c>
      <c r="M86" t="s">
        <v>269</v>
      </c>
      <c r="N86" t="s">
        <v>237</v>
      </c>
      <c r="O86">
        <v>1</v>
      </c>
      <c r="P86" s="6" t="str">
        <f>VLOOKUP(J86,'Store lookup'!A:C,2,0)</f>
        <v>A001</v>
      </c>
      <c r="Q86" s="6" t="str">
        <f>VLOOKUP(J86,'Store lookup'!A:C,3,0)</f>
        <v>Anaconda Bayswater</v>
      </c>
      <c r="R86" s="6" t="str">
        <f t="shared" si="1"/>
        <v>Ananconda</v>
      </c>
      <c r="S86" s="6" t="str">
        <f>VLOOKUP(I86,'FIN CAL LOOKUP'!A:J,7,1)</f>
        <v>JUL, FY25</v>
      </c>
      <c r="T86" s="6" t="str">
        <f>VLOOKUP(I86,'FIN CAL LOOKUP'!A:J,10,1)</f>
        <v>Q1, FY25</v>
      </c>
    </row>
    <row r="87" spans="1:20" x14ac:dyDescent="0.25">
      <c r="A87">
        <v>316449</v>
      </c>
      <c r="B87" t="s">
        <v>467</v>
      </c>
      <c r="C87" t="s">
        <v>468</v>
      </c>
      <c r="D87" t="s">
        <v>307</v>
      </c>
      <c r="E87" t="s">
        <v>264</v>
      </c>
      <c r="F87" t="s">
        <v>358</v>
      </c>
      <c r="G87" t="s">
        <v>266</v>
      </c>
      <c r="H87" s="5">
        <v>45429</v>
      </c>
      <c r="I87" s="5">
        <v>45441</v>
      </c>
      <c r="J87" t="s">
        <v>359</v>
      </c>
      <c r="K87" t="s">
        <v>268</v>
      </c>
      <c r="L87">
        <v>1</v>
      </c>
      <c r="M87" t="s">
        <v>360</v>
      </c>
      <c r="N87" t="s">
        <v>237</v>
      </c>
      <c r="O87">
        <v>1</v>
      </c>
      <c r="P87" s="6" t="str">
        <f>VLOOKUP(J87,'Store lookup'!A:C,2,0)</f>
        <v>A030</v>
      </c>
      <c r="Q87" s="6" t="str">
        <f>VLOOKUP(J87,'Store lookup'!A:C,3,0)</f>
        <v>Anaconda Hoppers Crossing</v>
      </c>
      <c r="R87" s="6" t="str">
        <f t="shared" si="1"/>
        <v>Ananconda</v>
      </c>
      <c r="S87" s="6" t="str">
        <f>VLOOKUP(I87,'FIN CAL LOOKUP'!A:J,7,1)</f>
        <v>JUN, FY24</v>
      </c>
      <c r="T87" s="6" t="str">
        <f>VLOOKUP(I87,'FIN CAL LOOKUP'!A:J,10,1)</f>
        <v>Q4, FY24</v>
      </c>
    </row>
    <row r="88" spans="1:20" x14ac:dyDescent="0.25">
      <c r="A88">
        <v>328420</v>
      </c>
      <c r="B88" t="s">
        <v>485</v>
      </c>
      <c r="C88" t="s">
        <v>486</v>
      </c>
      <c r="D88" t="s">
        <v>333</v>
      </c>
      <c r="E88" t="s">
        <v>264</v>
      </c>
      <c r="F88" t="s">
        <v>273</v>
      </c>
      <c r="G88" t="s">
        <v>266</v>
      </c>
      <c r="H88" s="5">
        <v>45418</v>
      </c>
      <c r="I88" s="5">
        <v>45545</v>
      </c>
      <c r="J88" t="s">
        <v>274</v>
      </c>
      <c r="K88" t="s">
        <v>268</v>
      </c>
      <c r="L88">
        <v>1</v>
      </c>
      <c r="M88" t="s">
        <v>275</v>
      </c>
      <c r="N88" t="s">
        <v>237</v>
      </c>
      <c r="O88">
        <v>1</v>
      </c>
      <c r="P88" s="6" t="str">
        <f>VLOOKUP(J88,'Store lookup'!A:C,2,0)</f>
        <v>A026</v>
      </c>
      <c r="Q88" s="6" t="str">
        <f>VLOOKUP(J88,'Store lookup'!A:C,3,0)</f>
        <v>Anaconda Springvale</v>
      </c>
      <c r="R88" s="6" t="str">
        <f t="shared" si="1"/>
        <v>Ananconda</v>
      </c>
      <c r="S88" s="6" t="str">
        <f>VLOOKUP(I88,'FIN CAL LOOKUP'!A:J,7,1)</f>
        <v>SEP, FY25</v>
      </c>
      <c r="T88" s="6" t="str">
        <f>VLOOKUP(I88,'FIN CAL LOOKUP'!A:J,10,1)</f>
        <v>Q1, FY25</v>
      </c>
    </row>
    <row r="89" spans="1:20" x14ac:dyDescent="0.25">
      <c r="A89">
        <v>208565</v>
      </c>
      <c r="B89" t="s">
        <v>487</v>
      </c>
      <c r="C89" t="s">
        <v>488</v>
      </c>
      <c r="D89" t="s">
        <v>333</v>
      </c>
      <c r="E89" t="s">
        <v>264</v>
      </c>
      <c r="F89" t="s">
        <v>285</v>
      </c>
      <c r="G89" t="s">
        <v>266</v>
      </c>
      <c r="H89" s="5">
        <v>45413</v>
      </c>
      <c r="I89" s="5">
        <v>45566</v>
      </c>
      <c r="J89" t="s">
        <v>286</v>
      </c>
      <c r="K89" t="s">
        <v>268</v>
      </c>
      <c r="L89">
        <v>1</v>
      </c>
      <c r="M89" t="s">
        <v>287</v>
      </c>
      <c r="N89" t="s">
        <v>237</v>
      </c>
      <c r="O89">
        <v>1</v>
      </c>
      <c r="P89" s="6" t="str">
        <f>VLOOKUP(J89,'Store lookup'!A:C,2,0)</f>
        <v>A040</v>
      </c>
      <c r="Q89" s="6" t="str">
        <f>VLOOKUP(J89,'Store lookup'!A:C,3,0)</f>
        <v>Anaconda Watergardens</v>
      </c>
      <c r="R89" s="6" t="str">
        <f t="shared" si="1"/>
        <v>Ananconda</v>
      </c>
      <c r="S89" s="6" t="str">
        <f>VLOOKUP(I89,'FIN CAL LOOKUP'!A:J,7,1)</f>
        <v>OCT, FY25</v>
      </c>
      <c r="T89" s="6" t="str">
        <f>VLOOKUP(I89,'FIN CAL LOOKUP'!A:J,10,1)</f>
        <v>Q2, FY25</v>
      </c>
    </row>
    <row r="90" spans="1:20" x14ac:dyDescent="0.25">
      <c r="A90">
        <v>297887</v>
      </c>
      <c r="B90" t="s">
        <v>489</v>
      </c>
      <c r="C90" t="s">
        <v>490</v>
      </c>
      <c r="D90" t="s">
        <v>272</v>
      </c>
      <c r="E90" t="s">
        <v>264</v>
      </c>
      <c r="F90" t="s">
        <v>308</v>
      </c>
      <c r="G90" t="s">
        <v>266</v>
      </c>
      <c r="H90" s="5">
        <v>45379</v>
      </c>
      <c r="I90" s="5">
        <v>45581</v>
      </c>
      <c r="J90" t="s">
        <v>309</v>
      </c>
      <c r="K90" t="s">
        <v>268</v>
      </c>
      <c r="L90">
        <v>1</v>
      </c>
      <c r="M90" t="s">
        <v>310</v>
      </c>
      <c r="N90" t="s">
        <v>237</v>
      </c>
      <c r="O90">
        <v>1</v>
      </c>
      <c r="P90" s="6" t="str">
        <f>VLOOKUP(J90,'Store lookup'!A:C,2,0)</f>
        <v>A058</v>
      </c>
      <c r="Q90" s="6" t="str">
        <f>VLOOKUP(J90,'Store lookup'!A:C,3,0)</f>
        <v>Anaconda Hawthorn East</v>
      </c>
      <c r="R90" s="6" t="str">
        <f t="shared" si="1"/>
        <v>Ananconda</v>
      </c>
      <c r="S90" s="6" t="str">
        <f>VLOOKUP(I90,'FIN CAL LOOKUP'!A:J,7,1)</f>
        <v>OCT, FY25</v>
      </c>
      <c r="T90" s="6" t="str">
        <f>VLOOKUP(I90,'FIN CAL LOOKUP'!A:J,10,1)</f>
        <v>Q2, FY25</v>
      </c>
    </row>
    <row r="91" spans="1:20" x14ac:dyDescent="0.25">
      <c r="A91">
        <v>299399</v>
      </c>
      <c r="B91" t="s">
        <v>261</v>
      </c>
      <c r="C91" t="s">
        <v>262</v>
      </c>
      <c r="D91" t="s">
        <v>263</v>
      </c>
      <c r="E91" t="s">
        <v>264</v>
      </c>
      <c r="F91" t="s">
        <v>316</v>
      </c>
      <c r="G91" t="s">
        <v>266</v>
      </c>
      <c r="H91" s="5">
        <v>45370</v>
      </c>
      <c r="I91" s="5">
        <v>45379</v>
      </c>
      <c r="J91" t="s">
        <v>317</v>
      </c>
      <c r="K91" t="s">
        <v>268</v>
      </c>
      <c r="L91">
        <v>1</v>
      </c>
      <c r="M91" t="s">
        <v>318</v>
      </c>
      <c r="N91" t="s">
        <v>237</v>
      </c>
      <c r="O91">
        <v>1</v>
      </c>
      <c r="P91" s="6" t="str">
        <f>VLOOKUP(J91,'Store lookup'!A:C,2,0)</f>
        <v>A052</v>
      </c>
      <c r="Q91" s="6" t="str">
        <f>VLOOKUP(J91,'Store lookup'!A:C,3,0)</f>
        <v>Anaconda Epping</v>
      </c>
      <c r="R91" s="6" t="str">
        <f t="shared" si="1"/>
        <v>Ananconda</v>
      </c>
      <c r="S91" s="6" t="str">
        <f>VLOOKUP(I91,'FIN CAL LOOKUP'!A:J,7,1)</f>
        <v>APR, FY24</v>
      </c>
      <c r="T91" s="6" t="str">
        <f>VLOOKUP(I91,'FIN CAL LOOKUP'!A:J,10,1)</f>
        <v>Q4, FY24</v>
      </c>
    </row>
    <row r="92" spans="1:20" x14ac:dyDescent="0.25">
      <c r="A92">
        <v>312762</v>
      </c>
      <c r="B92" t="s">
        <v>416</v>
      </c>
      <c r="C92" t="s">
        <v>491</v>
      </c>
      <c r="D92" t="s">
        <v>278</v>
      </c>
      <c r="E92" t="s">
        <v>264</v>
      </c>
      <c r="F92" t="s">
        <v>383</v>
      </c>
      <c r="G92" t="s">
        <v>266</v>
      </c>
      <c r="H92" s="5">
        <v>45369</v>
      </c>
      <c r="I92" s="5">
        <v>45400</v>
      </c>
      <c r="J92" t="s">
        <v>384</v>
      </c>
      <c r="K92" t="s">
        <v>268</v>
      </c>
      <c r="L92">
        <v>1</v>
      </c>
      <c r="M92" t="s">
        <v>385</v>
      </c>
      <c r="N92" t="s">
        <v>237</v>
      </c>
      <c r="O92">
        <v>1</v>
      </c>
      <c r="P92" s="6" t="str">
        <f>VLOOKUP(J92,'Store lookup'!A:C,2,0)</f>
        <v>A009</v>
      </c>
      <c r="Q92" s="6" t="str">
        <f>VLOOKUP(J92,'Store lookup'!A:C,3,0)</f>
        <v>Anaconda Geelong</v>
      </c>
      <c r="R92" s="6" t="str">
        <f t="shared" si="1"/>
        <v>Ananconda</v>
      </c>
      <c r="S92" s="6" t="str">
        <f>VLOOKUP(I92,'FIN CAL LOOKUP'!A:J,7,1)</f>
        <v>APR, FY24</v>
      </c>
      <c r="T92" s="6" t="str">
        <f>VLOOKUP(I92,'FIN CAL LOOKUP'!A:J,10,1)</f>
        <v>Q4, FY24</v>
      </c>
    </row>
    <row r="93" spans="1:20" x14ac:dyDescent="0.25">
      <c r="A93">
        <v>327648</v>
      </c>
      <c r="B93" t="s">
        <v>492</v>
      </c>
      <c r="C93" t="s">
        <v>493</v>
      </c>
      <c r="D93" t="s">
        <v>278</v>
      </c>
      <c r="E93" t="s">
        <v>264</v>
      </c>
      <c r="F93" t="s">
        <v>265</v>
      </c>
      <c r="G93" t="s">
        <v>266</v>
      </c>
      <c r="H93" s="5">
        <v>45356</v>
      </c>
      <c r="I93" s="5">
        <v>45371</v>
      </c>
      <c r="J93" t="s">
        <v>267</v>
      </c>
      <c r="K93" t="s">
        <v>268</v>
      </c>
      <c r="L93">
        <v>1</v>
      </c>
      <c r="M93" t="s">
        <v>269</v>
      </c>
      <c r="N93" t="s">
        <v>237</v>
      </c>
      <c r="O93">
        <v>1</v>
      </c>
      <c r="P93" s="6" t="str">
        <f>VLOOKUP(J93,'Store lookup'!A:C,2,0)</f>
        <v>A001</v>
      </c>
      <c r="Q93" s="6" t="str">
        <f>VLOOKUP(J93,'Store lookup'!A:C,3,0)</f>
        <v>Anaconda Bayswater</v>
      </c>
      <c r="R93" s="6" t="str">
        <f t="shared" si="1"/>
        <v>Ananconda</v>
      </c>
      <c r="S93" s="6" t="str">
        <f>VLOOKUP(I93,'FIN CAL LOOKUP'!A:J,7,1)</f>
        <v>MAR, FY24</v>
      </c>
      <c r="T93" s="6" t="str">
        <f>VLOOKUP(I93,'FIN CAL LOOKUP'!A:J,10,1)</f>
        <v>Q3, FY24</v>
      </c>
    </row>
    <row r="94" spans="1:20" x14ac:dyDescent="0.25">
      <c r="A94">
        <v>297893</v>
      </c>
      <c r="B94" t="s">
        <v>469</v>
      </c>
      <c r="C94" t="s">
        <v>470</v>
      </c>
      <c r="D94" t="s">
        <v>307</v>
      </c>
      <c r="E94" t="s">
        <v>264</v>
      </c>
      <c r="F94" t="s">
        <v>471</v>
      </c>
      <c r="G94" t="s">
        <v>266</v>
      </c>
      <c r="H94" s="5">
        <v>45351</v>
      </c>
      <c r="I94" s="5">
        <v>45428</v>
      </c>
      <c r="J94" t="s">
        <v>471</v>
      </c>
      <c r="K94" t="s">
        <v>268</v>
      </c>
      <c r="L94">
        <v>1</v>
      </c>
      <c r="N94" t="s">
        <v>237</v>
      </c>
      <c r="O94">
        <v>1</v>
      </c>
      <c r="P94" s="6" t="str">
        <f>VLOOKUP(J94,'Store lookup'!A:C,2,0)</f>
        <v>A028</v>
      </c>
      <c r="Q94" s="6" t="str">
        <f>VLOOKUP(J94,'Store lookup'!A:C,3,0)</f>
        <v>Anaconda Launceston</v>
      </c>
      <c r="R94" s="6" t="str">
        <f t="shared" si="1"/>
        <v>Ananconda</v>
      </c>
      <c r="S94" s="6" t="str">
        <f>VLOOKUP(I94,'FIN CAL LOOKUP'!A:J,7,1)</f>
        <v>MAY, FY24</v>
      </c>
      <c r="T94" s="6" t="str">
        <f>VLOOKUP(I94,'FIN CAL LOOKUP'!A:J,10,1)</f>
        <v>Q4, FY24</v>
      </c>
    </row>
    <row r="95" spans="1:20" x14ac:dyDescent="0.25">
      <c r="A95">
        <v>305938</v>
      </c>
      <c r="B95" t="s">
        <v>494</v>
      </c>
      <c r="C95" t="s">
        <v>495</v>
      </c>
      <c r="D95" t="s">
        <v>263</v>
      </c>
      <c r="E95" t="s">
        <v>264</v>
      </c>
      <c r="F95" t="s">
        <v>265</v>
      </c>
      <c r="G95" t="s">
        <v>266</v>
      </c>
      <c r="H95" s="5">
        <v>45342</v>
      </c>
      <c r="I95" s="5">
        <v>45597</v>
      </c>
      <c r="J95" t="s">
        <v>267</v>
      </c>
      <c r="K95" t="s">
        <v>268</v>
      </c>
      <c r="L95">
        <v>1</v>
      </c>
      <c r="M95" t="s">
        <v>269</v>
      </c>
      <c r="N95" t="s">
        <v>237</v>
      </c>
      <c r="O95">
        <v>1</v>
      </c>
      <c r="P95" s="6" t="str">
        <f>VLOOKUP(J95,'Store lookup'!A:C,2,0)</f>
        <v>A001</v>
      </c>
      <c r="Q95" s="6" t="str">
        <f>VLOOKUP(J95,'Store lookup'!A:C,3,0)</f>
        <v>Anaconda Bayswater</v>
      </c>
      <c r="R95" s="6" t="str">
        <f t="shared" si="1"/>
        <v>Ananconda</v>
      </c>
      <c r="S95" s="6" t="str">
        <f>VLOOKUP(I95,'FIN CAL LOOKUP'!A:J,7,1)</f>
        <v>NOV, FY25</v>
      </c>
      <c r="T95" s="6" t="str">
        <f>VLOOKUP(I95,'FIN CAL LOOKUP'!A:J,10,1)</f>
        <v>Q2, FY25</v>
      </c>
    </row>
    <row r="96" spans="1:20" x14ac:dyDescent="0.25">
      <c r="A96">
        <v>313944</v>
      </c>
      <c r="B96" t="s">
        <v>496</v>
      </c>
      <c r="C96" t="s">
        <v>497</v>
      </c>
      <c r="D96" t="s">
        <v>307</v>
      </c>
      <c r="E96" t="s">
        <v>264</v>
      </c>
      <c r="F96" t="s">
        <v>371</v>
      </c>
      <c r="G96" t="s">
        <v>266</v>
      </c>
      <c r="H96" s="5">
        <v>45330</v>
      </c>
      <c r="I96" s="5">
        <v>45334</v>
      </c>
      <c r="J96" t="s">
        <v>371</v>
      </c>
      <c r="K96" t="s">
        <v>268</v>
      </c>
      <c r="L96">
        <v>1</v>
      </c>
      <c r="N96" t="s">
        <v>237</v>
      </c>
      <c r="O96">
        <v>1</v>
      </c>
      <c r="P96" s="6" t="str">
        <f>VLOOKUP(J96,'Store lookup'!A:C,2,0)</f>
        <v>A069</v>
      </c>
      <c r="Q96" s="6" t="str">
        <f>VLOOKUP(J96,'Store lookup'!A:C,3,0)</f>
        <v>Anaconda Gepps Cross</v>
      </c>
      <c r="R96" s="6" t="str">
        <f t="shared" si="1"/>
        <v>Ananconda</v>
      </c>
      <c r="S96" s="6" t="str">
        <f>VLOOKUP(I96,'FIN CAL LOOKUP'!A:J,7,1)</f>
        <v>FEB, FY24</v>
      </c>
      <c r="T96" s="6" t="str">
        <f>VLOOKUP(I96,'FIN CAL LOOKUP'!A:J,10,1)</f>
        <v>Q3, FY24</v>
      </c>
    </row>
    <row r="97" spans="1:20" x14ac:dyDescent="0.25">
      <c r="A97">
        <v>333286</v>
      </c>
      <c r="B97" t="s">
        <v>498</v>
      </c>
      <c r="C97" t="s">
        <v>499</v>
      </c>
      <c r="D97" t="s">
        <v>500</v>
      </c>
      <c r="E97" t="s">
        <v>264</v>
      </c>
      <c r="F97" t="s">
        <v>308</v>
      </c>
      <c r="G97" t="s">
        <v>266</v>
      </c>
      <c r="H97" s="5">
        <v>45328</v>
      </c>
      <c r="I97" s="5">
        <v>45344</v>
      </c>
      <c r="J97" t="s">
        <v>309</v>
      </c>
      <c r="K97" t="s">
        <v>268</v>
      </c>
      <c r="L97">
        <v>1</v>
      </c>
      <c r="M97" t="s">
        <v>310</v>
      </c>
      <c r="N97" t="s">
        <v>237</v>
      </c>
      <c r="O97">
        <v>1</v>
      </c>
      <c r="P97" s="6" t="str">
        <f>VLOOKUP(J97,'Store lookup'!A:C,2,0)</f>
        <v>A058</v>
      </c>
      <c r="Q97" s="6" t="str">
        <f>VLOOKUP(J97,'Store lookup'!A:C,3,0)</f>
        <v>Anaconda Hawthorn East</v>
      </c>
      <c r="R97" s="6" t="str">
        <f t="shared" si="1"/>
        <v>Ananconda</v>
      </c>
      <c r="S97" s="6" t="str">
        <f>VLOOKUP(I97,'FIN CAL LOOKUP'!A:J,7,1)</f>
        <v>FEB, FY24</v>
      </c>
      <c r="T97" s="6" t="str">
        <f>VLOOKUP(I97,'FIN CAL LOOKUP'!A:J,10,1)</f>
        <v>Q3, FY24</v>
      </c>
    </row>
    <row r="98" spans="1:20" x14ac:dyDescent="0.25">
      <c r="A98">
        <v>328927</v>
      </c>
      <c r="B98" t="s">
        <v>323</v>
      </c>
      <c r="C98" t="s">
        <v>324</v>
      </c>
      <c r="D98" t="s">
        <v>307</v>
      </c>
      <c r="E98" t="s">
        <v>264</v>
      </c>
      <c r="F98" t="s">
        <v>273</v>
      </c>
      <c r="G98" t="s">
        <v>266</v>
      </c>
      <c r="H98" s="5">
        <v>45321</v>
      </c>
      <c r="I98" s="5">
        <v>45373</v>
      </c>
      <c r="J98" t="s">
        <v>274</v>
      </c>
      <c r="K98" t="s">
        <v>268</v>
      </c>
      <c r="L98">
        <v>1</v>
      </c>
      <c r="M98" t="s">
        <v>275</v>
      </c>
      <c r="N98" t="s">
        <v>237</v>
      </c>
      <c r="O98">
        <v>1</v>
      </c>
      <c r="P98" s="6" t="str">
        <f>VLOOKUP(J98,'Store lookup'!A:C,2,0)</f>
        <v>A026</v>
      </c>
      <c r="Q98" s="6" t="str">
        <f>VLOOKUP(J98,'Store lookup'!A:C,3,0)</f>
        <v>Anaconda Springvale</v>
      </c>
      <c r="R98" s="6" t="str">
        <f t="shared" si="1"/>
        <v>Ananconda</v>
      </c>
      <c r="S98" s="6" t="str">
        <f>VLOOKUP(I98,'FIN CAL LOOKUP'!A:J,7,1)</f>
        <v>MAR, FY24</v>
      </c>
      <c r="T98" s="6" t="str">
        <f>VLOOKUP(I98,'FIN CAL LOOKUP'!A:J,10,1)</f>
        <v>Q3, FY24</v>
      </c>
    </row>
    <row r="99" spans="1:20" x14ac:dyDescent="0.25">
      <c r="A99">
        <v>323285</v>
      </c>
      <c r="B99" t="s">
        <v>501</v>
      </c>
      <c r="C99" t="s">
        <v>502</v>
      </c>
      <c r="D99" t="s">
        <v>278</v>
      </c>
      <c r="E99" t="s">
        <v>264</v>
      </c>
      <c r="F99" t="s">
        <v>308</v>
      </c>
      <c r="G99" t="s">
        <v>266</v>
      </c>
      <c r="H99" s="5">
        <v>45320</v>
      </c>
      <c r="I99" s="5">
        <v>45363</v>
      </c>
      <c r="J99" t="s">
        <v>309</v>
      </c>
      <c r="K99" t="s">
        <v>268</v>
      </c>
      <c r="L99">
        <v>1</v>
      </c>
      <c r="M99" t="s">
        <v>310</v>
      </c>
      <c r="N99" t="s">
        <v>237</v>
      </c>
      <c r="O99">
        <v>1</v>
      </c>
      <c r="P99" s="6" t="str">
        <f>VLOOKUP(J99,'Store lookup'!A:C,2,0)</f>
        <v>A058</v>
      </c>
      <c r="Q99" s="6" t="str">
        <f>VLOOKUP(J99,'Store lookup'!A:C,3,0)</f>
        <v>Anaconda Hawthorn East</v>
      </c>
      <c r="R99" s="6" t="str">
        <f t="shared" si="1"/>
        <v>Ananconda</v>
      </c>
      <c r="S99" s="6" t="str">
        <f>VLOOKUP(I99,'FIN CAL LOOKUP'!A:J,7,1)</f>
        <v>MAR, FY24</v>
      </c>
      <c r="T99" s="6" t="str">
        <f>VLOOKUP(I99,'FIN CAL LOOKUP'!A:J,10,1)</f>
        <v>Q3, FY24</v>
      </c>
    </row>
    <row r="100" spans="1:20" x14ac:dyDescent="0.25">
      <c r="A100">
        <v>323134</v>
      </c>
      <c r="B100" t="s">
        <v>503</v>
      </c>
      <c r="C100" t="s">
        <v>504</v>
      </c>
      <c r="D100" t="s">
        <v>278</v>
      </c>
      <c r="E100" t="s">
        <v>264</v>
      </c>
      <c r="F100" t="s">
        <v>353</v>
      </c>
      <c r="G100" t="s">
        <v>266</v>
      </c>
      <c r="H100" s="5">
        <v>45299</v>
      </c>
      <c r="I100" s="5">
        <v>45377</v>
      </c>
      <c r="J100" t="s">
        <v>354</v>
      </c>
      <c r="K100" t="s">
        <v>268</v>
      </c>
      <c r="L100">
        <v>1</v>
      </c>
      <c r="M100" t="s">
        <v>355</v>
      </c>
      <c r="N100" t="s">
        <v>237</v>
      </c>
      <c r="O100">
        <v>1</v>
      </c>
      <c r="P100" s="6" t="str">
        <f>VLOOKUP(J100,'Store lookup'!A:C,2,0)</f>
        <v>A017</v>
      </c>
      <c r="Q100" s="6" t="str">
        <f>VLOOKUP(J100,'Store lookup'!A:C,3,0)</f>
        <v>Anaconda Narre Warren</v>
      </c>
      <c r="R100" s="6" t="str">
        <f t="shared" si="1"/>
        <v>Ananconda</v>
      </c>
      <c r="S100" s="6" t="str">
        <f>VLOOKUP(I100,'FIN CAL LOOKUP'!A:J,7,1)</f>
        <v>APR, FY24</v>
      </c>
      <c r="T100" s="6" t="str">
        <f>VLOOKUP(I100,'FIN CAL LOOKUP'!A:J,10,1)</f>
        <v>Q4, FY24</v>
      </c>
    </row>
    <row r="101" spans="1:20" hidden="1" x14ac:dyDescent="0.25">
      <c r="A101">
        <v>235153</v>
      </c>
      <c r="B101" t="s">
        <v>498</v>
      </c>
      <c r="C101" t="s">
        <v>505</v>
      </c>
      <c r="D101" t="s">
        <v>327</v>
      </c>
      <c r="E101" t="s">
        <v>264</v>
      </c>
      <c r="F101" t="s">
        <v>336</v>
      </c>
      <c r="G101" t="s">
        <v>266</v>
      </c>
      <c r="H101" s="5">
        <v>45274</v>
      </c>
      <c r="I101" s="5">
        <v>45275</v>
      </c>
      <c r="J101" t="s">
        <v>337</v>
      </c>
      <c r="K101" t="s">
        <v>268</v>
      </c>
      <c r="L101">
        <v>1</v>
      </c>
      <c r="M101" t="s">
        <v>338</v>
      </c>
      <c r="N101" t="s">
        <v>237</v>
      </c>
      <c r="O101">
        <v>1</v>
      </c>
      <c r="P101" s="6" t="str">
        <f>VLOOKUP(J101,'Store lookup'!A:C,2,0)</f>
        <v>A042</v>
      </c>
      <c r="Q101" s="6" t="str">
        <f>VLOOKUP(J101,'Store lookup'!A:C,3,0)</f>
        <v>Anaconda Maribyrnong</v>
      </c>
      <c r="R101" s="6" t="str">
        <f t="shared" si="1"/>
        <v>Ananconda</v>
      </c>
      <c r="S101" s="6" t="str">
        <f>VLOOKUP(I101,'FIN CAL LOOKUP'!A:J,7,1)</f>
        <v>DEC, FY24</v>
      </c>
      <c r="T101" s="6" t="str">
        <f>VLOOKUP(I101,'FIN CAL LOOKUP'!A:J,10,1)</f>
        <v>Q2, FY24</v>
      </c>
    </row>
    <row r="102" spans="1:20" hidden="1" x14ac:dyDescent="0.25">
      <c r="A102">
        <v>330636</v>
      </c>
      <c r="B102" t="s">
        <v>356</v>
      </c>
      <c r="C102" t="s">
        <v>357</v>
      </c>
      <c r="D102" t="s">
        <v>327</v>
      </c>
      <c r="E102" t="s">
        <v>264</v>
      </c>
      <c r="F102" t="s">
        <v>358</v>
      </c>
      <c r="G102" t="s">
        <v>266</v>
      </c>
      <c r="H102" s="5">
        <v>45271</v>
      </c>
      <c r="I102" s="5">
        <v>45275</v>
      </c>
      <c r="J102" t="s">
        <v>359</v>
      </c>
      <c r="K102" t="s">
        <v>268</v>
      </c>
      <c r="L102">
        <v>2</v>
      </c>
      <c r="M102" t="s">
        <v>360</v>
      </c>
      <c r="N102" t="s">
        <v>237</v>
      </c>
      <c r="O102">
        <v>0</v>
      </c>
      <c r="P102" s="6" t="str">
        <f>VLOOKUP(J102,'Store lookup'!A:C,2,0)</f>
        <v>A030</v>
      </c>
      <c r="Q102" s="6" t="str">
        <f>VLOOKUP(J102,'Store lookup'!A:C,3,0)</f>
        <v>Anaconda Hoppers Crossing</v>
      </c>
      <c r="R102" s="6" t="str">
        <f t="shared" si="1"/>
        <v>Ananconda</v>
      </c>
      <c r="S102" s="6" t="str">
        <f>VLOOKUP(I102,'FIN CAL LOOKUP'!A:J,7,1)</f>
        <v>DEC, FY24</v>
      </c>
      <c r="T102" s="6" t="str">
        <f>VLOOKUP(I102,'FIN CAL LOOKUP'!A:J,10,1)</f>
        <v>Q2, FY24</v>
      </c>
    </row>
    <row r="103" spans="1:20" hidden="1" x14ac:dyDescent="0.25">
      <c r="A103">
        <v>309806</v>
      </c>
      <c r="B103" t="s">
        <v>379</v>
      </c>
      <c r="C103" t="s">
        <v>380</v>
      </c>
      <c r="D103" t="s">
        <v>327</v>
      </c>
      <c r="E103" t="s">
        <v>264</v>
      </c>
      <c r="F103" t="s">
        <v>285</v>
      </c>
      <c r="G103" t="s">
        <v>266</v>
      </c>
      <c r="H103" s="5">
        <v>45266</v>
      </c>
      <c r="I103" s="5">
        <v>45272</v>
      </c>
      <c r="J103" t="s">
        <v>286</v>
      </c>
      <c r="K103" t="s">
        <v>268</v>
      </c>
      <c r="L103">
        <v>1</v>
      </c>
      <c r="M103" t="s">
        <v>287</v>
      </c>
      <c r="N103" t="s">
        <v>237</v>
      </c>
      <c r="O103">
        <v>1</v>
      </c>
      <c r="P103" s="6" t="str">
        <f>VLOOKUP(J103,'Store lookup'!A:C,2,0)</f>
        <v>A040</v>
      </c>
      <c r="Q103" s="6" t="str">
        <f>VLOOKUP(J103,'Store lookup'!A:C,3,0)</f>
        <v>Anaconda Watergardens</v>
      </c>
      <c r="R103" s="6" t="str">
        <f t="shared" si="1"/>
        <v>Ananconda</v>
      </c>
      <c r="S103" s="6" t="str">
        <f>VLOOKUP(I103,'FIN CAL LOOKUP'!A:J,7,1)</f>
        <v>DEC, FY24</v>
      </c>
      <c r="T103" s="6" t="str">
        <f>VLOOKUP(I103,'FIN CAL LOOKUP'!A:J,10,1)</f>
        <v>Q2, FY24</v>
      </c>
    </row>
    <row r="104" spans="1:20" hidden="1" x14ac:dyDescent="0.25">
      <c r="A104">
        <v>326813</v>
      </c>
      <c r="B104" t="s">
        <v>381</v>
      </c>
      <c r="C104" t="s">
        <v>382</v>
      </c>
      <c r="D104" t="s">
        <v>327</v>
      </c>
      <c r="E104" t="s">
        <v>264</v>
      </c>
      <c r="F104" t="s">
        <v>383</v>
      </c>
      <c r="G104" t="s">
        <v>266</v>
      </c>
      <c r="H104" s="5">
        <v>45266</v>
      </c>
      <c r="I104" s="5">
        <v>45272</v>
      </c>
      <c r="J104" t="s">
        <v>384</v>
      </c>
      <c r="K104" t="s">
        <v>268</v>
      </c>
      <c r="L104">
        <v>2</v>
      </c>
      <c r="M104" t="s">
        <v>385</v>
      </c>
      <c r="N104" t="s">
        <v>237</v>
      </c>
      <c r="O104">
        <v>0</v>
      </c>
      <c r="P104" s="6" t="str">
        <f>VLOOKUP(J104,'Store lookup'!A:C,2,0)</f>
        <v>A009</v>
      </c>
      <c r="Q104" s="6" t="str">
        <f>VLOOKUP(J104,'Store lookup'!A:C,3,0)</f>
        <v>Anaconda Geelong</v>
      </c>
      <c r="R104" s="6" t="str">
        <f t="shared" si="1"/>
        <v>Ananconda</v>
      </c>
      <c r="S104" s="6" t="str">
        <f>VLOOKUP(I104,'FIN CAL LOOKUP'!A:J,7,1)</f>
        <v>DEC, FY24</v>
      </c>
      <c r="T104" s="6" t="str">
        <f>VLOOKUP(I104,'FIN CAL LOOKUP'!A:J,10,1)</f>
        <v>Q2, FY24</v>
      </c>
    </row>
    <row r="105" spans="1:20" hidden="1" x14ac:dyDescent="0.25">
      <c r="A105">
        <v>308787</v>
      </c>
      <c r="B105" t="s">
        <v>389</v>
      </c>
      <c r="C105" t="s">
        <v>390</v>
      </c>
      <c r="D105" t="s">
        <v>327</v>
      </c>
      <c r="E105" t="s">
        <v>264</v>
      </c>
      <c r="F105" t="s">
        <v>316</v>
      </c>
      <c r="G105" t="s">
        <v>266</v>
      </c>
      <c r="H105" s="5">
        <v>45265</v>
      </c>
      <c r="I105" s="5">
        <v>45273</v>
      </c>
      <c r="J105" t="s">
        <v>317</v>
      </c>
      <c r="K105" t="s">
        <v>268</v>
      </c>
      <c r="L105">
        <v>1</v>
      </c>
      <c r="M105" t="s">
        <v>318</v>
      </c>
      <c r="N105" t="s">
        <v>237</v>
      </c>
      <c r="O105">
        <v>1</v>
      </c>
      <c r="P105" s="6" t="str">
        <f>VLOOKUP(J105,'Store lookup'!A:C,2,0)</f>
        <v>A052</v>
      </c>
      <c r="Q105" s="6" t="str">
        <f>VLOOKUP(J105,'Store lookup'!A:C,3,0)</f>
        <v>Anaconda Epping</v>
      </c>
      <c r="R105" s="6" t="str">
        <f t="shared" si="1"/>
        <v>Ananconda</v>
      </c>
      <c r="S105" s="6" t="str">
        <f>VLOOKUP(I105,'FIN CAL LOOKUP'!A:J,7,1)</f>
        <v>DEC, FY24</v>
      </c>
      <c r="T105" s="6" t="str">
        <f>VLOOKUP(I105,'FIN CAL LOOKUP'!A:J,10,1)</f>
        <v>Q2, FY24</v>
      </c>
    </row>
    <row r="106" spans="1:20" hidden="1" x14ac:dyDescent="0.25">
      <c r="A106">
        <v>323122</v>
      </c>
      <c r="B106" t="s">
        <v>431</v>
      </c>
      <c r="C106" t="s">
        <v>432</v>
      </c>
      <c r="D106" t="s">
        <v>327</v>
      </c>
      <c r="E106" t="s">
        <v>264</v>
      </c>
      <c r="F106" t="s">
        <v>265</v>
      </c>
      <c r="G106" t="s">
        <v>266</v>
      </c>
      <c r="H106" s="5">
        <v>45250</v>
      </c>
      <c r="I106" s="5">
        <v>45274</v>
      </c>
      <c r="J106" t="s">
        <v>267</v>
      </c>
      <c r="K106" t="s">
        <v>268</v>
      </c>
      <c r="L106">
        <v>1</v>
      </c>
      <c r="M106" t="s">
        <v>269</v>
      </c>
      <c r="N106" t="s">
        <v>237</v>
      </c>
      <c r="O106">
        <v>1</v>
      </c>
      <c r="P106" s="6" t="str">
        <f>VLOOKUP(J106,'Store lookup'!A:C,2,0)</f>
        <v>A001</v>
      </c>
      <c r="Q106" s="6" t="str">
        <f>VLOOKUP(J106,'Store lookup'!A:C,3,0)</f>
        <v>Anaconda Bayswater</v>
      </c>
      <c r="R106" s="6" t="str">
        <f t="shared" si="1"/>
        <v>Ananconda</v>
      </c>
      <c r="S106" s="6" t="str">
        <f>VLOOKUP(I106,'FIN CAL LOOKUP'!A:J,7,1)</f>
        <v>DEC, FY24</v>
      </c>
      <c r="T106" s="6" t="str">
        <f>VLOOKUP(I106,'FIN CAL LOOKUP'!A:J,10,1)</f>
        <v>Q2, FY24</v>
      </c>
    </row>
    <row r="107" spans="1:20" hidden="1" x14ac:dyDescent="0.25">
      <c r="A107">
        <v>325839</v>
      </c>
      <c r="B107" t="s">
        <v>506</v>
      </c>
      <c r="C107" t="s">
        <v>507</v>
      </c>
      <c r="D107" t="s">
        <v>508</v>
      </c>
      <c r="E107" t="s">
        <v>264</v>
      </c>
      <c r="F107" t="s">
        <v>383</v>
      </c>
      <c r="G107" t="s">
        <v>266</v>
      </c>
      <c r="H107" s="5">
        <v>45250</v>
      </c>
      <c r="I107" s="5">
        <v>45272</v>
      </c>
      <c r="J107" t="s">
        <v>384</v>
      </c>
      <c r="K107" t="s">
        <v>268</v>
      </c>
      <c r="L107">
        <v>2</v>
      </c>
      <c r="M107" t="s">
        <v>385</v>
      </c>
      <c r="N107" t="s">
        <v>237</v>
      </c>
      <c r="O107">
        <v>0</v>
      </c>
      <c r="P107" s="6" t="str">
        <f>VLOOKUP(J107,'Store lookup'!A:C,2,0)</f>
        <v>A009</v>
      </c>
      <c r="Q107" s="6" t="str">
        <f>VLOOKUP(J107,'Store lookup'!A:C,3,0)</f>
        <v>Anaconda Geelong</v>
      </c>
      <c r="R107" s="6" t="str">
        <f t="shared" si="1"/>
        <v>Ananconda</v>
      </c>
      <c r="S107" s="6" t="str">
        <f>VLOOKUP(I107,'FIN CAL LOOKUP'!A:J,7,1)</f>
        <v>DEC, FY24</v>
      </c>
      <c r="T107" s="6" t="str">
        <f>VLOOKUP(I107,'FIN CAL LOOKUP'!A:J,10,1)</f>
        <v>Q2, FY24</v>
      </c>
    </row>
    <row r="108" spans="1:20" hidden="1" x14ac:dyDescent="0.25">
      <c r="A108">
        <v>331737</v>
      </c>
      <c r="B108" t="s">
        <v>427</v>
      </c>
      <c r="C108" t="s">
        <v>428</v>
      </c>
      <c r="D108" t="s">
        <v>327</v>
      </c>
      <c r="E108" t="s">
        <v>264</v>
      </c>
      <c r="F108" t="s">
        <v>265</v>
      </c>
      <c r="G108" t="s">
        <v>266</v>
      </c>
      <c r="H108" s="5">
        <v>45250</v>
      </c>
      <c r="I108" s="5">
        <v>45268</v>
      </c>
      <c r="J108" t="s">
        <v>267</v>
      </c>
      <c r="K108" t="s">
        <v>268</v>
      </c>
      <c r="L108">
        <v>1</v>
      </c>
      <c r="M108" t="s">
        <v>269</v>
      </c>
      <c r="N108" t="s">
        <v>237</v>
      </c>
      <c r="O108">
        <v>1</v>
      </c>
      <c r="P108" s="6" t="str">
        <f>VLOOKUP(J108,'Store lookup'!A:C,2,0)</f>
        <v>A001</v>
      </c>
      <c r="Q108" s="6" t="str">
        <f>VLOOKUP(J108,'Store lookup'!A:C,3,0)</f>
        <v>Anaconda Bayswater</v>
      </c>
      <c r="R108" s="6" t="str">
        <f t="shared" si="1"/>
        <v>Ananconda</v>
      </c>
      <c r="S108" s="6" t="str">
        <f>VLOOKUP(I108,'FIN CAL LOOKUP'!A:J,7,1)</f>
        <v>DEC, FY24</v>
      </c>
      <c r="T108" s="6" t="str">
        <f>VLOOKUP(I108,'FIN CAL LOOKUP'!A:J,10,1)</f>
        <v>Q2, FY24</v>
      </c>
    </row>
    <row r="109" spans="1:20" hidden="1" x14ac:dyDescent="0.25">
      <c r="A109">
        <v>317485</v>
      </c>
      <c r="B109" t="s">
        <v>408</v>
      </c>
      <c r="C109" t="s">
        <v>409</v>
      </c>
      <c r="D109" t="s">
        <v>327</v>
      </c>
      <c r="E109" t="s">
        <v>264</v>
      </c>
      <c r="F109" t="s">
        <v>285</v>
      </c>
      <c r="G109" t="s">
        <v>266</v>
      </c>
      <c r="H109" s="5">
        <v>45243</v>
      </c>
      <c r="I109" s="5">
        <v>45261</v>
      </c>
      <c r="J109" t="s">
        <v>286</v>
      </c>
      <c r="K109" t="s">
        <v>268</v>
      </c>
      <c r="L109">
        <v>1</v>
      </c>
      <c r="M109" t="s">
        <v>287</v>
      </c>
      <c r="N109" t="s">
        <v>237</v>
      </c>
      <c r="O109">
        <v>1</v>
      </c>
      <c r="P109" s="6" t="str">
        <f>VLOOKUP(J109,'Store lookup'!A:C,2,0)</f>
        <v>A040</v>
      </c>
      <c r="Q109" s="6" t="str">
        <f>VLOOKUP(J109,'Store lookup'!A:C,3,0)</f>
        <v>Anaconda Watergardens</v>
      </c>
      <c r="R109" s="6" t="str">
        <f t="shared" si="1"/>
        <v>Ananconda</v>
      </c>
      <c r="S109" s="6" t="str">
        <f>VLOOKUP(I109,'FIN CAL LOOKUP'!A:J,7,1)</f>
        <v>DEC, FY24</v>
      </c>
      <c r="T109" s="6" t="str">
        <f>VLOOKUP(I109,'FIN CAL LOOKUP'!A:J,10,1)</f>
        <v>Q2, FY24</v>
      </c>
    </row>
    <row r="110" spans="1:20" hidden="1" x14ac:dyDescent="0.25">
      <c r="A110">
        <v>235809</v>
      </c>
      <c r="B110" t="s">
        <v>509</v>
      </c>
      <c r="C110" t="s">
        <v>510</v>
      </c>
      <c r="D110" t="s">
        <v>327</v>
      </c>
      <c r="E110" t="s">
        <v>264</v>
      </c>
      <c r="F110" t="s">
        <v>358</v>
      </c>
      <c r="G110" t="s">
        <v>266</v>
      </c>
      <c r="H110" s="5">
        <v>45225</v>
      </c>
      <c r="I110" s="5">
        <v>45275</v>
      </c>
      <c r="J110" t="s">
        <v>359</v>
      </c>
      <c r="K110" t="s">
        <v>268</v>
      </c>
      <c r="L110">
        <v>2</v>
      </c>
      <c r="M110" t="s">
        <v>360</v>
      </c>
      <c r="N110" t="s">
        <v>237</v>
      </c>
      <c r="O110">
        <v>0</v>
      </c>
      <c r="P110" s="6" t="str">
        <f>VLOOKUP(J110,'Store lookup'!A:C,2,0)</f>
        <v>A030</v>
      </c>
      <c r="Q110" s="6" t="str">
        <f>VLOOKUP(J110,'Store lookup'!A:C,3,0)</f>
        <v>Anaconda Hoppers Crossing</v>
      </c>
      <c r="R110" s="6" t="str">
        <f t="shared" si="1"/>
        <v>Ananconda</v>
      </c>
      <c r="S110" s="6" t="str">
        <f>VLOOKUP(I110,'FIN CAL LOOKUP'!A:J,7,1)</f>
        <v>DEC, FY24</v>
      </c>
      <c r="T110" s="6" t="str">
        <f>VLOOKUP(I110,'FIN CAL LOOKUP'!A:J,10,1)</f>
        <v>Q2, FY24</v>
      </c>
    </row>
    <row r="111" spans="1:20" hidden="1" x14ac:dyDescent="0.25">
      <c r="A111">
        <v>324114</v>
      </c>
      <c r="B111" t="s">
        <v>511</v>
      </c>
      <c r="C111" t="s">
        <v>512</v>
      </c>
      <c r="D111" t="s">
        <v>284</v>
      </c>
      <c r="E111" t="s">
        <v>264</v>
      </c>
      <c r="F111" t="s">
        <v>353</v>
      </c>
      <c r="G111" t="s">
        <v>266</v>
      </c>
      <c r="H111" s="5">
        <v>45224</v>
      </c>
      <c r="I111" s="5">
        <v>45240</v>
      </c>
      <c r="J111" t="s">
        <v>354</v>
      </c>
      <c r="K111" t="s">
        <v>268</v>
      </c>
      <c r="L111">
        <v>1</v>
      </c>
      <c r="M111" t="s">
        <v>355</v>
      </c>
      <c r="N111" t="s">
        <v>237</v>
      </c>
      <c r="O111">
        <v>1</v>
      </c>
      <c r="P111" s="6" t="str">
        <f>VLOOKUP(J111,'Store lookup'!A:C,2,0)</f>
        <v>A017</v>
      </c>
      <c r="Q111" s="6" t="str">
        <f>VLOOKUP(J111,'Store lookup'!A:C,3,0)</f>
        <v>Anaconda Narre Warren</v>
      </c>
      <c r="R111" s="6" t="str">
        <f t="shared" si="1"/>
        <v>Ananconda</v>
      </c>
      <c r="S111" s="6" t="str">
        <f>VLOOKUP(I111,'FIN CAL LOOKUP'!A:J,7,1)</f>
        <v>NOV, FY24</v>
      </c>
      <c r="T111" s="6" t="str">
        <f>VLOOKUP(I111,'FIN CAL LOOKUP'!A:J,10,1)</f>
        <v>Q2, FY24</v>
      </c>
    </row>
    <row r="112" spans="1:20" hidden="1" x14ac:dyDescent="0.25">
      <c r="A112">
        <v>323041</v>
      </c>
      <c r="B112" t="s">
        <v>513</v>
      </c>
      <c r="C112" t="s">
        <v>514</v>
      </c>
      <c r="D112" t="s">
        <v>278</v>
      </c>
      <c r="E112" t="s">
        <v>264</v>
      </c>
      <c r="F112" t="s">
        <v>358</v>
      </c>
      <c r="G112" t="s">
        <v>266</v>
      </c>
      <c r="H112" s="5">
        <v>45223</v>
      </c>
      <c r="I112" s="5">
        <v>45226</v>
      </c>
      <c r="J112" t="s">
        <v>359</v>
      </c>
      <c r="K112" t="s">
        <v>268</v>
      </c>
      <c r="L112">
        <v>1</v>
      </c>
      <c r="M112" t="s">
        <v>360</v>
      </c>
      <c r="N112" t="s">
        <v>237</v>
      </c>
      <c r="O112">
        <v>1</v>
      </c>
      <c r="P112" s="6" t="str">
        <f>VLOOKUP(J112,'Store lookup'!A:C,2,0)</f>
        <v>A030</v>
      </c>
      <c r="Q112" s="6" t="str">
        <f>VLOOKUP(J112,'Store lookup'!A:C,3,0)</f>
        <v>Anaconda Hoppers Crossing</v>
      </c>
      <c r="R112" s="6" t="str">
        <f t="shared" si="1"/>
        <v>Ananconda</v>
      </c>
      <c r="S112" s="6" t="str">
        <f>VLOOKUP(I112,'FIN CAL LOOKUP'!A:J,7,1)</f>
        <v>NOV, FY24</v>
      </c>
      <c r="T112" s="6" t="str">
        <f>VLOOKUP(I112,'FIN CAL LOOKUP'!A:J,10,1)</f>
        <v>Q2, FY24</v>
      </c>
    </row>
    <row r="113" spans="1:20" hidden="1" x14ac:dyDescent="0.25">
      <c r="A113">
        <v>238998</v>
      </c>
      <c r="B113" t="s">
        <v>418</v>
      </c>
      <c r="C113" t="s">
        <v>419</v>
      </c>
      <c r="D113" t="s">
        <v>327</v>
      </c>
      <c r="E113" t="s">
        <v>264</v>
      </c>
      <c r="F113" t="s">
        <v>420</v>
      </c>
      <c r="G113" t="s">
        <v>266</v>
      </c>
      <c r="H113" s="5">
        <v>45222</v>
      </c>
      <c r="I113" s="5">
        <v>45267</v>
      </c>
      <c r="J113" t="s">
        <v>421</v>
      </c>
      <c r="K113" t="s">
        <v>268</v>
      </c>
      <c r="L113">
        <v>1</v>
      </c>
      <c r="M113" t="s">
        <v>422</v>
      </c>
      <c r="N113" t="s">
        <v>237</v>
      </c>
      <c r="O113">
        <v>1</v>
      </c>
      <c r="P113" s="6" t="str">
        <f>VLOOKUP(J113,'Store lookup'!A:C,2,0)</f>
        <v>A050</v>
      </c>
      <c r="Q113" s="6" t="str">
        <f>VLOOKUP(J113,'Store lookup'!A:C,3,0)</f>
        <v>Anaconda Albury</v>
      </c>
      <c r="R113" s="6" t="str">
        <f t="shared" si="1"/>
        <v>Ananconda</v>
      </c>
      <c r="S113" s="6" t="str">
        <f>VLOOKUP(I113,'FIN CAL LOOKUP'!A:J,7,1)</f>
        <v>DEC, FY24</v>
      </c>
      <c r="T113" s="6" t="str">
        <f>VLOOKUP(I113,'FIN CAL LOOKUP'!A:J,10,1)</f>
        <v>Q2, FY24</v>
      </c>
    </row>
    <row r="114" spans="1:20" hidden="1" x14ac:dyDescent="0.25">
      <c r="A114">
        <v>324368</v>
      </c>
      <c r="B114" t="s">
        <v>434</v>
      </c>
      <c r="C114" t="s">
        <v>435</v>
      </c>
      <c r="D114" t="s">
        <v>327</v>
      </c>
      <c r="E114" t="s">
        <v>264</v>
      </c>
      <c r="F114" t="s">
        <v>308</v>
      </c>
      <c r="G114" t="s">
        <v>266</v>
      </c>
      <c r="H114" s="5">
        <v>45218</v>
      </c>
      <c r="I114" s="5">
        <v>45268</v>
      </c>
      <c r="J114" t="s">
        <v>309</v>
      </c>
      <c r="K114" t="s">
        <v>268</v>
      </c>
      <c r="L114">
        <v>1</v>
      </c>
      <c r="M114" t="s">
        <v>310</v>
      </c>
      <c r="N114" t="s">
        <v>237</v>
      </c>
      <c r="O114">
        <v>1</v>
      </c>
      <c r="P114" s="6" t="str">
        <f>VLOOKUP(J114,'Store lookup'!A:C,2,0)</f>
        <v>A058</v>
      </c>
      <c r="Q114" s="6" t="str">
        <f>VLOOKUP(J114,'Store lookup'!A:C,3,0)</f>
        <v>Anaconda Hawthorn East</v>
      </c>
      <c r="R114" s="6" t="str">
        <f t="shared" si="1"/>
        <v>Ananconda</v>
      </c>
      <c r="S114" s="6" t="str">
        <f>VLOOKUP(I114,'FIN CAL LOOKUP'!A:J,7,1)</f>
        <v>DEC, FY24</v>
      </c>
      <c r="T114" s="6" t="str">
        <f>VLOOKUP(I114,'FIN CAL LOOKUP'!A:J,10,1)</f>
        <v>Q2, FY24</v>
      </c>
    </row>
    <row r="115" spans="1:20" hidden="1" x14ac:dyDescent="0.25">
      <c r="A115">
        <v>239177</v>
      </c>
      <c r="B115" t="s">
        <v>515</v>
      </c>
      <c r="C115" t="s">
        <v>516</v>
      </c>
      <c r="D115" t="s">
        <v>272</v>
      </c>
      <c r="E115" t="s">
        <v>264</v>
      </c>
      <c r="F115" t="s">
        <v>316</v>
      </c>
      <c r="G115" t="s">
        <v>266</v>
      </c>
      <c r="H115" s="5">
        <v>45217</v>
      </c>
      <c r="I115" s="5">
        <v>45275</v>
      </c>
      <c r="J115" t="s">
        <v>317</v>
      </c>
      <c r="K115" t="s">
        <v>268</v>
      </c>
      <c r="L115">
        <v>1</v>
      </c>
      <c r="M115" t="s">
        <v>318</v>
      </c>
      <c r="N115" t="s">
        <v>237</v>
      </c>
      <c r="O115">
        <v>1</v>
      </c>
      <c r="P115" s="6" t="str">
        <f>VLOOKUP(J115,'Store lookup'!A:C,2,0)</f>
        <v>A052</v>
      </c>
      <c r="Q115" s="6" t="str">
        <f>VLOOKUP(J115,'Store lookup'!A:C,3,0)</f>
        <v>Anaconda Epping</v>
      </c>
      <c r="R115" s="6" t="str">
        <f t="shared" si="1"/>
        <v>Ananconda</v>
      </c>
      <c r="S115" s="6" t="str">
        <f>VLOOKUP(I115,'FIN CAL LOOKUP'!A:J,7,1)</f>
        <v>DEC, FY24</v>
      </c>
      <c r="T115" s="6" t="str">
        <f>VLOOKUP(I115,'FIN CAL LOOKUP'!A:J,10,1)</f>
        <v>Q2, FY24</v>
      </c>
    </row>
    <row r="116" spans="1:20" hidden="1" x14ac:dyDescent="0.25">
      <c r="A116">
        <v>305409</v>
      </c>
      <c r="B116" t="s">
        <v>517</v>
      </c>
      <c r="C116" t="s">
        <v>518</v>
      </c>
      <c r="D116" t="s">
        <v>278</v>
      </c>
      <c r="E116" t="s">
        <v>264</v>
      </c>
      <c r="F116" t="s">
        <v>285</v>
      </c>
      <c r="G116" t="s">
        <v>266</v>
      </c>
      <c r="H116" s="5">
        <v>45217</v>
      </c>
      <c r="I116" s="5">
        <v>45232</v>
      </c>
      <c r="J116" t="s">
        <v>286</v>
      </c>
      <c r="K116" t="s">
        <v>268</v>
      </c>
      <c r="L116">
        <v>1</v>
      </c>
      <c r="M116" t="s">
        <v>287</v>
      </c>
      <c r="N116" t="s">
        <v>237</v>
      </c>
      <c r="O116">
        <v>1</v>
      </c>
      <c r="P116" s="6" t="str">
        <f>VLOOKUP(J116,'Store lookup'!A:C,2,0)</f>
        <v>A040</v>
      </c>
      <c r="Q116" s="6" t="str">
        <f>VLOOKUP(J116,'Store lookup'!A:C,3,0)</f>
        <v>Anaconda Watergardens</v>
      </c>
      <c r="R116" s="6" t="str">
        <f t="shared" si="1"/>
        <v>Ananconda</v>
      </c>
      <c r="S116" s="6" t="str">
        <f>VLOOKUP(I116,'FIN CAL LOOKUP'!A:J,7,1)</f>
        <v>NOV, FY24</v>
      </c>
      <c r="T116" s="6" t="str">
        <f>VLOOKUP(I116,'FIN CAL LOOKUP'!A:J,10,1)</f>
        <v>Q2, FY24</v>
      </c>
    </row>
    <row r="117" spans="1:20" hidden="1" x14ac:dyDescent="0.25">
      <c r="A117">
        <v>330852</v>
      </c>
      <c r="B117" t="s">
        <v>519</v>
      </c>
      <c r="C117" t="s">
        <v>520</v>
      </c>
      <c r="D117" t="s">
        <v>272</v>
      </c>
      <c r="E117" t="s">
        <v>264</v>
      </c>
      <c r="F117" t="s">
        <v>308</v>
      </c>
      <c r="G117" t="s">
        <v>266</v>
      </c>
      <c r="H117" s="5">
        <v>45217</v>
      </c>
      <c r="I117" s="5">
        <v>45225</v>
      </c>
      <c r="J117" t="s">
        <v>309</v>
      </c>
      <c r="K117" t="s">
        <v>268</v>
      </c>
      <c r="L117">
        <v>1</v>
      </c>
      <c r="M117" t="s">
        <v>310</v>
      </c>
      <c r="N117" t="s">
        <v>237</v>
      </c>
      <c r="O117">
        <v>1</v>
      </c>
      <c r="P117" s="6" t="str">
        <f>VLOOKUP(J117,'Store lookup'!A:C,2,0)</f>
        <v>A058</v>
      </c>
      <c r="Q117" s="6" t="str">
        <f>VLOOKUP(J117,'Store lookup'!A:C,3,0)</f>
        <v>Anaconda Hawthorn East</v>
      </c>
      <c r="R117" s="6" t="str">
        <f t="shared" si="1"/>
        <v>Ananconda</v>
      </c>
      <c r="S117" s="6" t="str">
        <f>VLOOKUP(I117,'FIN CAL LOOKUP'!A:J,7,1)</f>
        <v>NOV, FY24</v>
      </c>
      <c r="T117" s="6" t="str">
        <f>VLOOKUP(I117,'FIN CAL LOOKUP'!A:J,10,1)</f>
        <v>Q2, FY24</v>
      </c>
    </row>
    <row r="118" spans="1:20" hidden="1" x14ac:dyDescent="0.25">
      <c r="A118">
        <v>330054</v>
      </c>
      <c r="B118" t="s">
        <v>521</v>
      </c>
      <c r="C118" t="s">
        <v>522</v>
      </c>
      <c r="D118" t="s">
        <v>272</v>
      </c>
      <c r="E118" t="s">
        <v>264</v>
      </c>
      <c r="F118" t="s">
        <v>336</v>
      </c>
      <c r="G118" t="s">
        <v>266</v>
      </c>
      <c r="H118" s="5">
        <v>45211</v>
      </c>
      <c r="I118" s="5">
        <v>45231</v>
      </c>
      <c r="J118" t="s">
        <v>337</v>
      </c>
      <c r="K118" t="s">
        <v>268</v>
      </c>
      <c r="L118">
        <v>1</v>
      </c>
      <c r="M118" t="s">
        <v>338</v>
      </c>
      <c r="N118" t="s">
        <v>237</v>
      </c>
      <c r="O118">
        <v>1</v>
      </c>
      <c r="P118" s="6" t="str">
        <f>VLOOKUP(J118,'Store lookup'!A:C,2,0)</f>
        <v>A042</v>
      </c>
      <c r="Q118" s="6" t="str">
        <f>VLOOKUP(J118,'Store lookup'!A:C,3,0)</f>
        <v>Anaconda Maribyrnong</v>
      </c>
      <c r="R118" s="6" t="str">
        <f t="shared" si="1"/>
        <v>Ananconda</v>
      </c>
      <c r="S118" s="6" t="str">
        <f>VLOOKUP(I118,'FIN CAL LOOKUP'!A:J,7,1)</f>
        <v>NOV, FY24</v>
      </c>
      <c r="T118" s="6" t="str">
        <f>VLOOKUP(I118,'FIN CAL LOOKUP'!A:J,10,1)</f>
        <v>Q2, FY24</v>
      </c>
    </row>
    <row r="119" spans="1:20" hidden="1" x14ac:dyDescent="0.25">
      <c r="A119">
        <v>312259</v>
      </c>
      <c r="B119" t="s">
        <v>523</v>
      </c>
      <c r="C119" t="s">
        <v>524</v>
      </c>
      <c r="D119" t="s">
        <v>278</v>
      </c>
      <c r="E119" t="s">
        <v>264</v>
      </c>
      <c r="F119" t="s">
        <v>308</v>
      </c>
      <c r="G119" t="s">
        <v>266</v>
      </c>
      <c r="H119" s="5">
        <v>45210</v>
      </c>
      <c r="I119" s="5">
        <v>45226</v>
      </c>
      <c r="J119" t="s">
        <v>309</v>
      </c>
      <c r="K119" t="s">
        <v>268</v>
      </c>
      <c r="L119">
        <v>1</v>
      </c>
      <c r="M119" t="s">
        <v>310</v>
      </c>
      <c r="N119" t="s">
        <v>237</v>
      </c>
      <c r="O119">
        <v>1</v>
      </c>
      <c r="P119" s="6" t="str">
        <f>VLOOKUP(J119,'Store lookup'!A:C,2,0)</f>
        <v>A058</v>
      </c>
      <c r="Q119" s="6" t="str">
        <f>VLOOKUP(J119,'Store lookup'!A:C,3,0)</f>
        <v>Anaconda Hawthorn East</v>
      </c>
      <c r="R119" s="6" t="str">
        <f t="shared" si="1"/>
        <v>Ananconda</v>
      </c>
      <c r="S119" s="6" t="str">
        <f>VLOOKUP(I119,'FIN CAL LOOKUP'!A:J,7,1)</f>
        <v>NOV, FY24</v>
      </c>
      <c r="T119" s="6" t="str">
        <f>VLOOKUP(I119,'FIN CAL LOOKUP'!A:J,10,1)</f>
        <v>Q2, FY24</v>
      </c>
    </row>
    <row r="120" spans="1:20" hidden="1" x14ac:dyDescent="0.25">
      <c r="A120">
        <v>239239</v>
      </c>
      <c r="B120" t="s">
        <v>525</v>
      </c>
      <c r="C120" t="s">
        <v>526</v>
      </c>
      <c r="E120" t="s">
        <v>264</v>
      </c>
      <c r="F120" t="s">
        <v>308</v>
      </c>
      <c r="G120" t="s">
        <v>266</v>
      </c>
      <c r="H120" s="5">
        <v>45209</v>
      </c>
      <c r="I120" s="5">
        <v>45272</v>
      </c>
      <c r="J120" t="s">
        <v>309</v>
      </c>
      <c r="K120" t="s">
        <v>268</v>
      </c>
      <c r="L120">
        <v>1</v>
      </c>
      <c r="M120" t="s">
        <v>310</v>
      </c>
      <c r="N120" t="s">
        <v>237</v>
      </c>
      <c r="O120">
        <v>1</v>
      </c>
      <c r="P120" s="6" t="str">
        <f>VLOOKUP(J120,'Store lookup'!A:C,2,0)</f>
        <v>A058</v>
      </c>
      <c r="Q120" s="6" t="str">
        <f>VLOOKUP(J120,'Store lookup'!A:C,3,0)</f>
        <v>Anaconda Hawthorn East</v>
      </c>
      <c r="R120" s="6" t="str">
        <f t="shared" si="1"/>
        <v>Ananconda</v>
      </c>
      <c r="S120" s="6" t="str">
        <f>VLOOKUP(I120,'FIN CAL LOOKUP'!A:J,7,1)</f>
        <v>DEC, FY24</v>
      </c>
      <c r="T120" s="6" t="str">
        <f>VLOOKUP(I120,'FIN CAL LOOKUP'!A:J,10,1)</f>
        <v>Q2, FY24</v>
      </c>
    </row>
    <row r="121" spans="1:20" hidden="1" x14ac:dyDescent="0.25">
      <c r="A121">
        <v>328239</v>
      </c>
      <c r="B121" t="s">
        <v>527</v>
      </c>
      <c r="C121" t="s">
        <v>528</v>
      </c>
      <c r="D121" t="s">
        <v>307</v>
      </c>
      <c r="E121" t="s">
        <v>264</v>
      </c>
      <c r="F121" t="s">
        <v>358</v>
      </c>
      <c r="G121" t="s">
        <v>266</v>
      </c>
      <c r="H121" s="5">
        <v>45204</v>
      </c>
      <c r="I121" s="5">
        <v>45210</v>
      </c>
      <c r="J121" t="s">
        <v>359</v>
      </c>
      <c r="K121" t="s">
        <v>268</v>
      </c>
      <c r="L121">
        <v>1</v>
      </c>
      <c r="M121" t="s">
        <v>360</v>
      </c>
      <c r="N121" t="s">
        <v>237</v>
      </c>
      <c r="O121">
        <v>1</v>
      </c>
      <c r="P121" s="6" t="str">
        <f>VLOOKUP(J121,'Store lookup'!A:C,2,0)</f>
        <v>A030</v>
      </c>
      <c r="Q121" s="6" t="str">
        <f>VLOOKUP(J121,'Store lookup'!A:C,3,0)</f>
        <v>Anaconda Hoppers Crossing</v>
      </c>
      <c r="R121" s="6" t="str">
        <f t="shared" si="1"/>
        <v>Ananconda</v>
      </c>
      <c r="S121" s="6" t="str">
        <f>VLOOKUP(I121,'FIN CAL LOOKUP'!A:J,7,1)</f>
        <v>OCT, FY24</v>
      </c>
      <c r="T121" s="6" t="str">
        <f>VLOOKUP(I121,'FIN CAL LOOKUP'!A:J,10,1)</f>
        <v>Q2, FY24</v>
      </c>
    </row>
    <row r="122" spans="1:20" hidden="1" x14ac:dyDescent="0.25">
      <c r="A122">
        <v>324005</v>
      </c>
      <c r="B122" t="s">
        <v>367</v>
      </c>
      <c r="C122" t="s">
        <v>529</v>
      </c>
      <c r="D122" t="s">
        <v>307</v>
      </c>
      <c r="E122" t="s">
        <v>264</v>
      </c>
      <c r="F122" t="s">
        <v>358</v>
      </c>
      <c r="G122" t="s">
        <v>266</v>
      </c>
      <c r="H122" s="5">
        <v>45203</v>
      </c>
      <c r="I122" s="5">
        <v>45224</v>
      </c>
      <c r="J122" t="s">
        <v>359</v>
      </c>
      <c r="K122" t="s">
        <v>268</v>
      </c>
      <c r="L122">
        <v>1</v>
      </c>
      <c r="M122" t="s">
        <v>360</v>
      </c>
      <c r="N122" t="s">
        <v>237</v>
      </c>
      <c r="O122">
        <v>1</v>
      </c>
      <c r="P122" s="6" t="str">
        <f>VLOOKUP(J122,'Store lookup'!A:C,2,0)</f>
        <v>A030</v>
      </c>
      <c r="Q122" s="6" t="str">
        <f>VLOOKUP(J122,'Store lookup'!A:C,3,0)</f>
        <v>Anaconda Hoppers Crossing</v>
      </c>
      <c r="R122" s="6" t="str">
        <f t="shared" si="1"/>
        <v>Ananconda</v>
      </c>
      <c r="S122" s="6" t="str">
        <f>VLOOKUP(I122,'FIN CAL LOOKUP'!A:J,7,1)</f>
        <v>NOV, FY24</v>
      </c>
      <c r="T122" s="6" t="str">
        <f>VLOOKUP(I122,'FIN CAL LOOKUP'!A:J,10,1)</f>
        <v>Q2, FY24</v>
      </c>
    </row>
    <row r="123" spans="1:20" hidden="1" x14ac:dyDescent="0.25">
      <c r="A123">
        <v>312588</v>
      </c>
      <c r="B123" t="s">
        <v>276</v>
      </c>
      <c r="C123" t="s">
        <v>277</v>
      </c>
      <c r="D123" t="s">
        <v>278</v>
      </c>
      <c r="E123" t="s">
        <v>264</v>
      </c>
      <c r="F123" t="s">
        <v>279</v>
      </c>
      <c r="G123" t="s">
        <v>266</v>
      </c>
      <c r="H123" s="5">
        <v>45202</v>
      </c>
      <c r="I123" s="5">
        <v>45210</v>
      </c>
      <c r="J123" t="s">
        <v>280</v>
      </c>
      <c r="K123" t="s">
        <v>268</v>
      </c>
      <c r="L123">
        <v>1</v>
      </c>
      <c r="M123" t="s">
        <v>281</v>
      </c>
      <c r="N123" t="s">
        <v>237</v>
      </c>
      <c r="O123">
        <v>1</v>
      </c>
      <c r="P123" s="6" t="str">
        <f>VLOOKUP(J123,'Store lookup'!A:C,2,0)</f>
        <v>A041</v>
      </c>
      <c r="Q123" s="6" t="str">
        <f>VLOOKUP(J123,'Store lookup'!A:C,3,0)</f>
        <v>Anaconda Box Hill</v>
      </c>
      <c r="R123" s="6" t="str">
        <f t="shared" si="1"/>
        <v>Ananconda</v>
      </c>
      <c r="S123" s="6" t="str">
        <f>VLOOKUP(I123,'FIN CAL LOOKUP'!A:J,7,1)</f>
        <v>OCT, FY24</v>
      </c>
      <c r="T123" s="6" t="str">
        <f>VLOOKUP(I123,'FIN CAL LOOKUP'!A:J,10,1)</f>
        <v>Q2, FY24</v>
      </c>
    </row>
    <row r="124" spans="1:20" hidden="1" x14ac:dyDescent="0.25">
      <c r="A124">
        <v>325420</v>
      </c>
      <c r="B124" t="s">
        <v>530</v>
      </c>
      <c r="C124" t="s">
        <v>531</v>
      </c>
      <c r="D124" t="s">
        <v>278</v>
      </c>
      <c r="E124" t="s">
        <v>264</v>
      </c>
      <c r="F124" t="s">
        <v>336</v>
      </c>
      <c r="G124" t="s">
        <v>266</v>
      </c>
      <c r="H124" s="5">
        <v>45201</v>
      </c>
      <c r="I124" s="5">
        <v>45219</v>
      </c>
      <c r="J124" t="s">
        <v>337</v>
      </c>
      <c r="K124" t="s">
        <v>268</v>
      </c>
      <c r="L124">
        <v>1</v>
      </c>
      <c r="M124" t="s">
        <v>338</v>
      </c>
      <c r="N124" t="s">
        <v>237</v>
      </c>
      <c r="O124">
        <v>1</v>
      </c>
      <c r="P124" s="6" t="str">
        <f>VLOOKUP(J124,'Store lookup'!A:C,2,0)</f>
        <v>A042</v>
      </c>
      <c r="Q124" s="6" t="str">
        <f>VLOOKUP(J124,'Store lookup'!A:C,3,0)</f>
        <v>Anaconda Maribyrnong</v>
      </c>
      <c r="R124" s="6" t="str">
        <f t="shared" si="1"/>
        <v>Ananconda</v>
      </c>
      <c r="S124" s="6" t="str">
        <f>VLOOKUP(I124,'FIN CAL LOOKUP'!A:J,7,1)</f>
        <v>OCT, FY24</v>
      </c>
      <c r="T124" s="6" t="str">
        <f>VLOOKUP(I124,'FIN CAL LOOKUP'!A:J,10,1)</f>
        <v>Q2, FY24</v>
      </c>
    </row>
    <row r="125" spans="1:20" hidden="1" x14ac:dyDescent="0.25">
      <c r="A125">
        <v>228551</v>
      </c>
      <c r="B125" t="s">
        <v>532</v>
      </c>
      <c r="C125" t="s">
        <v>533</v>
      </c>
      <c r="D125" t="s">
        <v>284</v>
      </c>
      <c r="E125" t="s">
        <v>264</v>
      </c>
      <c r="F125" t="s">
        <v>297</v>
      </c>
      <c r="G125" t="s">
        <v>266</v>
      </c>
      <c r="H125" s="5">
        <v>45189</v>
      </c>
      <c r="I125" s="5">
        <v>45223</v>
      </c>
      <c r="J125" t="s">
        <v>298</v>
      </c>
      <c r="K125" t="s">
        <v>268</v>
      </c>
      <c r="L125">
        <v>1</v>
      </c>
      <c r="M125" t="s">
        <v>299</v>
      </c>
      <c r="N125" t="s">
        <v>237</v>
      </c>
      <c r="O125">
        <v>1</v>
      </c>
      <c r="P125" s="6" t="str">
        <f>VLOOKUP(J125,'Store lookup'!A:C,2,0)</f>
        <v>A039</v>
      </c>
      <c r="Q125" s="6" t="str">
        <f>VLOOKUP(J125,'Store lookup'!A:C,3,0)</f>
        <v>Anaconda Highett</v>
      </c>
      <c r="R125" s="6" t="str">
        <f t="shared" si="1"/>
        <v>Ananconda</v>
      </c>
      <c r="S125" s="6" t="str">
        <f>VLOOKUP(I125,'FIN CAL LOOKUP'!A:J,7,1)</f>
        <v>NOV, FY24</v>
      </c>
      <c r="T125" s="6" t="str">
        <f>VLOOKUP(I125,'FIN CAL LOOKUP'!A:J,10,1)</f>
        <v>Q2, FY24</v>
      </c>
    </row>
    <row r="126" spans="1:20" hidden="1" x14ac:dyDescent="0.25">
      <c r="A126">
        <v>312984</v>
      </c>
      <c r="B126" t="s">
        <v>534</v>
      </c>
      <c r="C126" t="s">
        <v>535</v>
      </c>
      <c r="D126" t="s">
        <v>284</v>
      </c>
      <c r="E126" t="s">
        <v>264</v>
      </c>
      <c r="F126" t="s">
        <v>279</v>
      </c>
      <c r="G126" t="s">
        <v>266</v>
      </c>
      <c r="H126" s="5">
        <v>45188</v>
      </c>
      <c r="I126" s="5">
        <v>45238</v>
      </c>
      <c r="J126" t="s">
        <v>280</v>
      </c>
      <c r="K126" t="s">
        <v>268</v>
      </c>
      <c r="L126">
        <v>1</v>
      </c>
      <c r="M126" t="s">
        <v>281</v>
      </c>
      <c r="N126" t="s">
        <v>237</v>
      </c>
      <c r="O126">
        <v>1</v>
      </c>
      <c r="P126" s="6" t="str">
        <f>VLOOKUP(J126,'Store lookup'!A:C,2,0)</f>
        <v>A041</v>
      </c>
      <c r="Q126" s="6" t="str">
        <f>VLOOKUP(J126,'Store lookup'!A:C,3,0)</f>
        <v>Anaconda Box Hill</v>
      </c>
      <c r="R126" s="6" t="str">
        <f t="shared" si="1"/>
        <v>Ananconda</v>
      </c>
      <c r="S126" s="6" t="str">
        <f>VLOOKUP(I126,'FIN CAL LOOKUP'!A:J,7,1)</f>
        <v>NOV, FY24</v>
      </c>
      <c r="T126" s="6" t="str">
        <f>VLOOKUP(I126,'FIN CAL LOOKUP'!A:J,10,1)</f>
        <v>Q2, FY24</v>
      </c>
    </row>
    <row r="127" spans="1:20" hidden="1" x14ac:dyDescent="0.25">
      <c r="A127">
        <v>305365</v>
      </c>
      <c r="B127" t="s">
        <v>536</v>
      </c>
      <c r="C127" t="s">
        <v>537</v>
      </c>
      <c r="D127" t="s">
        <v>272</v>
      </c>
      <c r="E127" t="s">
        <v>264</v>
      </c>
      <c r="F127" t="s">
        <v>316</v>
      </c>
      <c r="G127" t="s">
        <v>266</v>
      </c>
      <c r="H127" s="5">
        <v>45188</v>
      </c>
      <c r="I127" s="5">
        <v>45210</v>
      </c>
      <c r="J127" t="s">
        <v>317</v>
      </c>
      <c r="K127" t="s">
        <v>268</v>
      </c>
      <c r="L127">
        <v>2</v>
      </c>
      <c r="M127" t="s">
        <v>318</v>
      </c>
      <c r="N127" t="s">
        <v>237</v>
      </c>
      <c r="O127">
        <v>0</v>
      </c>
      <c r="P127" s="6" t="str">
        <f>VLOOKUP(J127,'Store lookup'!A:C,2,0)</f>
        <v>A052</v>
      </c>
      <c r="Q127" s="6" t="str">
        <f>VLOOKUP(J127,'Store lookup'!A:C,3,0)</f>
        <v>Anaconda Epping</v>
      </c>
      <c r="R127" s="6" t="str">
        <f t="shared" si="1"/>
        <v>Ananconda</v>
      </c>
      <c r="S127" s="6" t="str">
        <f>VLOOKUP(I127,'FIN CAL LOOKUP'!A:J,7,1)</f>
        <v>OCT, FY24</v>
      </c>
      <c r="T127" s="6" t="str">
        <f>VLOOKUP(I127,'FIN CAL LOOKUP'!A:J,10,1)</f>
        <v>Q2, FY24</v>
      </c>
    </row>
    <row r="128" spans="1:20" hidden="1" x14ac:dyDescent="0.25">
      <c r="A128">
        <v>324851</v>
      </c>
      <c r="B128" t="s">
        <v>538</v>
      </c>
      <c r="C128" t="s">
        <v>539</v>
      </c>
      <c r="D128" t="s">
        <v>272</v>
      </c>
      <c r="E128" t="s">
        <v>264</v>
      </c>
      <c r="F128" t="s">
        <v>316</v>
      </c>
      <c r="G128" t="s">
        <v>266</v>
      </c>
      <c r="H128" s="5">
        <v>45188</v>
      </c>
      <c r="I128" s="5">
        <v>45210</v>
      </c>
      <c r="J128" t="s">
        <v>317</v>
      </c>
      <c r="K128" t="s">
        <v>268</v>
      </c>
      <c r="L128">
        <v>2</v>
      </c>
      <c r="M128" t="s">
        <v>318</v>
      </c>
      <c r="N128" t="s">
        <v>237</v>
      </c>
      <c r="O128">
        <v>0</v>
      </c>
      <c r="P128" s="6" t="str">
        <f>VLOOKUP(J128,'Store lookup'!A:C,2,0)</f>
        <v>A052</v>
      </c>
      <c r="Q128" s="6" t="str">
        <f>VLOOKUP(J128,'Store lookup'!A:C,3,0)</f>
        <v>Anaconda Epping</v>
      </c>
      <c r="R128" s="6" t="str">
        <f t="shared" si="1"/>
        <v>Ananconda</v>
      </c>
      <c r="S128" s="6" t="str">
        <f>VLOOKUP(I128,'FIN CAL LOOKUP'!A:J,7,1)</f>
        <v>OCT, FY24</v>
      </c>
      <c r="T128" s="6" t="str">
        <f>VLOOKUP(I128,'FIN CAL LOOKUP'!A:J,10,1)</f>
        <v>Q2, FY24</v>
      </c>
    </row>
    <row r="129" spans="1:20" hidden="1" x14ac:dyDescent="0.25">
      <c r="A129">
        <v>298313</v>
      </c>
      <c r="B129" t="s">
        <v>540</v>
      </c>
      <c r="C129" t="s">
        <v>541</v>
      </c>
      <c r="D129" t="s">
        <v>542</v>
      </c>
      <c r="E129" t="s">
        <v>264</v>
      </c>
      <c r="F129" t="s">
        <v>265</v>
      </c>
      <c r="G129" t="s">
        <v>266</v>
      </c>
      <c r="H129" s="5">
        <v>45187</v>
      </c>
      <c r="I129" s="5">
        <v>45275</v>
      </c>
      <c r="J129" t="s">
        <v>267</v>
      </c>
      <c r="K129" t="s">
        <v>268</v>
      </c>
      <c r="L129">
        <v>1</v>
      </c>
      <c r="M129" t="s">
        <v>269</v>
      </c>
      <c r="N129" t="s">
        <v>237</v>
      </c>
      <c r="O129">
        <v>1</v>
      </c>
      <c r="P129" s="6" t="str">
        <f>VLOOKUP(J129,'Store lookup'!A:C,2,0)</f>
        <v>A001</v>
      </c>
      <c r="Q129" s="6" t="str">
        <f>VLOOKUP(J129,'Store lookup'!A:C,3,0)</f>
        <v>Anaconda Bayswater</v>
      </c>
      <c r="R129" s="6" t="str">
        <f t="shared" si="1"/>
        <v>Ananconda</v>
      </c>
      <c r="S129" s="6" t="str">
        <f>VLOOKUP(I129,'FIN CAL LOOKUP'!A:J,7,1)</f>
        <v>DEC, FY24</v>
      </c>
      <c r="T129" s="6" t="str">
        <f>VLOOKUP(I129,'FIN CAL LOOKUP'!A:J,10,1)</f>
        <v>Q2, FY24</v>
      </c>
    </row>
    <row r="130" spans="1:20" hidden="1" x14ac:dyDescent="0.25">
      <c r="A130">
        <v>327323</v>
      </c>
      <c r="B130" t="s">
        <v>543</v>
      </c>
      <c r="C130" t="s">
        <v>544</v>
      </c>
      <c r="D130" t="s">
        <v>278</v>
      </c>
      <c r="E130" t="s">
        <v>264</v>
      </c>
      <c r="F130" t="s">
        <v>302</v>
      </c>
      <c r="G130" t="s">
        <v>266</v>
      </c>
      <c r="H130" s="5">
        <v>45187</v>
      </c>
      <c r="I130" s="5">
        <v>45189</v>
      </c>
      <c r="J130" t="s">
        <v>303</v>
      </c>
      <c r="K130" t="s">
        <v>268</v>
      </c>
      <c r="L130">
        <v>1</v>
      </c>
      <c r="M130" t="s">
        <v>304</v>
      </c>
      <c r="N130" t="s">
        <v>237</v>
      </c>
      <c r="O130">
        <v>1</v>
      </c>
      <c r="P130" s="6" t="str">
        <f>VLOOKUP(J130,'Store lookup'!A:C,2,0)</f>
        <v>A020</v>
      </c>
      <c r="Q130" s="6" t="str">
        <f>VLOOKUP(J130,'Store lookup'!A:C,3,0)</f>
        <v>Anaconda Preston</v>
      </c>
      <c r="R130" s="6" t="str">
        <f t="shared" ref="R130:R193" si="2">IF(LEFT(Q130,1)="A","Ananconda",IF(LEFT(Q130,1)="H","Harris Scarfe",IF(LEFT(Q130,1)="S","Spotlight","Exempt")))</f>
        <v>Ananconda</v>
      </c>
      <c r="S130" s="6" t="str">
        <f>VLOOKUP(I130,'FIN CAL LOOKUP'!A:J,7,1)</f>
        <v>SEP, FY24</v>
      </c>
      <c r="T130" s="6" t="str">
        <f>VLOOKUP(I130,'FIN CAL LOOKUP'!A:J,10,1)</f>
        <v>Q1, FY24</v>
      </c>
    </row>
    <row r="131" spans="1:20" hidden="1" x14ac:dyDescent="0.25">
      <c r="A131">
        <v>323325</v>
      </c>
      <c r="B131" t="s">
        <v>545</v>
      </c>
      <c r="C131" t="s">
        <v>546</v>
      </c>
      <c r="D131" t="s">
        <v>272</v>
      </c>
      <c r="E131" t="s">
        <v>264</v>
      </c>
      <c r="F131" t="s">
        <v>297</v>
      </c>
      <c r="G131" t="s">
        <v>266</v>
      </c>
      <c r="H131" s="5">
        <v>45181</v>
      </c>
      <c r="I131" s="5">
        <v>45254</v>
      </c>
      <c r="J131" t="s">
        <v>298</v>
      </c>
      <c r="K131" t="s">
        <v>268</v>
      </c>
      <c r="L131">
        <v>1</v>
      </c>
      <c r="M131" t="s">
        <v>299</v>
      </c>
      <c r="N131" t="s">
        <v>237</v>
      </c>
      <c r="O131">
        <v>1</v>
      </c>
      <c r="P131" s="6" t="str">
        <f>VLOOKUP(J131,'Store lookup'!A:C,2,0)</f>
        <v>A039</v>
      </c>
      <c r="Q131" s="6" t="str">
        <f>VLOOKUP(J131,'Store lookup'!A:C,3,0)</f>
        <v>Anaconda Highett</v>
      </c>
      <c r="R131" s="6" t="str">
        <f t="shared" si="2"/>
        <v>Ananconda</v>
      </c>
      <c r="S131" s="6" t="str">
        <f>VLOOKUP(I131,'FIN CAL LOOKUP'!A:J,7,1)</f>
        <v>NOV, FY24</v>
      </c>
      <c r="T131" s="6" t="str">
        <f>VLOOKUP(I131,'FIN CAL LOOKUP'!A:J,10,1)</f>
        <v>Q2, FY24</v>
      </c>
    </row>
    <row r="132" spans="1:20" hidden="1" x14ac:dyDescent="0.25">
      <c r="A132">
        <v>329419</v>
      </c>
      <c r="B132" t="s">
        <v>547</v>
      </c>
      <c r="C132" t="s">
        <v>548</v>
      </c>
      <c r="D132" t="s">
        <v>307</v>
      </c>
      <c r="E132" t="s">
        <v>264</v>
      </c>
      <c r="F132" t="s">
        <v>285</v>
      </c>
      <c r="G132" t="s">
        <v>266</v>
      </c>
      <c r="H132" s="5">
        <v>45181</v>
      </c>
      <c r="I132" s="5">
        <v>45212</v>
      </c>
      <c r="J132" t="s">
        <v>286</v>
      </c>
      <c r="K132" t="s">
        <v>268</v>
      </c>
      <c r="L132">
        <v>1</v>
      </c>
      <c r="M132" t="s">
        <v>287</v>
      </c>
      <c r="N132" t="s">
        <v>237</v>
      </c>
      <c r="O132">
        <v>1</v>
      </c>
      <c r="P132" s="6" t="str">
        <f>VLOOKUP(J132,'Store lookup'!A:C,2,0)</f>
        <v>A040</v>
      </c>
      <c r="Q132" s="6" t="str">
        <f>VLOOKUP(J132,'Store lookup'!A:C,3,0)</f>
        <v>Anaconda Watergardens</v>
      </c>
      <c r="R132" s="6" t="str">
        <f t="shared" si="2"/>
        <v>Ananconda</v>
      </c>
      <c r="S132" s="6" t="str">
        <f>VLOOKUP(I132,'FIN CAL LOOKUP'!A:J,7,1)</f>
        <v>OCT, FY24</v>
      </c>
      <c r="T132" s="6" t="str">
        <f>VLOOKUP(I132,'FIN CAL LOOKUP'!A:J,10,1)</f>
        <v>Q2, FY24</v>
      </c>
    </row>
    <row r="133" spans="1:20" hidden="1" x14ac:dyDescent="0.25">
      <c r="A133">
        <v>298082</v>
      </c>
      <c r="B133" t="s">
        <v>416</v>
      </c>
      <c r="C133" t="s">
        <v>549</v>
      </c>
      <c r="D133" t="s">
        <v>278</v>
      </c>
      <c r="E133" t="s">
        <v>264</v>
      </c>
      <c r="F133" t="s">
        <v>273</v>
      </c>
      <c r="G133" t="s">
        <v>266</v>
      </c>
      <c r="H133" s="5">
        <v>45181</v>
      </c>
      <c r="I133" s="5">
        <v>45211</v>
      </c>
      <c r="J133" t="s">
        <v>274</v>
      </c>
      <c r="K133" t="s">
        <v>268</v>
      </c>
      <c r="L133">
        <v>2</v>
      </c>
      <c r="M133" t="s">
        <v>275</v>
      </c>
      <c r="N133" t="s">
        <v>237</v>
      </c>
      <c r="O133">
        <v>0</v>
      </c>
      <c r="P133" s="6" t="str">
        <f>VLOOKUP(J133,'Store lookup'!A:C,2,0)</f>
        <v>A026</v>
      </c>
      <c r="Q133" s="6" t="str">
        <f>VLOOKUP(J133,'Store lookup'!A:C,3,0)</f>
        <v>Anaconda Springvale</v>
      </c>
      <c r="R133" s="6" t="str">
        <f t="shared" si="2"/>
        <v>Ananconda</v>
      </c>
      <c r="S133" s="6" t="str">
        <f>VLOOKUP(I133,'FIN CAL LOOKUP'!A:J,7,1)</f>
        <v>OCT, FY24</v>
      </c>
      <c r="T133" s="6" t="str">
        <f>VLOOKUP(I133,'FIN CAL LOOKUP'!A:J,10,1)</f>
        <v>Q2, FY24</v>
      </c>
    </row>
    <row r="134" spans="1:20" hidden="1" x14ac:dyDescent="0.25">
      <c r="A134">
        <v>297893</v>
      </c>
      <c r="B134" t="s">
        <v>469</v>
      </c>
      <c r="C134" t="s">
        <v>470</v>
      </c>
      <c r="D134" t="s">
        <v>307</v>
      </c>
      <c r="E134" t="s">
        <v>264</v>
      </c>
      <c r="F134" t="s">
        <v>471</v>
      </c>
      <c r="G134" t="s">
        <v>266</v>
      </c>
      <c r="H134" s="5">
        <v>45180</v>
      </c>
      <c r="I134" s="5">
        <v>45197</v>
      </c>
      <c r="J134" t="s">
        <v>471</v>
      </c>
      <c r="K134" t="s">
        <v>268</v>
      </c>
      <c r="L134">
        <v>1</v>
      </c>
      <c r="N134" t="s">
        <v>237</v>
      </c>
      <c r="O134">
        <v>1</v>
      </c>
      <c r="P134" s="6" t="str">
        <f>VLOOKUP(J134,'Store lookup'!A:C,2,0)</f>
        <v>A028</v>
      </c>
      <c r="Q134" s="6" t="str">
        <f>VLOOKUP(J134,'Store lookup'!A:C,3,0)</f>
        <v>Anaconda Launceston</v>
      </c>
      <c r="R134" s="6" t="str">
        <f t="shared" si="2"/>
        <v>Ananconda</v>
      </c>
      <c r="S134" s="6" t="str">
        <f>VLOOKUP(I134,'FIN CAL LOOKUP'!A:J,7,1)</f>
        <v>OCT, FY24</v>
      </c>
      <c r="T134" s="6" t="str">
        <f>VLOOKUP(I134,'FIN CAL LOOKUP'!A:J,10,1)</f>
        <v>Q2, FY24</v>
      </c>
    </row>
    <row r="135" spans="1:20" hidden="1" x14ac:dyDescent="0.25">
      <c r="A135">
        <v>311114</v>
      </c>
      <c r="B135" t="s">
        <v>550</v>
      </c>
      <c r="C135" t="s">
        <v>551</v>
      </c>
      <c r="D135" t="s">
        <v>278</v>
      </c>
      <c r="E135" t="s">
        <v>264</v>
      </c>
      <c r="F135" t="s">
        <v>358</v>
      </c>
      <c r="G135" t="s">
        <v>266</v>
      </c>
      <c r="H135" s="5">
        <v>45176</v>
      </c>
      <c r="I135" s="5">
        <v>45246</v>
      </c>
      <c r="J135" t="s">
        <v>359</v>
      </c>
      <c r="K135" t="s">
        <v>268</v>
      </c>
      <c r="L135">
        <v>1</v>
      </c>
      <c r="M135" t="s">
        <v>360</v>
      </c>
      <c r="N135" t="s">
        <v>237</v>
      </c>
      <c r="O135">
        <v>1</v>
      </c>
      <c r="P135" s="6" t="str">
        <f>VLOOKUP(J135,'Store lookup'!A:C,2,0)</f>
        <v>A030</v>
      </c>
      <c r="Q135" s="6" t="str">
        <f>VLOOKUP(J135,'Store lookup'!A:C,3,0)</f>
        <v>Anaconda Hoppers Crossing</v>
      </c>
      <c r="R135" s="6" t="str">
        <f t="shared" si="2"/>
        <v>Ananconda</v>
      </c>
      <c r="S135" s="6" t="str">
        <f>VLOOKUP(I135,'FIN CAL LOOKUP'!A:J,7,1)</f>
        <v>NOV, FY24</v>
      </c>
      <c r="T135" s="6" t="str">
        <f>VLOOKUP(I135,'FIN CAL LOOKUP'!A:J,10,1)</f>
        <v>Q2, FY24</v>
      </c>
    </row>
    <row r="136" spans="1:20" hidden="1" x14ac:dyDescent="0.25">
      <c r="A136">
        <v>314449</v>
      </c>
      <c r="B136" t="s">
        <v>552</v>
      </c>
      <c r="C136" t="s">
        <v>553</v>
      </c>
      <c r="D136" t="s">
        <v>278</v>
      </c>
      <c r="E136" t="s">
        <v>264</v>
      </c>
      <c r="F136" t="s">
        <v>302</v>
      </c>
      <c r="G136" t="s">
        <v>266</v>
      </c>
      <c r="H136" s="5">
        <v>45176</v>
      </c>
      <c r="I136" s="5">
        <v>45224</v>
      </c>
      <c r="J136" t="s">
        <v>303</v>
      </c>
      <c r="K136" t="s">
        <v>268</v>
      </c>
      <c r="L136">
        <v>1</v>
      </c>
      <c r="M136" t="s">
        <v>304</v>
      </c>
      <c r="N136" t="s">
        <v>237</v>
      </c>
      <c r="O136">
        <v>1</v>
      </c>
      <c r="P136" s="6" t="str">
        <f>VLOOKUP(J136,'Store lookup'!A:C,2,0)</f>
        <v>A020</v>
      </c>
      <c r="Q136" s="6" t="str">
        <f>VLOOKUP(J136,'Store lookup'!A:C,3,0)</f>
        <v>Anaconda Preston</v>
      </c>
      <c r="R136" s="6" t="str">
        <f t="shared" si="2"/>
        <v>Ananconda</v>
      </c>
      <c r="S136" s="6" t="str">
        <f>VLOOKUP(I136,'FIN CAL LOOKUP'!A:J,7,1)</f>
        <v>NOV, FY24</v>
      </c>
      <c r="T136" s="6" t="str">
        <f>VLOOKUP(I136,'FIN CAL LOOKUP'!A:J,10,1)</f>
        <v>Q2, FY24</v>
      </c>
    </row>
    <row r="137" spans="1:20" hidden="1" x14ac:dyDescent="0.25">
      <c r="A137">
        <v>236788</v>
      </c>
      <c r="B137" t="s">
        <v>490</v>
      </c>
      <c r="C137" t="s">
        <v>554</v>
      </c>
      <c r="D137" t="s">
        <v>284</v>
      </c>
      <c r="E137" t="s">
        <v>264</v>
      </c>
      <c r="F137" t="s">
        <v>336</v>
      </c>
      <c r="G137" t="s">
        <v>266</v>
      </c>
      <c r="H137" s="5">
        <v>45176</v>
      </c>
      <c r="I137" s="5">
        <v>45197</v>
      </c>
      <c r="J137" t="s">
        <v>337</v>
      </c>
      <c r="K137" t="s">
        <v>268</v>
      </c>
      <c r="L137">
        <v>1</v>
      </c>
      <c r="M137" t="s">
        <v>338</v>
      </c>
      <c r="N137" t="s">
        <v>237</v>
      </c>
      <c r="O137">
        <v>1</v>
      </c>
      <c r="P137" s="6" t="str">
        <f>VLOOKUP(J137,'Store lookup'!A:C,2,0)</f>
        <v>A042</v>
      </c>
      <c r="Q137" s="6" t="str">
        <f>VLOOKUP(J137,'Store lookup'!A:C,3,0)</f>
        <v>Anaconda Maribyrnong</v>
      </c>
      <c r="R137" s="6" t="str">
        <f t="shared" si="2"/>
        <v>Ananconda</v>
      </c>
      <c r="S137" s="6" t="str">
        <f>VLOOKUP(I137,'FIN CAL LOOKUP'!A:J,7,1)</f>
        <v>OCT, FY24</v>
      </c>
      <c r="T137" s="6" t="str">
        <f>VLOOKUP(I137,'FIN CAL LOOKUP'!A:J,10,1)</f>
        <v>Q2, FY24</v>
      </c>
    </row>
    <row r="138" spans="1:20" hidden="1" x14ac:dyDescent="0.25">
      <c r="A138">
        <v>316449</v>
      </c>
      <c r="B138" t="s">
        <v>467</v>
      </c>
      <c r="C138" t="s">
        <v>468</v>
      </c>
      <c r="D138" t="s">
        <v>307</v>
      </c>
      <c r="E138" t="s">
        <v>264</v>
      </c>
      <c r="F138" t="s">
        <v>336</v>
      </c>
      <c r="G138" t="s">
        <v>266</v>
      </c>
      <c r="H138" s="5">
        <v>45176</v>
      </c>
      <c r="I138" s="5">
        <v>45181</v>
      </c>
      <c r="J138" t="s">
        <v>337</v>
      </c>
      <c r="K138" t="s">
        <v>268</v>
      </c>
      <c r="L138">
        <v>1</v>
      </c>
      <c r="M138" t="s">
        <v>338</v>
      </c>
      <c r="N138" t="s">
        <v>237</v>
      </c>
      <c r="O138">
        <v>1</v>
      </c>
      <c r="P138" s="6" t="str">
        <f>VLOOKUP(J138,'Store lookup'!A:C,2,0)</f>
        <v>A042</v>
      </c>
      <c r="Q138" s="6" t="str">
        <f>VLOOKUP(J138,'Store lookup'!A:C,3,0)</f>
        <v>Anaconda Maribyrnong</v>
      </c>
      <c r="R138" s="6" t="str">
        <f t="shared" si="2"/>
        <v>Ananconda</v>
      </c>
      <c r="S138" s="6" t="str">
        <f>VLOOKUP(I138,'FIN CAL LOOKUP'!A:J,7,1)</f>
        <v>SEP, FY24</v>
      </c>
      <c r="T138" s="6" t="str">
        <f>VLOOKUP(I138,'FIN CAL LOOKUP'!A:J,10,1)</f>
        <v>Q1, FY24</v>
      </c>
    </row>
    <row r="139" spans="1:20" hidden="1" x14ac:dyDescent="0.25">
      <c r="A139">
        <v>229776</v>
      </c>
      <c r="B139" t="s">
        <v>555</v>
      </c>
      <c r="C139" t="s">
        <v>556</v>
      </c>
      <c r="D139" t="s">
        <v>278</v>
      </c>
      <c r="E139" t="s">
        <v>264</v>
      </c>
      <c r="F139" t="s">
        <v>273</v>
      </c>
      <c r="G139" t="s">
        <v>266</v>
      </c>
      <c r="H139" s="5">
        <v>45175</v>
      </c>
      <c r="I139" s="5">
        <v>45244</v>
      </c>
      <c r="J139" t="s">
        <v>274</v>
      </c>
      <c r="K139" t="s">
        <v>268</v>
      </c>
      <c r="L139">
        <v>1</v>
      </c>
      <c r="M139" t="s">
        <v>275</v>
      </c>
      <c r="N139" t="s">
        <v>237</v>
      </c>
      <c r="O139">
        <v>1</v>
      </c>
      <c r="P139" s="6" t="str">
        <f>VLOOKUP(J139,'Store lookup'!A:C,2,0)</f>
        <v>A026</v>
      </c>
      <c r="Q139" s="6" t="str">
        <f>VLOOKUP(J139,'Store lookup'!A:C,3,0)</f>
        <v>Anaconda Springvale</v>
      </c>
      <c r="R139" s="6" t="str">
        <f t="shared" si="2"/>
        <v>Ananconda</v>
      </c>
      <c r="S139" s="6" t="str">
        <f>VLOOKUP(I139,'FIN CAL LOOKUP'!A:J,7,1)</f>
        <v>NOV, FY24</v>
      </c>
      <c r="T139" s="6" t="str">
        <f>VLOOKUP(I139,'FIN CAL LOOKUP'!A:J,10,1)</f>
        <v>Q2, FY24</v>
      </c>
    </row>
    <row r="140" spans="1:20" hidden="1" x14ac:dyDescent="0.25">
      <c r="A140">
        <v>235135</v>
      </c>
      <c r="B140" t="s">
        <v>459</v>
      </c>
      <c r="C140" t="s">
        <v>460</v>
      </c>
      <c r="D140" t="s">
        <v>278</v>
      </c>
      <c r="E140" t="s">
        <v>264</v>
      </c>
      <c r="F140" t="s">
        <v>297</v>
      </c>
      <c r="G140" t="s">
        <v>266</v>
      </c>
      <c r="H140" s="5">
        <v>45174</v>
      </c>
      <c r="I140" s="5">
        <v>45197</v>
      </c>
      <c r="J140" t="s">
        <v>298</v>
      </c>
      <c r="K140" t="s">
        <v>268</v>
      </c>
      <c r="L140">
        <v>2</v>
      </c>
      <c r="M140" t="s">
        <v>299</v>
      </c>
      <c r="N140" t="s">
        <v>237</v>
      </c>
      <c r="O140">
        <v>0</v>
      </c>
      <c r="P140" s="6" t="str">
        <f>VLOOKUP(J140,'Store lookup'!A:C,2,0)</f>
        <v>A039</v>
      </c>
      <c r="Q140" s="6" t="str">
        <f>VLOOKUP(J140,'Store lookup'!A:C,3,0)</f>
        <v>Anaconda Highett</v>
      </c>
      <c r="R140" s="6" t="str">
        <f t="shared" si="2"/>
        <v>Ananconda</v>
      </c>
      <c r="S140" s="6" t="str">
        <f>VLOOKUP(I140,'FIN CAL LOOKUP'!A:J,7,1)</f>
        <v>OCT, FY24</v>
      </c>
      <c r="T140" s="6" t="str">
        <f>VLOOKUP(I140,'FIN CAL LOOKUP'!A:J,10,1)</f>
        <v>Q2, FY24</v>
      </c>
    </row>
    <row r="141" spans="1:20" hidden="1" x14ac:dyDescent="0.25">
      <c r="A141">
        <v>321433</v>
      </c>
      <c r="B141" t="s">
        <v>461</v>
      </c>
      <c r="C141" t="s">
        <v>462</v>
      </c>
      <c r="D141" t="s">
        <v>272</v>
      </c>
      <c r="E141" t="s">
        <v>264</v>
      </c>
      <c r="F141" t="s">
        <v>297</v>
      </c>
      <c r="G141" t="s">
        <v>266</v>
      </c>
      <c r="H141" s="5">
        <v>45174</v>
      </c>
      <c r="I141" s="5">
        <v>45197</v>
      </c>
      <c r="J141" t="s">
        <v>298</v>
      </c>
      <c r="K141" t="s">
        <v>268</v>
      </c>
      <c r="L141">
        <v>2</v>
      </c>
      <c r="M141" t="s">
        <v>299</v>
      </c>
      <c r="N141" t="s">
        <v>237</v>
      </c>
      <c r="O141">
        <v>0</v>
      </c>
      <c r="P141" s="6" t="str">
        <f>VLOOKUP(J141,'Store lookup'!A:C,2,0)</f>
        <v>A039</v>
      </c>
      <c r="Q141" s="6" t="str">
        <f>VLOOKUP(J141,'Store lookup'!A:C,3,0)</f>
        <v>Anaconda Highett</v>
      </c>
      <c r="R141" s="6" t="str">
        <f t="shared" si="2"/>
        <v>Ananconda</v>
      </c>
      <c r="S141" s="6" t="str">
        <f>VLOOKUP(I141,'FIN CAL LOOKUP'!A:J,7,1)</f>
        <v>OCT, FY24</v>
      </c>
      <c r="T141" s="6" t="str">
        <f>VLOOKUP(I141,'FIN CAL LOOKUP'!A:J,10,1)</f>
        <v>Q2, FY24</v>
      </c>
    </row>
    <row r="142" spans="1:20" hidden="1" x14ac:dyDescent="0.25">
      <c r="A142">
        <v>326713</v>
      </c>
      <c r="B142" t="s">
        <v>557</v>
      </c>
      <c r="C142" t="s">
        <v>558</v>
      </c>
      <c r="D142" t="s">
        <v>272</v>
      </c>
      <c r="E142" t="s">
        <v>264</v>
      </c>
      <c r="F142" t="s">
        <v>336</v>
      </c>
      <c r="G142" t="s">
        <v>266</v>
      </c>
      <c r="H142" s="5">
        <v>45174</v>
      </c>
      <c r="I142" s="5">
        <v>45176</v>
      </c>
      <c r="J142" t="s">
        <v>337</v>
      </c>
      <c r="K142" t="s">
        <v>268</v>
      </c>
      <c r="L142">
        <v>1</v>
      </c>
      <c r="M142" t="s">
        <v>338</v>
      </c>
      <c r="N142" t="s">
        <v>237</v>
      </c>
      <c r="O142">
        <v>1</v>
      </c>
      <c r="P142" s="6" t="str">
        <f>VLOOKUP(J142,'Store lookup'!A:C,2,0)</f>
        <v>A042</v>
      </c>
      <c r="Q142" s="6" t="str">
        <f>VLOOKUP(J142,'Store lookup'!A:C,3,0)</f>
        <v>Anaconda Maribyrnong</v>
      </c>
      <c r="R142" s="6" t="str">
        <f t="shared" si="2"/>
        <v>Ananconda</v>
      </c>
      <c r="S142" s="6" t="str">
        <f>VLOOKUP(I142,'FIN CAL LOOKUP'!A:J,7,1)</f>
        <v>SEP, FY24</v>
      </c>
      <c r="T142" s="6" t="str">
        <f>VLOOKUP(I142,'FIN CAL LOOKUP'!A:J,10,1)</f>
        <v>Q1, FY24</v>
      </c>
    </row>
    <row r="143" spans="1:20" hidden="1" x14ac:dyDescent="0.25">
      <c r="A143">
        <v>305938</v>
      </c>
      <c r="B143" t="s">
        <v>494</v>
      </c>
      <c r="C143" t="s">
        <v>495</v>
      </c>
      <c r="D143" t="s">
        <v>263</v>
      </c>
      <c r="E143" t="s">
        <v>264</v>
      </c>
      <c r="F143" t="s">
        <v>265</v>
      </c>
      <c r="G143" t="s">
        <v>266</v>
      </c>
      <c r="H143" s="5">
        <v>45173</v>
      </c>
      <c r="I143" s="5">
        <v>45261</v>
      </c>
      <c r="J143" t="s">
        <v>267</v>
      </c>
      <c r="K143" t="s">
        <v>268</v>
      </c>
      <c r="L143">
        <v>1</v>
      </c>
      <c r="M143" t="s">
        <v>269</v>
      </c>
      <c r="N143" t="s">
        <v>237</v>
      </c>
      <c r="O143">
        <v>1</v>
      </c>
      <c r="P143" s="6" t="str">
        <f>VLOOKUP(J143,'Store lookup'!A:C,2,0)</f>
        <v>A001</v>
      </c>
      <c r="Q143" s="6" t="str">
        <f>VLOOKUP(J143,'Store lookup'!A:C,3,0)</f>
        <v>Anaconda Bayswater</v>
      </c>
      <c r="R143" s="6" t="str">
        <f t="shared" si="2"/>
        <v>Ananconda</v>
      </c>
      <c r="S143" s="6" t="str">
        <f>VLOOKUP(I143,'FIN CAL LOOKUP'!A:J,7,1)</f>
        <v>DEC, FY24</v>
      </c>
      <c r="T143" s="6" t="str">
        <f>VLOOKUP(I143,'FIN CAL LOOKUP'!A:J,10,1)</f>
        <v>Q2, FY24</v>
      </c>
    </row>
    <row r="144" spans="1:20" hidden="1" x14ac:dyDescent="0.25">
      <c r="A144">
        <v>231624</v>
      </c>
      <c r="B144" t="s">
        <v>559</v>
      </c>
      <c r="C144" t="s">
        <v>560</v>
      </c>
      <c r="D144" t="s">
        <v>278</v>
      </c>
      <c r="E144" t="s">
        <v>264</v>
      </c>
      <c r="F144" t="s">
        <v>308</v>
      </c>
      <c r="G144" t="s">
        <v>266</v>
      </c>
      <c r="H144" s="5">
        <v>45173</v>
      </c>
      <c r="I144" s="5">
        <v>45246</v>
      </c>
      <c r="J144" t="s">
        <v>309</v>
      </c>
      <c r="K144" t="s">
        <v>268</v>
      </c>
      <c r="L144">
        <v>1</v>
      </c>
      <c r="M144" t="s">
        <v>310</v>
      </c>
      <c r="N144" t="s">
        <v>237</v>
      </c>
      <c r="O144">
        <v>1</v>
      </c>
      <c r="P144" s="6" t="str">
        <f>VLOOKUP(J144,'Store lookup'!A:C,2,0)</f>
        <v>A058</v>
      </c>
      <c r="Q144" s="6" t="str">
        <f>VLOOKUP(J144,'Store lookup'!A:C,3,0)</f>
        <v>Anaconda Hawthorn East</v>
      </c>
      <c r="R144" s="6" t="str">
        <f t="shared" si="2"/>
        <v>Ananconda</v>
      </c>
      <c r="S144" s="6" t="str">
        <f>VLOOKUP(I144,'FIN CAL LOOKUP'!A:J,7,1)</f>
        <v>NOV, FY24</v>
      </c>
      <c r="T144" s="6" t="str">
        <f>VLOOKUP(I144,'FIN CAL LOOKUP'!A:J,10,1)</f>
        <v>Q2, FY24</v>
      </c>
    </row>
    <row r="145" spans="1:20" hidden="1" x14ac:dyDescent="0.25">
      <c r="A145">
        <v>328927</v>
      </c>
      <c r="B145" t="s">
        <v>323</v>
      </c>
      <c r="C145" t="s">
        <v>324</v>
      </c>
      <c r="D145" t="s">
        <v>307</v>
      </c>
      <c r="E145" t="s">
        <v>264</v>
      </c>
      <c r="F145" t="s">
        <v>273</v>
      </c>
      <c r="G145" t="s">
        <v>266</v>
      </c>
      <c r="H145" s="5">
        <v>45173</v>
      </c>
      <c r="I145" s="5">
        <v>45218</v>
      </c>
      <c r="J145" t="s">
        <v>274</v>
      </c>
      <c r="K145" t="s">
        <v>268</v>
      </c>
      <c r="L145">
        <v>1</v>
      </c>
      <c r="M145" t="s">
        <v>275</v>
      </c>
      <c r="N145" t="s">
        <v>237</v>
      </c>
      <c r="O145">
        <v>1</v>
      </c>
      <c r="P145" s="6" t="str">
        <f>VLOOKUP(J145,'Store lookup'!A:C,2,0)</f>
        <v>A026</v>
      </c>
      <c r="Q145" s="6" t="str">
        <f>VLOOKUP(J145,'Store lookup'!A:C,3,0)</f>
        <v>Anaconda Springvale</v>
      </c>
      <c r="R145" s="6" t="str">
        <f t="shared" si="2"/>
        <v>Ananconda</v>
      </c>
      <c r="S145" s="6" t="str">
        <f>VLOOKUP(I145,'FIN CAL LOOKUP'!A:J,7,1)</f>
        <v>OCT, FY24</v>
      </c>
      <c r="T145" s="6" t="str">
        <f>VLOOKUP(I145,'FIN CAL LOOKUP'!A:J,10,1)</f>
        <v>Q2, FY24</v>
      </c>
    </row>
    <row r="146" spans="1:20" hidden="1" x14ac:dyDescent="0.25">
      <c r="A146">
        <v>203902</v>
      </c>
      <c r="B146" t="s">
        <v>319</v>
      </c>
      <c r="C146" t="s">
        <v>320</v>
      </c>
      <c r="D146" t="s">
        <v>278</v>
      </c>
      <c r="E146" t="s">
        <v>264</v>
      </c>
      <c r="F146" t="s">
        <v>273</v>
      </c>
      <c r="G146" t="s">
        <v>266</v>
      </c>
      <c r="H146" s="5">
        <v>45173</v>
      </c>
      <c r="I146" s="5">
        <v>45211</v>
      </c>
      <c r="J146" t="s">
        <v>274</v>
      </c>
      <c r="K146" t="s">
        <v>268</v>
      </c>
      <c r="L146">
        <v>2</v>
      </c>
      <c r="M146" t="s">
        <v>275</v>
      </c>
      <c r="N146" t="s">
        <v>237</v>
      </c>
      <c r="O146">
        <v>0</v>
      </c>
      <c r="P146" s="6" t="str">
        <f>VLOOKUP(J146,'Store lookup'!A:C,2,0)</f>
        <v>A026</v>
      </c>
      <c r="Q146" s="6" t="str">
        <f>VLOOKUP(J146,'Store lookup'!A:C,3,0)</f>
        <v>Anaconda Springvale</v>
      </c>
      <c r="R146" s="6" t="str">
        <f t="shared" si="2"/>
        <v>Ananconda</v>
      </c>
      <c r="S146" s="6" t="str">
        <f>VLOOKUP(I146,'FIN CAL LOOKUP'!A:J,7,1)</f>
        <v>OCT, FY24</v>
      </c>
      <c r="T146" s="6" t="str">
        <f>VLOOKUP(I146,'FIN CAL LOOKUP'!A:J,10,1)</f>
        <v>Q2, FY24</v>
      </c>
    </row>
    <row r="147" spans="1:20" hidden="1" x14ac:dyDescent="0.25">
      <c r="A147">
        <v>225211</v>
      </c>
      <c r="B147" t="s">
        <v>552</v>
      </c>
      <c r="C147" t="s">
        <v>561</v>
      </c>
      <c r="D147" t="s">
        <v>278</v>
      </c>
      <c r="E147" t="s">
        <v>264</v>
      </c>
      <c r="F147" t="s">
        <v>336</v>
      </c>
      <c r="G147" t="s">
        <v>266</v>
      </c>
      <c r="H147" s="5">
        <v>45173</v>
      </c>
      <c r="I147" s="5">
        <v>45210</v>
      </c>
      <c r="J147" t="s">
        <v>337</v>
      </c>
      <c r="K147" t="s">
        <v>268</v>
      </c>
      <c r="L147">
        <v>1</v>
      </c>
      <c r="M147" t="s">
        <v>338</v>
      </c>
      <c r="N147" t="s">
        <v>237</v>
      </c>
      <c r="O147">
        <v>1</v>
      </c>
      <c r="P147" s="6" t="str">
        <f>VLOOKUP(J147,'Store lookup'!A:C,2,0)</f>
        <v>A042</v>
      </c>
      <c r="Q147" s="6" t="str">
        <f>VLOOKUP(J147,'Store lookup'!A:C,3,0)</f>
        <v>Anaconda Maribyrnong</v>
      </c>
      <c r="R147" s="6" t="str">
        <f t="shared" si="2"/>
        <v>Ananconda</v>
      </c>
      <c r="S147" s="6" t="str">
        <f>VLOOKUP(I147,'FIN CAL LOOKUP'!A:J,7,1)</f>
        <v>OCT, FY24</v>
      </c>
      <c r="T147" s="6" t="str">
        <f>VLOOKUP(I147,'FIN CAL LOOKUP'!A:J,10,1)</f>
        <v>Q2, FY24</v>
      </c>
    </row>
    <row r="148" spans="1:20" hidden="1" x14ac:dyDescent="0.25">
      <c r="A148">
        <v>329837</v>
      </c>
      <c r="B148" t="s">
        <v>562</v>
      </c>
      <c r="C148" t="s">
        <v>563</v>
      </c>
      <c r="D148" t="s">
        <v>278</v>
      </c>
      <c r="E148" t="s">
        <v>264</v>
      </c>
      <c r="F148" t="s">
        <v>358</v>
      </c>
      <c r="G148" t="s">
        <v>266</v>
      </c>
      <c r="H148" s="5">
        <v>45173</v>
      </c>
      <c r="I148" s="5">
        <v>45204</v>
      </c>
      <c r="J148" t="s">
        <v>359</v>
      </c>
      <c r="K148" t="s">
        <v>268</v>
      </c>
      <c r="L148">
        <v>1</v>
      </c>
      <c r="M148" t="s">
        <v>360</v>
      </c>
      <c r="N148" t="s">
        <v>237</v>
      </c>
      <c r="O148">
        <v>1</v>
      </c>
      <c r="P148" s="6" t="str">
        <f>VLOOKUP(J148,'Store lookup'!A:C,2,0)</f>
        <v>A030</v>
      </c>
      <c r="Q148" s="6" t="str">
        <f>VLOOKUP(J148,'Store lookup'!A:C,3,0)</f>
        <v>Anaconda Hoppers Crossing</v>
      </c>
      <c r="R148" s="6" t="str">
        <f t="shared" si="2"/>
        <v>Ananconda</v>
      </c>
      <c r="S148" s="6" t="str">
        <f>VLOOKUP(I148,'FIN CAL LOOKUP'!A:J,7,1)</f>
        <v>OCT, FY24</v>
      </c>
      <c r="T148" s="6" t="str">
        <f>VLOOKUP(I148,'FIN CAL LOOKUP'!A:J,10,1)</f>
        <v>Q2, FY24</v>
      </c>
    </row>
    <row r="149" spans="1:20" hidden="1" x14ac:dyDescent="0.25">
      <c r="A149">
        <v>312588</v>
      </c>
      <c r="B149" t="s">
        <v>276</v>
      </c>
      <c r="C149" t="s">
        <v>277</v>
      </c>
      <c r="D149" t="s">
        <v>278</v>
      </c>
      <c r="E149" t="s">
        <v>264</v>
      </c>
      <c r="F149" t="s">
        <v>353</v>
      </c>
      <c r="G149" t="s">
        <v>266</v>
      </c>
      <c r="H149" s="5">
        <v>45131</v>
      </c>
      <c r="I149" s="5">
        <v>45146</v>
      </c>
      <c r="J149" t="s">
        <v>354</v>
      </c>
      <c r="K149" t="s">
        <v>268</v>
      </c>
      <c r="L149">
        <v>1</v>
      </c>
      <c r="M149" t="s">
        <v>355</v>
      </c>
      <c r="N149" t="s">
        <v>237</v>
      </c>
      <c r="O149">
        <v>1</v>
      </c>
      <c r="P149" s="6" t="str">
        <f>VLOOKUP(J149,'Store lookup'!A:C,2,0)</f>
        <v>A017</v>
      </c>
      <c r="Q149" s="6" t="str">
        <f>VLOOKUP(J149,'Store lookup'!A:C,3,0)</f>
        <v>Anaconda Narre Warren</v>
      </c>
      <c r="R149" s="6" t="str">
        <f t="shared" si="2"/>
        <v>Ananconda</v>
      </c>
      <c r="S149" s="6" t="str">
        <f>VLOOKUP(I149,'FIN CAL LOOKUP'!A:J,7,1)</f>
        <v>AUG, FY24</v>
      </c>
      <c r="T149" s="6" t="str">
        <f>VLOOKUP(I149,'FIN CAL LOOKUP'!A:J,10,1)</f>
        <v>Q1, FY24</v>
      </c>
    </row>
    <row r="150" spans="1:20" hidden="1" x14ac:dyDescent="0.25">
      <c r="A150">
        <v>317999</v>
      </c>
      <c r="B150" t="s">
        <v>564</v>
      </c>
      <c r="C150" t="s">
        <v>565</v>
      </c>
      <c r="D150" t="s">
        <v>272</v>
      </c>
      <c r="E150" t="s">
        <v>264</v>
      </c>
      <c r="F150" t="s">
        <v>308</v>
      </c>
      <c r="G150" t="s">
        <v>266</v>
      </c>
      <c r="H150" s="5">
        <v>45096</v>
      </c>
      <c r="I150" s="5">
        <v>45104</v>
      </c>
      <c r="J150" t="s">
        <v>309</v>
      </c>
      <c r="K150" t="s">
        <v>268</v>
      </c>
      <c r="L150">
        <v>1</v>
      </c>
      <c r="M150" t="s">
        <v>310</v>
      </c>
      <c r="N150" t="s">
        <v>237</v>
      </c>
      <c r="O150">
        <v>1</v>
      </c>
      <c r="P150" s="6" t="str">
        <f>VLOOKUP(J150,'Store lookup'!A:C,2,0)</f>
        <v>A058</v>
      </c>
      <c r="Q150" s="6" t="str">
        <f>VLOOKUP(J150,'Store lookup'!A:C,3,0)</f>
        <v>Anaconda Hawthorn East</v>
      </c>
      <c r="R150" s="6" t="str">
        <f t="shared" si="2"/>
        <v>Ananconda</v>
      </c>
      <c r="S150" s="6" t="str">
        <f>VLOOKUP(I150,'FIN CAL LOOKUP'!A:J,7,1)</f>
        <v>JUL, FY24</v>
      </c>
      <c r="T150" s="6" t="str">
        <f>VLOOKUP(I150,'FIN CAL LOOKUP'!A:J,10,1)</f>
        <v>Q1, FY24</v>
      </c>
    </row>
    <row r="151" spans="1:20" hidden="1" x14ac:dyDescent="0.25">
      <c r="A151">
        <v>298668</v>
      </c>
      <c r="B151" t="s">
        <v>566</v>
      </c>
      <c r="C151" t="s">
        <v>567</v>
      </c>
      <c r="D151" t="s">
        <v>333</v>
      </c>
      <c r="E151" t="s">
        <v>264</v>
      </c>
      <c r="F151" t="s">
        <v>568</v>
      </c>
      <c r="G151" t="s">
        <v>266</v>
      </c>
      <c r="H151" s="5">
        <v>45090</v>
      </c>
      <c r="I151" s="5">
        <v>45100</v>
      </c>
      <c r="J151" t="s">
        <v>54</v>
      </c>
      <c r="K151" t="s">
        <v>268</v>
      </c>
      <c r="L151">
        <v>1</v>
      </c>
      <c r="N151" t="s">
        <v>237</v>
      </c>
      <c r="O151">
        <v>1</v>
      </c>
      <c r="P151" s="6" t="str">
        <f>VLOOKUP(J151,'Store lookup'!A:C,2,0)</f>
        <v>A008</v>
      </c>
      <c r="Q151" s="6" t="str">
        <f>VLOOKUP(J151,'Store lookup'!A:C,3,0)</f>
        <v>Anaconda Mile End</v>
      </c>
      <c r="R151" s="6" t="str">
        <f t="shared" si="2"/>
        <v>Ananconda</v>
      </c>
      <c r="S151" s="6" t="str">
        <f>VLOOKUP(I151,'FIN CAL LOOKUP'!A:J,7,1)</f>
        <v>JUN, FY23</v>
      </c>
      <c r="T151" s="6" t="str">
        <f>VLOOKUP(I151,'FIN CAL LOOKUP'!A:J,10,1)</f>
        <v>Q4, FY23</v>
      </c>
    </row>
    <row r="152" spans="1:20" hidden="1" x14ac:dyDescent="0.25">
      <c r="A152">
        <v>316845</v>
      </c>
      <c r="B152" t="s">
        <v>379</v>
      </c>
      <c r="C152" t="s">
        <v>569</v>
      </c>
      <c r="D152" t="s">
        <v>278</v>
      </c>
      <c r="E152" t="s">
        <v>264</v>
      </c>
      <c r="F152" t="s">
        <v>353</v>
      </c>
      <c r="G152" t="s">
        <v>266</v>
      </c>
      <c r="H152" s="5">
        <v>45090</v>
      </c>
      <c r="I152" s="5">
        <v>45100</v>
      </c>
      <c r="J152" t="s">
        <v>354</v>
      </c>
      <c r="K152" t="s">
        <v>268</v>
      </c>
      <c r="L152">
        <v>1</v>
      </c>
      <c r="M152" t="s">
        <v>355</v>
      </c>
      <c r="N152" t="s">
        <v>237</v>
      </c>
      <c r="O152">
        <v>1</v>
      </c>
      <c r="P152" s="6" t="str">
        <f>VLOOKUP(J152,'Store lookup'!A:C,2,0)</f>
        <v>A017</v>
      </c>
      <c r="Q152" s="6" t="str">
        <f>VLOOKUP(J152,'Store lookup'!A:C,3,0)</f>
        <v>Anaconda Narre Warren</v>
      </c>
      <c r="R152" s="6" t="str">
        <f t="shared" si="2"/>
        <v>Ananconda</v>
      </c>
      <c r="S152" s="6" t="str">
        <f>VLOOKUP(I152,'FIN CAL LOOKUP'!A:J,7,1)</f>
        <v>JUN, FY23</v>
      </c>
      <c r="T152" s="6" t="str">
        <f>VLOOKUP(I152,'FIN CAL LOOKUP'!A:J,10,1)</f>
        <v>Q4, FY23</v>
      </c>
    </row>
    <row r="153" spans="1:20" hidden="1" x14ac:dyDescent="0.25">
      <c r="A153">
        <v>323134</v>
      </c>
      <c r="B153" t="s">
        <v>503</v>
      </c>
      <c r="C153" t="s">
        <v>504</v>
      </c>
      <c r="D153" t="s">
        <v>278</v>
      </c>
      <c r="E153" t="s">
        <v>264</v>
      </c>
      <c r="F153" t="s">
        <v>353</v>
      </c>
      <c r="G153" t="s">
        <v>266</v>
      </c>
      <c r="H153" s="5">
        <v>45085</v>
      </c>
      <c r="I153" s="5">
        <v>45182</v>
      </c>
      <c r="J153" t="s">
        <v>354</v>
      </c>
      <c r="K153" t="s">
        <v>268</v>
      </c>
      <c r="L153">
        <v>1</v>
      </c>
      <c r="M153" t="s">
        <v>355</v>
      </c>
      <c r="N153" t="s">
        <v>237</v>
      </c>
      <c r="O153">
        <v>1</v>
      </c>
      <c r="P153" s="6" t="str">
        <f>VLOOKUP(J153,'Store lookup'!A:C,2,0)</f>
        <v>A017</v>
      </c>
      <c r="Q153" s="6" t="str">
        <f>VLOOKUP(J153,'Store lookup'!A:C,3,0)</f>
        <v>Anaconda Narre Warren</v>
      </c>
      <c r="R153" s="6" t="str">
        <f t="shared" si="2"/>
        <v>Ananconda</v>
      </c>
      <c r="S153" s="6" t="str">
        <f>VLOOKUP(I153,'FIN CAL LOOKUP'!A:J,7,1)</f>
        <v>SEP, FY24</v>
      </c>
      <c r="T153" s="6" t="str">
        <f>VLOOKUP(I153,'FIN CAL LOOKUP'!A:J,10,1)</f>
        <v>Q1, FY24</v>
      </c>
    </row>
    <row r="154" spans="1:20" hidden="1" x14ac:dyDescent="0.25">
      <c r="A154">
        <v>298250</v>
      </c>
      <c r="B154" t="s">
        <v>442</v>
      </c>
      <c r="C154" t="s">
        <v>443</v>
      </c>
      <c r="D154" t="s">
        <v>278</v>
      </c>
      <c r="E154" t="s">
        <v>264</v>
      </c>
      <c r="F154" t="s">
        <v>368</v>
      </c>
      <c r="G154" t="s">
        <v>266</v>
      </c>
      <c r="H154" s="5">
        <v>45085</v>
      </c>
      <c r="I154" s="5">
        <v>45105</v>
      </c>
      <c r="J154" t="s">
        <v>369</v>
      </c>
      <c r="K154" t="s">
        <v>268</v>
      </c>
      <c r="L154">
        <v>1</v>
      </c>
      <c r="M154" t="s">
        <v>370</v>
      </c>
      <c r="N154" t="s">
        <v>237</v>
      </c>
      <c r="O154">
        <v>1</v>
      </c>
      <c r="P154" s="6" t="str">
        <f>VLOOKUP(J154,'Store lookup'!A:C,2,0)</f>
        <v>A032</v>
      </c>
      <c r="Q154" s="6" t="str">
        <f>VLOOKUP(J154,'Store lookup'!A:C,3,0)</f>
        <v>Anaconda Modbury</v>
      </c>
      <c r="R154" s="6" t="str">
        <f t="shared" si="2"/>
        <v>Ananconda</v>
      </c>
      <c r="S154" s="6" t="str">
        <f>VLOOKUP(I154,'FIN CAL LOOKUP'!A:J,7,1)</f>
        <v>JUL, FY24</v>
      </c>
      <c r="T154" s="6" t="str">
        <f>VLOOKUP(I154,'FIN CAL LOOKUP'!A:J,10,1)</f>
        <v>Q1, FY24</v>
      </c>
    </row>
    <row r="155" spans="1:20" hidden="1" x14ac:dyDescent="0.25">
      <c r="A155">
        <v>298748</v>
      </c>
      <c r="B155" t="s">
        <v>341</v>
      </c>
      <c r="C155" t="s">
        <v>342</v>
      </c>
      <c r="D155" t="s">
        <v>333</v>
      </c>
      <c r="E155" t="s">
        <v>264</v>
      </c>
      <c r="F155" t="s">
        <v>285</v>
      </c>
      <c r="G155" t="s">
        <v>266</v>
      </c>
      <c r="H155" s="5">
        <v>45084</v>
      </c>
      <c r="I155" s="5">
        <v>45092</v>
      </c>
      <c r="J155" t="s">
        <v>286</v>
      </c>
      <c r="K155" t="s">
        <v>268</v>
      </c>
      <c r="L155">
        <v>1</v>
      </c>
      <c r="M155" t="s">
        <v>287</v>
      </c>
      <c r="N155" t="s">
        <v>237</v>
      </c>
      <c r="O155">
        <v>1</v>
      </c>
      <c r="P155" s="6" t="str">
        <f>VLOOKUP(J155,'Store lookup'!A:C,2,0)</f>
        <v>A040</v>
      </c>
      <c r="Q155" s="6" t="str">
        <f>VLOOKUP(J155,'Store lookup'!A:C,3,0)</f>
        <v>Anaconda Watergardens</v>
      </c>
      <c r="R155" s="6" t="str">
        <f t="shared" si="2"/>
        <v>Ananconda</v>
      </c>
      <c r="S155" s="6" t="str">
        <f>VLOOKUP(I155,'FIN CAL LOOKUP'!A:J,7,1)</f>
        <v>JUN, FY23</v>
      </c>
      <c r="T155" s="6" t="str">
        <f>VLOOKUP(I155,'FIN CAL LOOKUP'!A:J,10,1)</f>
        <v>Q4, FY23</v>
      </c>
    </row>
    <row r="156" spans="1:20" hidden="1" x14ac:dyDescent="0.25">
      <c r="A156">
        <v>234423</v>
      </c>
      <c r="B156" t="s">
        <v>498</v>
      </c>
      <c r="C156" t="s">
        <v>570</v>
      </c>
      <c r="D156" t="s">
        <v>333</v>
      </c>
      <c r="E156" t="s">
        <v>264</v>
      </c>
      <c r="F156" t="s">
        <v>336</v>
      </c>
      <c r="G156" t="s">
        <v>266</v>
      </c>
      <c r="H156" s="5">
        <v>45069</v>
      </c>
      <c r="I156" s="5">
        <v>45071</v>
      </c>
      <c r="J156" t="s">
        <v>337</v>
      </c>
      <c r="K156" t="s">
        <v>268</v>
      </c>
      <c r="L156">
        <v>1</v>
      </c>
      <c r="M156" t="s">
        <v>338</v>
      </c>
      <c r="N156" t="s">
        <v>237</v>
      </c>
      <c r="O156">
        <v>1</v>
      </c>
      <c r="P156" s="6" t="str">
        <f>VLOOKUP(J156,'Store lookup'!A:C,2,0)</f>
        <v>A042</v>
      </c>
      <c r="Q156" s="6" t="str">
        <f>VLOOKUP(J156,'Store lookup'!A:C,3,0)</f>
        <v>Anaconda Maribyrnong</v>
      </c>
      <c r="R156" s="6" t="str">
        <f t="shared" si="2"/>
        <v>Ananconda</v>
      </c>
      <c r="S156" s="6" t="str">
        <f>VLOOKUP(I156,'FIN CAL LOOKUP'!A:J,7,1)</f>
        <v>MAY, FY23</v>
      </c>
      <c r="T156" s="6" t="str">
        <f>VLOOKUP(I156,'FIN CAL LOOKUP'!A:J,10,1)</f>
        <v>Q4, FY23</v>
      </c>
    </row>
    <row r="157" spans="1:20" hidden="1" x14ac:dyDescent="0.25">
      <c r="A157">
        <v>308528</v>
      </c>
      <c r="B157" t="s">
        <v>571</v>
      </c>
      <c r="C157" t="s">
        <v>572</v>
      </c>
      <c r="D157" t="s">
        <v>333</v>
      </c>
      <c r="E157" t="s">
        <v>264</v>
      </c>
      <c r="F157" t="s">
        <v>308</v>
      </c>
      <c r="G157" t="s">
        <v>266</v>
      </c>
      <c r="H157" s="5">
        <v>45065</v>
      </c>
      <c r="I157" s="5">
        <v>45114</v>
      </c>
      <c r="J157" t="s">
        <v>309</v>
      </c>
      <c r="K157" t="s">
        <v>268</v>
      </c>
      <c r="L157">
        <v>1</v>
      </c>
      <c r="M157" t="s">
        <v>310</v>
      </c>
      <c r="N157" t="s">
        <v>237</v>
      </c>
      <c r="O157">
        <v>1</v>
      </c>
      <c r="P157" s="6" t="str">
        <f>VLOOKUP(J157,'Store lookup'!A:C,2,0)</f>
        <v>A058</v>
      </c>
      <c r="Q157" s="6" t="str">
        <f>VLOOKUP(J157,'Store lookup'!A:C,3,0)</f>
        <v>Anaconda Hawthorn East</v>
      </c>
      <c r="R157" s="6" t="str">
        <f t="shared" si="2"/>
        <v>Ananconda</v>
      </c>
      <c r="S157" s="6" t="str">
        <f>VLOOKUP(I157,'FIN CAL LOOKUP'!A:J,7,1)</f>
        <v>JUL, FY24</v>
      </c>
      <c r="T157" s="6" t="str">
        <f>VLOOKUP(I157,'FIN CAL LOOKUP'!A:J,10,1)</f>
        <v>Q1, FY24</v>
      </c>
    </row>
    <row r="158" spans="1:20" hidden="1" x14ac:dyDescent="0.25">
      <c r="A158">
        <v>300560</v>
      </c>
      <c r="B158" t="s">
        <v>573</v>
      </c>
      <c r="C158" t="s">
        <v>574</v>
      </c>
      <c r="D158" t="s">
        <v>333</v>
      </c>
      <c r="E158" t="s">
        <v>264</v>
      </c>
      <c r="F158" t="s">
        <v>575</v>
      </c>
      <c r="G158" t="s">
        <v>266</v>
      </c>
      <c r="H158" s="5">
        <v>45063</v>
      </c>
      <c r="I158" s="5">
        <v>45091</v>
      </c>
      <c r="J158" t="s">
        <v>576</v>
      </c>
      <c r="K158" t="s">
        <v>268</v>
      </c>
      <c r="L158">
        <v>1</v>
      </c>
      <c r="N158" t="s">
        <v>237</v>
      </c>
      <c r="O158">
        <v>1</v>
      </c>
      <c r="P158" s="6" t="str">
        <f>VLOOKUP(J158,'Store lookup'!A:C,2,0)</f>
        <v>A012</v>
      </c>
      <c r="Q158" s="6" t="str">
        <f>VLOOKUP(J158,'Store lookup'!A:C,3,0)</f>
        <v>Anaconda Penrith</v>
      </c>
      <c r="R158" s="6" t="str">
        <f t="shared" si="2"/>
        <v>Ananconda</v>
      </c>
      <c r="S158" s="6" t="str">
        <f>VLOOKUP(I158,'FIN CAL LOOKUP'!A:J,7,1)</f>
        <v>JUN, FY23</v>
      </c>
      <c r="T158" s="6" t="str">
        <f>VLOOKUP(I158,'FIN CAL LOOKUP'!A:J,10,1)</f>
        <v>Q4, FY23</v>
      </c>
    </row>
    <row r="159" spans="1:20" hidden="1" x14ac:dyDescent="0.25">
      <c r="A159">
        <v>328420</v>
      </c>
      <c r="B159" t="s">
        <v>485</v>
      </c>
      <c r="C159" t="s">
        <v>486</v>
      </c>
      <c r="D159" t="s">
        <v>333</v>
      </c>
      <c r="E159" t="s">
        <v>264</v>
      </c>
      <c r="F159" t="s">
        <v>273</v>
      </c>
      <c r="G159" t="s">
        <v>266</v>
      </c>
      <c r="H159" s="5">
        <v>45063</v>
      </c>
      <c r="I159" s="5">
        <v>45086</v>
      </c>
      <c r="J159" t="s">
        <v>274</v>
      </c>
      <c r="K159" t="s">
        <v>268</v>
      </c>
      <c r="L159">
        <v>1</v>
      </c>
      <c r="M159" t="s">
        <v>275</v>
      </c>
      <c r="N159" t="s">
        <v>237</v>
      </c>
      <c r="O159">
        <v>1</v>
      </c>
      <c r="P159" s="6" t="str">
        <f>VLOOKUP(J159,'Store lookup'!A:C,2,0)</f>
        <v>A026</v>
      </c>
      <c r="Q159" s="6" t="str">
        <f>VLOOKUP(J159,'Store lookup'!A:C,3,0)</f>
        <v>Anaconda Springvale</v>
      </c>
      <c r="R159" s="6" t="str">
        <f t="shared" si="2"/>
        <v>Ananconda</v>
      </c>
      <c r="S159" s="6" t="str">
        <f>VLOOKUP(I159,'FIN CAL LOOKUP'!A:J,7,1)</f>
        <v>JUN, FY23</v>
      </c>
      <c r="T159" s="6" t="str">
        <f>VLOOKUP(I159,'FIN CAL LOOKUP'!A:J,10,1)</f>
        <v>Q4, FY23</v>
      </c>
    </row>
    <row r="160" spans="1:20" hidden="1" x14ac:dyDescent="0.25">
      <c r="A160">
        <v>312091</v>
      </c>
      <c r="B160" t="s">
        <v>577</v>
      </c>
      <c r="C160" t="s">
        <v>578</v>
      </c>
      <c r="D160" t="s">
        <v>272</v>
      </c>
      <c r="E160" t="s">
        <v>264</v>
      </c>
      <c r="F160" t="s">
        <v>279</v>
      </c>
      <c r="G160" t="s">
        <v>266</v>
      </c>
      <c r="H160" s="5">
        <v>45061</v>
      </c>
      <c r="I160" s="5">
        <v>45083</v>
      </c>
      <c r="J160" t="s">
        <v>280</v>
      </c>
      <c r="K160" t="s">
        <v>268</v>
      </c>
      <c r="L160">
        <v>1</v>
      </c>
      <c r="M160" t="s">
        <v>281</v>
      </c>
      <c r="N160" t="s">
        <v>237</v>
      </c>
      <c r="O160">
        <v>1</v>
      </c>
      <c r="P160" s="6" t="str">
        <f>VLOOKUP(J160,'Store lookup'!A:C,2,0)</f>
        <v>A041</v>
      </c>
      <c r="Q160" s="6" t="str">
        <f>VLOOKUP(J160,'Store lookup'!A:C,3,0)</f>
        <v>Anaconda Box Hill</v>
      </c>
      <c r="R160" s="6" t="str">
        <f t="shared" si="2"/>
        <v>Ananconda</v>
      </c>
      <c r="S160" s="6" t="str">
        <f>VLOOKUP(I160,'FIN CAL LOOKUP'!A:J,7,1)</f>
        <v>JUN, FY23</v>
      </c>
      <c r="T160" s="6" t="str">
        <f>VLOOKUP(I160,'FIN CAL LOOKUP'!A:J,10,1)</f>
        <v>Q4, FY23</v>
      </c>
    </row>
    <row r="161" spans="1:20" hidden="1" x14ac:dyDescent="0.25">
      <c r="A161">
        <v>317132</v>
      </c>
      <c r="B161" t="s">
        <v>579</v>
      </c>
      <c r="C161" t="s">
        <v>580</v>
      </c>
      <c r="D161" t="s">
        <v>272</v>
      </c>
      <c r="E161" t="s">
        <v>264</v>
      </c>
      <c r="F161" t="s">
        <v>353</v>
      </c>
      <c r="G161" t="s">
        <v>266</v>
      </c>
      <c r="H161" s="5">
        <v>45057</v>
      </c>
      <c r="I161" s="5">
        <v>45174</v>
      </c>
      <c r="J161" t="s">
        <v>354</v>
      </c>
      <c r="K161" t="s">
        <v>268</v>
      </c>
      <c r="L161">
        <v>1</v>
      </c>
      <c r="M161" t="s">
        <v>355</v>
      </c>
      <c r="N161" t="s">
        <v>237</v>
      </c>
      <c r="O161">
        <v>1</v>
      </c>
      <c r="P161" s="6" t="str">
        <f>VLOOKUP(J161,'Store lookup'!A:C,2,0)</f>
        <v>A017</v>
      </c>
      <c r="Q161" s="6" t="str">
        <f>VLOOKUP(J161,'Store lookup'!A:C,3,0)</f>
        <v>Anaconda Narre Warren</v>
      </c>
      <c r="R161" s="6" t="str">
        <f t="shared" si="2"/>
        <v>Ananconda</v>
      </c>
      <c r="S161" s="6" t="str">
        <f>VLOOKUP(I161,'FIN CAL LOOKUP'!A:J,7,1)</f>
        <v>SEP, FY24</v>
      </c>
      <c r="T161" s="6" t="str">
        <f>VLOOKUP(I161,'FIN CAL LOOKUP'!A:J,10,1)</f>
        <v>Q1, FY24</v>
      </c>
    </row>
    <row r="162" spans="1:20" hidden="1" x14ac:dyDescent="0.25">
      <c r="A162">
        <v>325114</v>
      </c>
      <c r="B162" t="s">
        <v>581</v>
      </c>
      <c r="C162" t="s">
        <v>582</v>
      </c>
      <c r="D162" t="s">
        <v>333</v>
      </c>
      <c r="E162" t="s">
        <v>264</v>
      </c>
      <c r="F162" t="s">
        <v>358</v>
      </c>
      <c r="G162" t="s">
        <v>266</v>
      </c>
      <c r="H162" s="5">
        <v>45057</v>
      </c>
      <c r="I162" s="5">
        <v>45149</v>
      </c>
      <c r="J162" t="s">
        <v>359</v>
      </c>
      <c r="K162" t="s">
        <v>268</v>
      </c>
      <c r="L162">
        <v>1</v>
      </c>
      <c r="M162" t="s">
        <v>360</v>
      </c>
      <c r="N162" t="s">
        <v>237</v>
      </c>
      <c r="O162">
        <v>1</v>
      </c>
      <c r="P162" s="6" t="str">
        <f>VLOOKUP(J162,'Store lookup'!A:C,2,0)</f>
        <v>A030</v>
      </c>
      <c r="Q162" s="6" t="str">
        <f>VLOOKUP(J162,'Store lookup'!A:C,3,0)</f>
        <v>Anaconda Hoppers Crossing</v>
      </c>
      <c r="R162" s="6" t="str">
        <f t="shared" si="2"/>
        <v>Ananconda</v>
      </c>
      <c r="S162" s="6" t="str">
        <f>VLOOKUP(I162,'FIN CAL LOOKUP'!A:J,7,1)</f>
        <v>AUG, FY24</v>
      </c>
      <c r="T162" s="6" t="str">
        <f>VLOOKUP(I162,'FIN CAL LOOKUP'!A:J,10,1)</f>
        <v>Q1, FY24</v>
      </c>
    </row>
    <row r="163" spans="1:20" hidden="1" x14ac:dyDescent="0.25">
      <c r="A163">
        <v>297887</v>
      </c>
      <c r="B163" t="s">
        <v>489</v>
      </c>
      <c r="C163" t="s">
        <v>490</v>
      </c>
      <c r="D163" t="s">
        <v>272</v>
      </c>
      <c r="E163" t="s">
        <v>264</v>
      </c>
      <c r="F163" t="s">
        <v>308</v>
      </c>
      <c r="G163" t="s">
        <v>266</v>
      </c>
      <c r="H163" s="5">
        <v>45057</v>
      </c>
      <c r="I163" s="5">
        <v>45147</v>
      </c>
      <c r="J163" t="s">
        <v>309</v>
      </c>
      <c r="K163" t="s">
        <v>268</v>
      </c>
      <c r="L163">
        <v>1</v>
      </c>
      <c r="M163" t="s">
        <v>310</v>
      </c>
      <c r="N163" t="s">
        <v>237</v>
      </c>
      <c r="O163">
        <v>1</v>
      </c>
      <c r="P163" s="6" t="str">
        <f>VLOOKUP(J163,'Store lookup'!A:C,2,0)</f>
        <v>A058</v>
      </c>
      <c r="Q163" s="6" t="str">
        <f>VLOOKUP(J163,'Store lookup'!A:C,3,0)</f>
        <v>Anaconda Hawthorn East</v>
      </c>
      <c r="R163" s="6" t="str">
        <f t="shared" si="2"/>
        <v>Ananconda</v>
      </c>
      <c r="S163" s="6" t="str">
        <f>VLOOKUP(I163,'FIN CAL LOOKUP'!A:J,7,1)</f>
        <v>AUG, FY24</v>
      </c>
      <c r="T163" s="6" t="str">
        <f>VLOOKUP(I163,'FIN CAL LOOKUP'!A:J,10,1)</f>
        <v>Q1, FY24</v>
      </c>
    </row>
    <row r="164" spans="1:20" hidden="1" x14ac:dyDescent="0.25">
      <c r="A164">
        <v>302779</v>
      </c>
      <c r="B164" t="s">
        <v>583</v>
      </c>
      <c r="C164" t="s">
        <v>584</v>
      </c>
      <c r="D164" t="s">
        <v>333</v>
      </c>
      <c r="E164" t="s">
        <v>264</v>
      </c>
      <c r="F164" t="s">
        <v>358</v>
      </c>
      <c r="G164" t="s">
        <v>266</v>
      </c>
      <c r="H164" s="5">
        <v>45057</v>
      </c>
      <c r="I164" s="5">
        <v>45146</v>
      </c>
      <c r="J164" t="s">
        <v>359</v>
      </c>
      <c r="K164" t="s">
        <v>268</v>
      </c>
      <c r="L164">
        <v>1</v>
      </c>
      <c r="M164" t="s">
        <v>360</v>
      </c>
      <c r="N164" t="s">
        <v>237</v>
      </c>
      <c r="O164">
        <v>1</v>
      </c>
      <c r="P164" s="6" t="str">
        <f>VLOOKUP(J164,'Store lookup'!A:C,2,0)</f>
        <v>A030</v>
      </c>
      <c r="Q164" s="6" t="str">
        <f>VLOOKUP(J164,'Store lookup'!A:C,3,0)</f>
        <v>Anaconda Hoppers Crossing</v>
      </c>
      <c r="R164" s="6" t="str">
        <f t="shared" si="2"/>
        <v>Ananconda</v>
      </c>
      <c r="S164" s="6" t="str">
        <f>VLOOKUP(I164,'FIN CAL LOOKUP'!A:J,7,1)</f>
        <v>AUG, FY24</v>
      </c>
      <c r="T164" s="6" t="str">
        <f>VLOOKUP(I164,'FIN CAL LOOKUP'!A:J,10,1)</f>
        <v>Q1, FY24</v>
      </c>
    </row>
    <row r="165" spans="1:20" hidden="1" x14ac:dyDescent="0.25">
      <c r="A165">
        <v>313191</v>
      </c>
      <c r="B165" t="s">
        <v>585</v>
      </c>
      <c r="C165" t="s">
        <v>586</v>
      </c>
      <c r="D165" t="s">
        <v>307</v>
      </c>
      <c r="E165" t="s">
        <v>264</v>
      </c>
      <c r="F165" t="s">
        <v>358</v>
      </c>
      <c r="G165" t="s">
        <v>266</v>
      </c>
      <c r="H165" s="5">
        <v>45057</v>
      </c>
      <c r="I165" s="5">
        <v>45090</v>
      </c>
      <c r="J165" t="s">
        <v>359</v>
      </c>
      <c r="K165" t="s">
        <v>268</v>
      </c>
      <c r="L165">
        <v>1</v>
      </c>
      <c r="M165" t="s">
        <v>360</v>
      </c>
      <c r="N165" t="s">
        <v>237</v>
      </c>
      <c r="O165">
        <v>1</v>
      </c>
      <c r="P165" s="6" t="str">
        <f>VLOOKUP(J165,'Store lookup'!A:C,2,0)</f>
        <v>A030</v>
      </c>
      <c r="Q165" s="6" t="str">
        <f>VLOOKUP(J165,'Store lookup'!A:C,3,0)</f>
        <v>Anaconda Hoppers Crossing</v>
      </c>
      <c r="R165" s="6" t="str">
        <f t="shared" si="2"/>
        <v>Ananconda</v>
      </c>
      <c r="S165" s="6" t="str">
        <f>VLOOKUP(I165,'FIN CAL LOOKUP'!A:J,7,1)</f>
        <v>JUN, FY23</v>
      </c>
      <c r="T165" s="6" t="str">
        <f>VLOOKUP(I165,'FIN CAL LOOKUP'!A:J,10,1)</f>
        <v>Q4, FY23</v>
      </c>
    </row>
    <row r="166" spans="1:20" hidden="1" x14ac:dyDescent="0.25">
      <c r="A166">
        <v>202233</v>
      </c>
      <c r="B166" t="s">
        <v>587</v>
      </c>
      <c r="C166" t="s">
        <v>588</v>
      </c>
      <c r="D166" t="s">
        <v>272</v>
      </c>
      <c r="E166" t="s">
        <v>264</v>
      </c>
      <c r="F166" t="s">
        <v>297</v>
      </c>
      <c r="G166" t="s">
        <v>266</v>
      </c>
      <c r="H166" s="5">
        <v>45056</v>
      </c>
      <c r="I166" s="5">
        <v>45107</v>
      </c>
      <c r="J166" t="s">
        <v>298</v>
      </c>
      <c r="K166" t="s">
        <v>268</v>
      </c>
      <c r="L166">
        <v>1</v>
      </c>
      <c r="M166" t="s">
        <v>299</v>
      </c>
      <c r="N166" t="s">
        <v>237</v>
      </c>
      <c r="O166">
        <v>1</v>
      </c>
      <c r="P166" s="6" t="str">
        <f>VLOOKUP(J166,'Store lookup'!A:C,2,0)</f>
        <v>A039</v>
      </c>
      <c r="Q166" s="6" t="str">
        <f>VLOOKUP(J166,'Store lookup'!A:C,3,0)</f>
        <v>Anaconda Highett</v>
      </c>
      <c r="R166" s="6" t="str">
        <f t="shared" si="2"/>
        <v>Ananconda</v>
      </c>
      <c r="S166" s="6" t="str">
        <f>VLOOKUP(I166,'FIN CAL LOOKUP'!A:J,7,1)</f>
        <v>JUL, FY24</v>
      </c>
      <c r="T166" s="6" t="str">
        <f>VLOOKUP(I166,'FIN CAL LOOKUP'!A:J,10,1)</f>
        <v>Q1, FY24</v>
      </c>
    </row>
    <row r="167" spans="1:20" hidden="1" x14ac:dyDescent="0.25">
      <c r="A167">
        <v>317339</v>
      </c>
      <c r="B167" t="s">
        <v>589</v>
      </c>
      <c r="C167" t="s">
        <v>590</v>
      </c>
      <c r="E167" t="s">
        <v>264</v>
      </c>
      <c r="F167" t="s">
        <v>308</v>
      </c>
      <c r="G167" t="s">
        <v>266</v>
      </c>
      <c r="H167" s="5">
        <v>45056</v>
      </c>
      <c r="I167" s="5">
        <v>45077</v>
      </c>
      <c r="J167" t="s">
        <v>309</v>
      </c>
      <c r="K167" t="s">
        <v>268</v>
      </c>
      <c r="L167">
        <v>1</v>
      </c>
      <c r="M167" t="s">
        <v>310</v>
      </c>
      <c r="N167" t="s">
        <v>237</v>
      </c>
      <c r="O167">
        <v>1</v>
      </c>
      <c r="P167" s="6" t="str">
        <f>VLOOKUP(J167,'Store lookup'!A:C,2,0)</f>
        <v>A058</v>
      </c>
      <c r="Q167" s="6" t="str">
        <f>VLOOKUP(J167,'Store lookup'!A:C,3,0)</f>
        <v>Anaconda Hawthorn East</v>
      </c>
      <c r="R167" s="6" t="str">
        <f t="shared" si="2"/>
        <v>Ananconda</v>
      </c>
      <c r="S167" s="6" t="str">
        <f>VLOOKUP(I167,'FIN CAL LOOKUP'!A:J,7,1)</f>
        <v>JUN, FY23</v>
      </c>
      <c r="T167" s="6" t="str">
        <f>VLOOKUP(I167,'FIN CAL LOOKUP'!A:J,10,1)</f>
        <v>Q4, FY23</v>
      </c>
    </row>
    <row r="168" spans="1:20" hidden="1" x14ac:dyDescent="0.25">
      <c r="A168">
        <v>232254</v>
      </c>
      <c r="B168" t="s">
        <v>591</v>
      </c>
      <c r="C168" t="s">
        <v>592</v>
      </c>
      <c r="D168" t="s">
        <v>333</v>
      </c>
      <c r="E168" t="s">
        <v>264</v>
      </c>
      <c r="F168" t="s">
        <v>593</v>
      </c>
      <c r="G168" t="s">
        <v>266</v>
      </c>
      <c r="H168" s="5">
        <v>45056</v>
      </c>
      <c r="I168" s="5">
        <v>45062</v>
      </c>
      <c r="J168" t="s">
        <v>594</v>
      </c>
      <c r="K168" t="s">
        <v>268</v>
      </c>
      <c r="L168">
        <v>1</v>
      </c>
      <c r="N168" t="s">
        <v>237</v>
      </c>
      <c r="O168">
        <v>1</v>
      </c>
      <c r="P168" s="6" t="str">
        <f>VLOOKUP(J168,'Store lookup'!A:C,2,0)</f>
        <v>A002</v>
      </c>
      <c r="Q168" s="6" t="str">
        <f>VLOOKUP(J168,'Store lookup'!A:C,3,0)</f>
        <v>Anaconda Ashmore</v>
      </c>
      <c r="R168" s="6" t="str">
        <f t="shared" si="2"/>
        <v>Ananconda</v>
      </c>
      <c r="S168" s="6" t="str">
        <f>VLOOKUP(I168,'FIN CAL LOOKUP'!A:J,7,1)</f>
        <v>MAY, FY23</v>
      </c>
      <c r="T168" s="6" t="str">
        <f>VLOOKUP(I168,'FIN CAL LOOKUP'!A:J,10,1)</f>
        <v>Q4, FY23</v>
      </c>
    </row>
    <row r="169" spans="1:20" hidden="1" x14ac:dyDescent="0.25">
      <c r="A169">
        <v>313944</v>
      </c>
      <c r="B169" t="s">
        <v>496</v>
      </c>
      <c r="C169" t="s">
        <v>497</v>
      </c>
      <c r="D169" t="s">
        <v>307</v>
      </c>
      <c r="E169" t="s">
        <v>264</v>
      </c>
      <c r="F169" t="s">
        <v>593</v>
      </c>
      <c r="G169" t="s">
        <v>266</v>
      </c>
      <c r="H169" s="5">
        <v>45056</v>
      </c>
      <c r="I169" s="5">
        <v>45061</v>
      </c>
      <c r="J169" t="s">
        <v>594</v>
      </c>
      <c r="K169" t="s">
        <v>268</v>
      </c>
      <c r="L169">
        <v>1</v>
      </c>
      <c r="N169" t="s">
        <v>237</v>
      </c>
      <c r="O169">
        <v>1</v>
      </c>
      <c r="P169" s="6" t="str">
        <f>VLOOKUP(J169,'Store lookup'!A:C,2,0)</f>
        <v>A002</v>
      </c>
      <c r="Q169" s="6" t="str">
        <f>VLOOKUP(J169,'Store lookup'!A:C,3,0)</f>
        <v>Anaconda Ashmore</v>
      </c>
      <c r="R169" s="6" t="str">
        <f t="shared" si="2"/>
        <v>Ananconda</v>
      </c>
      <c r="S169" s="6" t="str">
        <f>VLOOKUP(I169,'FIN CAL LOOKUP'!A:J,7,1)</f>
        <v>MAY, FY23</v>
      </c>
      <c r="T169" s="6" t="str">
        <f>VLOOKUP(I169,'FIN CAL LOOKUP'!A:J,10,1)</f>
        <v>Q4, FY23</v>
      </c>
    </row>
    <row r="170" spans="1:20" hidden="1" x14ac:dyDescent="0.25">
      <c r="A170">
        <v>240563</v>
      </c>
      <c r="B170" t="s">
        <v>595</v>
      </c>
      <c r="C170" t="s">
        <v>596</v>
      </c>
      <c r="D170" t="s">
        <v>272</v>
      </c>
      <c r="E170" t="s">
        <v>264</v>
      </c>
      <c r="F170" t="s">
        <v>302</v>
      </c>
      <c r="G170" t="s">
        <v>266</v>
      </c>
      <c r="H170" s="5">
        <v>45055</v>
      </c>
      <c r="I170" s="5">
        <v>45083</v>
      </c>
      <c r="J170" t="s">
        <v>303</v>
      </c>
      <c r="K170" t="s">
        <v>268</v>
      </c>
      <c r="L170">
        <v>1</v>
      </c>
      <c r="M170" t="s">
        <v>304</v>
      </c>
      <c r="N170" t="s">
        <v>237</v>
      </c>
      <c r="O170">
        <v>1</v>
      </c>
      <c r="P170" s="6" t="str">
        <f>VLOOKUP(J170,'Store lookup'!A:C,2,0)</f>
        <v>A020</v>
      </c>
      <c r="Q170" s="6" t="str">
        <f>VLOOKUP(J170,'Store lookup'!A:C,3,0)</f>
        <v>Anaconda Preston</v>
      </c>
      <c r="R170" s="6" t="str">
        <f t="shared" si="2"/>
        <v>Ananconda</v>
      </c>
      <c r="S170" s="6" t="str">
        <f>VLOOKUP(I170,'FIN CAL LOOKUP'!A:J,7,1)</f>
        <v>JUN, FY23</v>
      </c>
      <c r="T170" s="6" t="str">
        <f>VLOOKUP(I170,'FIN CAL LOOKUP'!A:J,10,1)</f>
        <v>Q4, FY23</v>
      </c>
    </row>
    <row r="171" spans="1:20" hidden="1" x14ac:dyDescent="0.25">
      <c r="A171">
        <v>324998</v>
      </c>
      <c r="B171" t="s">
        <v>597</v>
      </c>
      <c r="C171" t="s">
        <v>598</v>
      </c>
      <c r="D171" t="s">
        <v>278</v>
      </c>
      <c r="E171" t="s">
        <v>264</v>
      </c>
      <c r="F171" t="s">
        <v>358</v>
      </c>
      <c r="G171" t="s">
        <v>266</v>
      </c>
      <c r="H171" s="5">
        <v>45055</v>
      </c>
      <c r="I171" s="5">
        <v>45079</v>
      </c>
      <c r="J171" t="s">
        <v>359</v>
      </c>
      <c r="K171" t="s">
        <v>268</v>
      </c>
      <c r="L171">
        <v>1</v>
      </c>
      <c r="M171" t="s">
        <v>360</v>
      </c>
      <c r="N171" t="s">
        <v>237</v>
      </c>
      <c r="O171">
        <v>1</v>
      </c>
      <c r="P171" s="6" t="str">
        <f>VLOOKUP(J171,'Store lookup'!A:C,2,0)</f>
        <v>A030</v>
      </c>
      <c r="Q171" s="6" t="str">
        <f>VLOOKUP(J171,'Store lookup'!A:C,3,0)</f>
        <v>Anaconda Hoppers Crossing</v>
      </c>
      <c r="R171" s="6" t="str">
        <f t="shared" si="2"/>
        <v>Ananconda</v>
      </c>
      <c r="S171" s="6" t="str">
        <f>VLOOKUP(I171,'FIN CAL LOOKUP'!A:J,7,1)</f>
        <v>JUN, FY23</v>
      </c>
      <c r="T171" s="6" t="str">
        <f>VLOOKUP(I171,'FIN CAL LOOKUP'!A:J,10,1)</f>
        <v>Q4, FY23</v>
      </c>
    </row>
    <row r="172" spans="1:20" hidden="1" x14ac:dyDescent="0.25">
      <c r="A172">
        <v>327323</v>
      </c>
      <c r="B172" t="s">
        <v>543</v>
      </c>
      <c r="C172" t="s">
        <v>544</v>
      </c>
      <c r="D172" t="s">
        <v>278</v>
      </c>
      <c r="E172" t="s">
        <v>264</v>
      </c>
      <c r="F172" t="s">
        <v>302</v>
      </c>
      <c r="G172" t="s">
        <v>266</v>
      </c>
      <c r="H172" s="5">
        <v>45055</v>
      </c>
      <c r="I172" s="5">
        <v>45069</v>
      </c>
      <c r="J172" t="s">
        <v>303</v>
      </c>
      <c r="K172" t="s">
        <v>268</v>
      </c>
      <c r="L172">
        <v>1</v>
      </c>
      <c r="M172" t="s">
        <v>304</v>
      </c>
      <c r="N172" t="s">
        <v>237</v>
      </c>
      <c r="O172">
        <v>1</v>
      </c>
      <c r="P172" s="6" t="str">
        <f>VLOOKUP(J172,'Store lookup'!A:C,2,0)</f>
        <v>A020</v>
      </c>
      <c r="Q172" s="6" t="str">
        <f>VLOOKUP(J172,'Store lookup'!A:C,3,0)</f>
        <v>Anaconda Preston</v>
      </c>
      <c r="R172" s="6" t="str">
        <f t="shared" si="2"/>
        <v>Ananconda</v>
      </c>
      <c r="S172" s="6" t="str">
        <f>VLOOKUP(I172,'FIN CAL LOOKUP'!A:J,7,1)</f>
        <v>MAY, FY23</v>
      </c>
      <c r="T172" s="6" t="str">
        <f>VLOOKUP(I172,'FIN CAL LOOKUP'!A:J,10,1)</f>
        <v>Q4, FY23</v>
      </c>
    </row>
    <row r="173" spans="1:20" hidden="1" x14ac:dyDescent="0.25">
      <c r="A173">
        <v>316801</v>
      </c>
      <c r="B173" t="s">
        <v>599</v>
      </c>
      <c r="C173" t="s">
        <v>600</v>
      </c>
      <c r="D173" t="s">
        <v>278</v>
      </c>
      <c r="E173" t="s">
        <v>264</v>
      </c>
      <c r="F173" t="s">
        <v>302</v>
      </c>
      <c r="G173" t="s">
        <v>266</v>
      </c>
      <c r="H173" s="5">
        <v>45055</v>
      </c>
      <c r="I173" s="5">
        <v>45062</v>
      </c>
      <c r="J173" t="s">
        <v>303</v>
      </c>
      <c r="K173" t="s">
        <v>268</v>
      </c>
      <c r="L173">
        <v>1</v>
      </c>
      <c r="M173" t="s">
        <v>304</v>
      </c>
      <c r="N173" t="s">
        <v>237</v>
      </c>
      <c r="O173">
        <v>1</v>
      </c>
      <c r="P173" s="6" t="str">
        <f>VLOOKUP(J173,'Store lookup'!A:C,2,0)</f>
        <v>A020</v>
      </c>
      <c r="Q173" s="6" t="str">
        <f>VLOOKUP(J173,'Store lookup'!A:C,3,0)</f>
        <v>Anaconda Preston</v>
      </c>
      <c r="R173" s="6" t="str">
        <f t="shared" si="2"/>
        <v>Ananconda</v>
      </c>
      <c r="S173" s="6" t="str">
        <f>VLOOKUP(I173,'FIN CAL LOOKUP'!A:J,7,1)</f>
        <v>MAY, FY23</v>
      </c>
      <c r="T173" s="6" t="str">
        <f>VLOOKUP(I173,'FIN CAL LOOKUP'!A:J,10,1)</f>
        <v>Q4, FY23</v>
      </c>
    </row>
    <row r="174" spans="1:20" hidden="1" x14ac:dyDescent="0.25">
      <c r="A174">
        <v>324811</v>
      </c>
      <c r="B174" t="s">
        <v>601</v>
      </c>
      <c r="C174" t="s">
        <v>602</v>
      </c>
      <c r="D174" t="s">
        <v>278</v>
      </c>
      <c r="E174" t="s">
        <v>264</v>
      </c>
      <c r="F174" t="s">
        <v>316</v>
      </c>
      <c r="G174" t="s">
        <v>266</v>
      </c>
      <c r="H174" s="5">
        <v>45049</v>
      </c>
      <c r="I174" s="5">
        <v>45058</v>
      </c>
      <c r="J174" t="s">
        <v>317</v>
      </c>
      <c r="K174" t="s">
        <v>268</v>
      </c>
      <c r="L174">
        <v>1</v>
      </c>
      <c r="M174" t="s">
        <v>318</v>
      </c>
      <c r="N174" t="s">
        <v>237</v>
      </c>
      <c r="O174">
        <v>1</v>
      </c>
      <c r="P174" s="6" t="str">
        <f>VLOOKUP(J174,'Store lookup'!A:C,2,0)</f>
        <v>A052</v>
      </c>
      <c r="Q174" s="6" t="str">
        <f>VLOOKUP(J174,'Store lookup'!A:C,3,0)</f>
        <v>Anaconda Epping</v>
      </c>
      <c r="R174" s="6" t="str">
        <f t="shared" si="2"/>
        <v>Ananconda</v>
      </c>
      <c r="S174" s="6" t="str">
        <f>VLOOKUP(I174,'FIN CAL LOOKUP'!A:J,7,1)</f>
        <v>MAY, FY23</v>
      </c>
      <c r="T174" s="6" t="str">
        <f>VLOOKUP(I174,'FIN CAL LOOKUP'!A:J,10,1)</f>
        <v>Q4, FY23</v>
      </c>
    </row>
    <row r="175" spans="1:20" hidden="1" x14ac:dyDescent="0.25">
      <c r="A175">
        <v>312552</v>
      </c>
      <c r="B175" t="s">
        <v>431</v>
      </c>
      <c r="C175" t="s">
        <v>603</v>
      </c>
      <c r="D175" t="s">
        <v>284</v>
      </c>
      <c r="E175" t="s">
        <v>264</v>
      </c>
      <c r="F175" t="s">
        <v>265</v>
      </c>
      <c r="G175" t="s">
        <v>266</v>
      </c>
      <c r="H175" s="5">
        <v>45033</v>
      </c>
      <c r="I175" s="5">
        <v>45051</v>
      </c>
      <c r="J175" t="s">
        <v>267</v>
      </c>
      <c r="K175" t="s">
        <v>268</v>
      </c>
      <c r="L175">
        <v>1</v>
      </c>
      <c r="M175" t="s">
        <v>269</v>
      </c>
      <c r="N175" t="s">
        <v>237</v>
      </c>
      <c r="O175">
        <v>1</v>
      </c>
      <c r="P175" s="6" t="str">
        <f>VLOOKUP(J175,'Store lookup'!A:C,2,0)</f>
        <v>A001</v>
      </c>
      <c r="Q175" s="6" t="str">
        <f>VLOOKUP(J175,'Store lookup'!A:C,3,0)</f>
        <v>Anaconda Bayswater</v>
      </c>
      <c r="R175" s="6" t="str">
        <f t="shared" si="2"/>
        <v>Ananconda</v>
      </c>
      <c r="S175" s="6" t="str">
        <f>VLOOKUP(I175,'FIN CAL LOOKUP'!A:J,7,1)</f>
        <v>MAY, FY23</v>
      </c>
      <c r="T175" s="6" t="str">
        <f>VLOOKUP(I175,'FIN CAL LOOKUP'!A:J,10,1)</f>
        <v>Q4, FY23</v>
      </c>
    </row>
    <row r="176" spans="1:20" hidden="1" x14ac:dyDescent="0.25">
      <c r="A176">
        <v>236788</v>
      </c>
      <c r="B176" t="s">
        <v>490</v>
      </c>
      <c r="C176" t="s">
        <v>554</v>
      </c>
      <c r="D176" t="s">
        <v>284</v>
      </c>
      <c r="E176" t="s">
        <v>264</v>
      </c>
      <c r="F176" t="s">
        <v>336</v>
      </c>
      <c r="G176" t="s">
        <v>266</v>
      </c>
      <c r="H176" s="5">
        <v>45026</v>
      </c>
      <c r="I176" s="5">
        <v>45034</v>
      </c>
      <c r="J176" t="s">
        <v>337</v>
      </c>
      <c r="K176" t="s">
        <v>268</v>
      </c>
      <c r="L176">
        <v>2</v>
      </c>
      <c r="M176" t="s">
        <v>338</v>
      </c>
      <c r="N176" t="s">
        <v>237</v>
      </c>
      <c r="O176">
        <v>0</v>
      </c>
      <c r="P176" s="6" t="str">
        <f>VLOOKUP(J176,'Store lookup'!A:C,2,0)</f>
        <v>A042</v>
      </c>
      <c r="Q176" s="6" t="str">
        <f>VLOOKUP(J176,'Store lookup'!A:C,3,0)</f>
        <v>Anaconda Maribyrnong</v>
      </c>
      <c r="R176" s="6" t="str">
        <f t="shared" si="2"/>
        <v>Ananconda</v>
      </c>
      <c r="S176" s="6" t="str">
        <f>VLOOKUP(I176,'FIN CAL LOOKUP'!A:J,7,1)</f>
        <v>APR, FY23</v>
      </c>
      <c r="T176" s="6" t="str">
        <f>VLOOKUP(I176,'FIN CAL LOOKUP'!A:J,10,1)</f>
        <v>Q4, FY23</v>
      </c>
    </row>
    <row r="177" spans="1:20" hidden="1" x14ac:dyDescent="0.25">
      <c r="A177">
        <v>327648</v>
      </c>
      <c r="B177" t="s">
        <v>492</v>
      </c>
      <c r="C177" t="s">
        <v>493</v>
      </c>
      <c r="D177" t="s">
        <v>278</v>
      </c>
      <c r="E177" t="s">
        <v>264</v>
      </c>
      <c r="F177" t="s">
        <v>265</v>
      </c>
      <c r="G177" t="s">
        <v>266</v>
      </c>
      <c r="H177" s="5">
        <v>45020</v>
      </c>
      <c r="I177" s="5">
        <v>45036</v>
      </c>
      <c r="J177" t="s">
        <v>267</v>
      </c>
      <c r="K177" t="s">
        <v>268</v>
      </c>
      <c r="L177">
        <v>1</v>
      </c>
      <c r="M177" t="s">
        <v>269</v>
      </c>
      <c r="N177" t="s">
        <v>237</v>
      </c>
      <c r="O177">
        <v>1</v>
      </c>
      <c r="P177" s="6" t="str">
        <f>VLOOKUP(J177,'Store lookup'!A:C,2,0)</f>
        <v>A001</v>
      </c>
      <c r="Q177" s="6" t="str">
        <f>VLOOKUP(J177,'Store lookup'!A:C,3,0)</f>
        <v>Anaconda Bayswater</v>
      </c>
      <c r="R177" s="6" t="str">
        <f t="shared" si="2"/>
        <v>Ananconda</v>
      </c>
      <c r="S177" s="6" t="str">
        <f>VLOOKUP(I177,'FIN CAL LOOKUP'!A:J,7,1)</f>
        <v>APR, FY23</v>
      </c>
      <c r="T177" s="6" t="str">
        <f>VLOOKUP(I177,'FIN CAL LOOKUP'!A:J,10,1)</f>
        <v>Q4, FY23</v>
      </c>
    </row>
    <row r="178" spans="1:20" hidden="1" x14ac:dyDescent="0.25">
      <c r="A178">
        <v>312818</v>
      </c>
      <c r="B178" t="s">
        <v>566</v>
      </c>
      <c r="C178" t="s">
        <v>604</v>
      </c>
      <c r="D178" t="s">
        <v>272</v>
      </c>
      <c r="E178" t="s">
        <v>264</v>
      </c>
      <c r="F178" t="s">
        <v>308</v>
      </c>
      <c r="G178" t="s">
        <v>266</v>
      </c>
      <c r="H178" s="5">
        <v>45009</v>
      </c>
      <c r="I178" s="5">
        <v>45016</v>
      </c>
      <c r="J178" t="s">
        <v>309</v>
      </c>
      <c r="K178" t="s">
        <v>268</v>
      </c>
      <c r="L178">
        <v>1</v>
      </c>
      <c r="M178" t="s">
        <v>310</v>
      </c>
      <c r="N178" t="s">
        <v>237</v>
      </c>
      <c r="O178">
        <v>1</v>
      </c>
      <c r="P178" s="6" t="str">
        <f>VLOOKUP(J178,'Store lookup'!A:C,2,0)</f>
        <v>A058</v>
      </c>
      <c r="Q178" s="6" t="str">
        <f>VLOOKUP(J178,'Store lookup'!A:C,3,0)</f>
        <v>Anaconda Hawthorn East</v>
      </c>
      <c r="R178" s="6" t="str">
        <f t="shared" si="2"/>
        <v>Ananconda</v>
      </c>
      <c r="S178" s="6" t="str">
        <f>VLOOKUP(I178,'FIN CAL LOOKUP'!A:J,7,1)</f>
        <v>APR, FY23</v>
      </c>
      <c r="T178" s="6" t="str">
        <f>VLOOKUP(I178,'FIN CAL LOOKUP'!A:J,10,1)</f>
        <v>Q4, FY23</v>
      </c>
    </row>
    <row r="179" spans="1:20" hidden="1" x14ac:dyDescent="0.25">
      <c r="A179">
        <v>321421</v>
      </c>
      <c r="B179" t="s">
        <v>391</v>
      </c>
      <c r="C179" t="s">
        <v>392</v>
      </c>
      <c r="D179" t="s">
        <v>272</v>
      </c>
      <c r="E179" t="s">
        <v>264</v>
      </c>
      <c r="F179" t="s">
        <v>302</v>
      </c>
      <c r="G179" t="s">
        <v>266</v>
      </c>
      <c r="H179" s="5">
        <v>45008</v>
      </c>
      <c r="I179" s="5">
        <v>45036</v>
      </c>
      <c r="J179" t="s">
        <v>303</v>
      </c>
      <c r="K179" t="s">
        <v>268</v>
      </c>
      <c r="L179">
        <v>1</v>
      </c>
      <c r="M179" t="s">
        <v>304</v>
      </c>
      <c r="N179" t="s">
        <v>237</v>
      </c>
      <c r="O179">
        <v>1</v>
      </c>
      <c r="P179" s="6" t="str">
        <f>VLOOKUP(J179,'Store lookup'!A:C,2,0)</f>
        <v>A020</v>
      </c>
      <c r="Q179" s="6" t="str">
        <f>VLOOKUP(J179,'Store lookup'!A:C,3,0)</f>
        <v>Anaconda Preston</v>
      </c>
      <c r="R179" s="6" t="str">
        <f t="shared" si="2"/>
        <v>Ananconda</v>
      </c>
      <c r="S179" s="6" t="str">
        <f>VLOOKUP(I179,'FIN CAL LOOKUP'!A:J,7,1)</f>
        <v>APR, FY23</v>
      </c>
      <c r="T179" s="6" t="str">
        <f>VLOOKUP(I179,'FIN CAL LOOKUP'!A:J,10,1)</f>
        <v>Q4, FY23</v>
      </c>
    </row>
    <row r="180" spans="1:20" hidden="1" x14ac:dyDescent="0.25">
      <c r="A180">
        <v>313085</v>
      </c>
      <c r="B180" t="s">
        <v>605</v>
      </c>
      <c r="C180" t="s">
        <v>606</v>
      </c>
      <c r="D180" t="s">
        <v>542</v>
      </c>
      <c r="E180" t="s">
        <v>264</v>
      </c>
      <c r="F180" t="s">
        <v>316</v>
      </c>
      <c r="G180" t="s">
        <v>266</v>
      </c>
      <c r="H180" s="5">
        <v>45007</v>
      </c>
      <c r="I180" s="5">
        <v>45015</v>
      </c>
      <c r="J180" t="s">
        <v>317</v>
      </c>
      <c r="K180" t="s">
        <v>268</v>
      </c>
      <c r="L180">
        <v>1</v>
      </c>
      <c r="M180" t="s">
        <v>318</v>
      </c>
      <c r="N180" t="s">
        <v>237</v>
      </c>
      <c r="O180">
        <v>1</v>
      </c>
      <c r="P180" s="6" t="str">
        <f>VLOOKUP(J180,'Store lookup'!A:C,2,0)</f>
        <v>A052</v>
      </c>
      <c r="Q180" s="6" t="str">
        <f>VLOOKUP(J180,'Store lookup'!A:C,3,0)</f>
        <v>Anaconda Epping</v>
      </c>
      <c r="R180" s="6" t="str">
        <f t="shared" si="2"/>
        <v>Ananconda</v>
      </c>
      <c r="S180" s="6" t="str">
        <f>VLOOKUP(I180,'FIN CAL LOOKUP'!A:J,7,1)</f>
        <v>APR, FY23</v>
      </c>
      <c r="T180" s="6" t="str">
        <f>VLOOKUP(I180,'FIN CAL LOOKUP'!A:J,10,1)</f>
        <v>Q4, FY23</v>
      </c>
    </row>
    <row r="181" spans="1:20" hidden="1" x14ac:dyDescent="0.25">
      <c r="A181">
        <v>311842</v>
      </c>
      <c r="B181" t="s">
        <v>607</v>
      </c>
      <c r="C181" t="s">
        <v>608</v>
      </c>
      <c r="D181" t="s">
        <v>278</v>
      </c>
      <c r="E181" t="s">
        <v>264</v>
      </c>
      <c r="F181" t="s">
        <v>358</v>
      </c>
      <c r="G181" t="s">
        <v>266</v>
      </c>
      <c r="H181" s="5">
        <v>45005</v>
      </c>
      <c r="I181" s="5">
        <v>45043</v>
      </c>
      <c r="J181" t="s">
        <v>359</v>
      </c>
      <c r="K181" t="s">
        <v>268</v>
      </c>
      <c r="L181">
        <v>1</v>
      </c>
      <c r="M181" t="s">
        <v>360</v>
      </c>
      <c r="N181" t="s">
        <v>237</v>
      </c>
      <c r="O181">
        <v>1</v>
      </c>
      <c r="P181" s="6" t="str">
        <f>VLOOKUP(J181,'Store lookup'!A:C,2,0)</f>
        <v>A030</v>
      </c>
      <c r="Q181" s="6" t="str">
        <f>VLOOKUP(J181,'Store lookup'!A:C,3,0)</f>
        <v>Anaconda Hoppers Crossing</v>
      </c>
      <c r="R181" s="6" t="str">
        <f t="shared" si="2"/>
        <v>Ananconda</v>
      </c>
      <c r="S181" s="6" t="str">
        <f>VLOOKUP(I181,'FIN CAL LOOKUP'!A:J,7,1)</f>
        <v>MAY, FY23</v>
      </c>
      <c r="T181" s="6" t="str">
        <f>VLOOKUP(I181,'FIN CAL LOOKUP'!A:J,10,1)</f>
        <v>Q4, FY23</v>
      </c>
    </row>
    <row r="182" spans="1:20" hidden="1" x14ac:dyDescent="0.25">
      <c r="A182">
        <v>312829</v>
      </c>
      <c r="B182" t="s">
        <v>552</v>
      </c>
      <c r="C182" t="s">
        <v>609</v>
      </c>
      <c r="D182" t="s">
        <v>272</v>
      </c>
      <c r="E182" t="s">
        <v>264</v>
      </c>
      <c r="F182" t="s">
        <v>308</v>
      </c>
      <c r="G182" t="s">
        <v>266</v>
      </c>
      <c r="H182" s="5">
        <v>44995</v>
      </c>
      <c r="I182" s="5">
        <v>45009</v>
      </c>
      <c r="J182" t="s">
        <v>309</v>
      </c>
      <c r="K182" t="s">
        <v>268</v>
      </c>
      <c r="L182">
        <v>1</v>
      </c>
      <c r="M182" t="s">
        <v>310</v>
      </c>
      <c r="N182" t="s">
        <v>237</v>
      </c>
      <c r="O182">
        <v>1</v>
      </c>
      <c r="P182" s="6" t="str">
        <f>VLOOKUP(J182,'Store lookup'!A:C,2,0)</f>
        <v>A058</v>
      </c>
      <c r="Q182" s="6" t="str">
        <f>VLOOKUP(J182,'Store lookup'!A:C,3,0)</f>
        <v>Anaconda Hawthorn East</v>
      </c>
      <c r="R182" s="6" t="str">
        <f t="shared" si="2"/>
        <v>Ananconda</v>
      </c>
      <c r="S182" s="6" t="str">
        <f>VLOOKUP(I182,'FIN CAL LOOKUP'!A:J,7,1)</f>
        <v>MAR, FY23</v>
      </c>
      <c r="T182" s="6" t="str">
        <f>VLOOKUP(I182,'FIN CAL LOOKUP'!A:J,10,1)</f>
        <v>Q3, FY23</v>
      </c>
    </row>
    <row r="183" spans="1:20" hidden="1" x14ac:dyDescent="0.25">
      <c r="A183">
        <v>297919</v>
      </c>
      <c r="B183" t="s">
        <v>610</v>
      </c>
      <c r="C183" t="s">
        <v>611</v>
      </c>
      <c r="D183" t="s">
        <v>284</v>
      </c>
      <c r="E183" t="s">
        <v>264</v>
      </c>
      <c r="F183" t="s">
        <v>285</v>
      </c>
      <c r="G183" t="s">
        <v>266</v>
      </c>
      <c r="H183" s="5">
        <v>44992</v>
      </c>
      <c r="I183" s="5">
        <v>45001</v>
      </c>
      <c r="J183" t="s">
        <v>286</v>
      </c>
      <c r="K183" t="s">
        <v>268</v>
      </c>
      <c r="L183">
        <v>1</v>
      </c>
      <c r="M183" t="s">
        <v>287</v>
      </c>
      <c r="N183" t="s">
        <v>237</v>
      </c>
      <c r="O183">
        <v>1</v>
      </c>
      <c r="P183" s="6" t="str">
        <f>VLOOKUP(J183,'Store lookup'!A:C,2,0)</f>
        <v>A040</v>
      </c>
      <c r="Q183" s="6" t="str">
        <f>VLOOKUP(J183,'Store lookup'!A:C,3,0)</f>
        <v>Anaconda Watergardens</v>
      </c>
      <c r="R183" s="6" t="str">
        <f t="shared" si="2"/>
        <v>Ananconda</v>
      </c>
      <c r="S183" s="6" t="str">
        <f>VLOOKUP(I183,'FIN CAL LOOKUP'!A:J,7,1)</f>
        <v>MAR, FY23</v>
      </c>
      <c r="T183" s="6" t="str">
        <f>VLOOKUP(I183,'FIN CAL LOOKUP'!A:J,10,1)</f>
        <v>Q3, FY23</v>
      </c>
    </row>
    <row r="184" spans="1:20" hidden="1" x14ac:dyDescent="0.25">
      <c r="A184">
        <v>221119</v>
      </c>
      <c r="B184" t="s">
        <v>612</v>
      </c>
      <c r="C184" t="s">
        <v>613</v>
      </c>
      <c r="D184" t="s">
        <v>278</v>
      </c>
      <c r="E184" t="s">
        <v>264</v>
      </c>
      <c r="F184" t="s">
        <v>336</v>
      </c>
      <c r="G184" t="s">
        <v>266</v>
      </c>
      <c r="H184" s="5">
        <v>44991</v>
      </c>
      <c r="I184" s="5">
        <v>45085</v>
      </c>
      <c r="J184" t="s">
        <v>337</v>
      </c>
      <c r="K184" t="s">
        <v>268</v>
      </c>
      <c r="L184">
        <v>1</v>
      </c>
      <c r="M184" t="s">
        <v>338</v>
      </c>
      <c r="N184" t="s">
        <v>237</v>
      </c>
      <c r="O184">
        <v>1</v>
      </c>
      <c r="P184" s="6" t="str">
        <f>VLOOKUP(J184,'Store lookup'!A:C,2,0)</f>
        <v>A042</v>
      </c>
      <c r="Q184" s="6" t="str">
        <f>VLOOKUP(J184,'Store lookup'!A:C,3,0)</f>
        <v>Anaconda Maribyrnong</v>
      </c>
      <c r="R184" s="6" t="str">
        <f t="shared" si="2"/>
        <v>Ananconda</v>
      </c>
      <c r="S184" s="6" t="str">
        <f>VLOOKUP(I184,'FIN CAL LOOKUP'!A:J,7,1)</f>
        <v>JUN, FY23</v>
      </c>
      <c r="T184" s="6" t="str">
        <f>VLOOKUP(I184,'FIN CAL LOOKUP'!A:J,10,1)</f>
        <v>Q4, FY23</v>
      </c>
    </row>
    <row r="185" spans="1:20" hidden="1" x14ac:dyDescent="0.25">
      <c r="A185">
        <v>298118</v>
      </c>
      <c r="B185" t="s">
        <v>614</v>
      </c>
      <c r="C185" t="s">
        <v>615</v>
      </c>
      <c r="D185" t="s">
        <v>307</v>
      </c>
      <c r="E185" t="s">
        <v>264</v>
      </c>
      <c r="F185" t="s">
        <v>420</v>
      </c>
      <c r="G185" t="s">
        <v>266</v>
      </c>
      <c r="H185" s="5">
        <v>44986</v>
      </c>
      <c r="I185" s="5">
        <v>45106</v>
      </c>
      <c r="J185" t="s">
        <v>421</v>
      </c>
      <c r="K185" t="s">
        <v>268</v>
      </c>
      <c r="L185">
        <v>1</v>
      </c>
      <c r="M185" t="s">
        <v>422</v>
      </c>
      <c r="N185" t="s">
        <v>237</v>
      </c>
      <c r="O185">
        <v>1</v>
      </c>
      <c r="P185" s="6" t="str">
        <f>VLOOKUP(J185,'Store lookup'!A:C,2,0)</f>
        <v>A050</v>
      </c>
      <c r="Q185" s="6" t="str">
        <f>VLOOKUP(J185,'Store lookup'!A:C,3,0)</f>
        <v>Anaconda Albury</v>
      </c>
      <c r="R185" s="6" t="str">
        <f t="shared" si="2"/>
        <v>Ananconda</v>
      </c>
      <c r="S185" s="6" t="str">
        <f>VLOOKUP(I185,'FIN CAL LOOKUP'!A:J,7,1)</f>
        <v>JUL, FY24</v>
      </c>
      <c r="T185" s="6" t="str">
        <f>VLOOKUP(I185,'FIN CAL LOOKUP'!A:J,10,1)</f>
        <v>Q1, FY24</v>
      </c>
    </row>
    <row r="186" spans="1:20" hidden="1" x14ac:dyDescent="0.25">
      <c r="A186">
        <v>324258</v>
      </c>
      <c r="B186" t="s">
        <v>616</v>
      </c>
      <c r="C186" t="s">
        <v>617</v>
      </c>
      <c r="D186" t="s">
        <v>284</v>
      </c>
      <c r="E186" t="s">
        <v>264</v>
      </c>
      <c r="F186" t="s">
        <v>618</v>
      </c>
      <c r="G186" t="s">
        <v>266</v>
      </c>
      <c r="H186" s="5">
        <v>44984</v>
      </c>
      <c r="I186" s="5">
        <v>45035</v>
      </c>
      <c r="J186" t="s">
        <v>619</v>
      </c>
      <c r="K186" t="s">
        <v>268</v>
      </c>
      <c r="L186">
        <v>1</v>
      </c>
      <c r="M186" t="s">
        <v>620</v>
      </c>
      <c r="N186" t="s">
        <v>237</v>
      </c>
      <c r="O186">
        <v>1</v>
      </c>
      <c r="P186" s="6" t="str">
        <f>VLOOKUP(J186,'Store lookup'!A:C,2,0)</f>
        <v>A013</v>
      </c>
      <c r="Q186" s="6" t="str">
        <f>VLOOKUP(J186,'Store lookup'!A:C,3,0)</f>
        <v>Anaconda Frankston</v>
      </c>
      <c r="R186" s="6" t="str">
        <f t="shared" si="2"/>
        <v>Ananconda</v>
      </c>
      <c r="S186" s="6" t="str">
        <f>VLOOKUP(I186,'FIN CAL LOOKUP'!A:J,7,1)</f>
        <v>APR, FY23</v>
      </c>
      <c r="T186" s="6" t="str">
        <f>VLOOKUP(I186,'FIN CAL LOOKUP'!A:J,10,1)</f>
        <v>Q4, FY23</v>
      </c>
    </row>
    <row r="187" spans="1:20" hidden="1" x14ac:dyDescent="0.25">
      <c r="A187">
        <v>312259</v>
      </c>
      <c r="B187" t="s">
        <v>523</v>
      </c>
      <c r="C187" t="s">
        <v>524</v>
      </c>
      <c r="D187" t="s">
        <v>278</v>
      </c>
      <c r="E187" t="s">
        <v>264</v>
      </c>
      <c r="F187" t="s">
        <v>308</v>
      </c>
      <c r="G187" t="s">
        <v>266</v>
      </c>
      <c r="H187" s="5">
        <v>44979</v>
      </c>
      <c r="I187" s="5">
        <v>45156</v>
      </c>
      <c r="J187" t="s">
        <v>309</v>
      </c>
      <c r="K187" t="s">
        <v>268</v>
      </c>
      <c r="L187">
        <v>1</v>
      </c>
      <c r="M187" t="s">
        <v>310</v>
      </c>
      <c r="N187" t="s">
        <v>237</v>
      </c>
      <c r="O187">
        <v>1</v>
      </c>
      <c r="P187" s="6" t="str">
        <f>VLOOKUP(J187,'Store lookup'!A:C,2,0)</f>
        <v>A058</v>
      </c>
      <c r="Q187" s="6" t="str">
        <f>VLOOKUP(J187,'Store lookup'!A:C,3,0)</f>
        <v>Anaconda Hawthorn East</v>
      </c>
      <c r="R187" s="6" t="str">
        <f t="shared" si="2"/>
        <v>Ananconda</v>
      </c>
      <c r="S187" s="6" t="str">
        <f>VLOOKUP(I187,'FIN CAL LOOKUP'!A:J,7,1)</f>
        <v>AUG, FY24</v>
      </c>
      <c r="T187" s="6" t="str">
        <f>VLOOKUP(I187,'FIN CAL LOOKUP'!A:J,10,1)</f>
        <v>Q1, FY24</v>
      </c>
    </row>
    <row r="188" spans="1:20" hidden="1" x14ac:dyDescent="0.25">
      <c r="A188">
        <v>327314</v>
      </c>
      <c r="B188" t="s">
        <v>621</v>
      </c>
      <c r="C188" t="s">
        <v>622</v>
      </c>
      <c r="D188" t="s">
        <v>263</v>
      </c>
      <c r="E188" t="s">
        <v>264</v>
      </c>
      <c r="F188" t="s">
        <v>358</v>
      </c>
      <c r="G188" t="s">
        <v>266</v>
      </c>
      <c r="H188" s="5">
        <v>44979</v>
      </c>
      <c r="I188" s="5">
        <v>45084</v>
      </c>
      <c r="J188" t="s">
        <v>359</v>
      </c>
      <c r="K188" t="s">
        <v>268</v>
      </c>
      <c r="L188">
        <v>1</v>
      </c>
      <c r="M188" t="s">
        <v>360</v>
      </c>
      <c r="N188" t="s">
        <v>237</v>
      </c>
      <c r="O188">
        <v>1</v>
      </c>
      <c r="P188" s="6" t="str">
        <f>VLOOKUP(J188,'Store lookup'!A:C,2,0)</f>
        <v>A030</v>
      </c>
      <c r="Q188" s="6" t="str">
        <f>VLOOKUP(J188,'Store lookup'!A:C,3,0)</f>
        <v>Anaconda Hoppers Crossing</v>
      </c>
      <c r="R188" s="6" t="str">
        <f t="shared" si="2"/>
        <v>Ananconda</v>
      </c>
      <c r="S188" s="6" t="str">
        <f>VLOOKUP(I188,'FIN CAL LOOKUP'!A:J,7,1)</f>
        <v>JUN, FY23</v>
      </c>
      <c r="T188" s="6" t="str">
        <f>VLOOKUP(I188,'FIN CAL LOOKUP'!A:J,10,1)</f>
        <v>Q4, FY23</v>
      </c>
    </row>
    <row r="189" spans="1:20" hidden="1" x14ac:dyDescent="0.25">
      <c r="A189">
        <v>318222</v>
      </c>
      <c r="B189" t="s">
        <v>623</v>
      </c>
      <c r="C189" t="s">
        <v>624</v>
      </c>
      <c r="D189" t="s">
        <v>272</v>
      </c>
      <c r="E189" t="s">
        <v>264</v>
      </c>
      <c r="F189" t="s">
        <v>279</v>
      </c>
      <c r="G189" t="s">
        <v>266</v>
      </c>
      <c r="H189" s="5">
        <v>44979</v>
      </c>
      <c r="I189" s="5">
        <v>45035</v>
      </c>
      <c r="J189" t="s">
        <v>280</v>
      </c>
      <c r="K189" t="s">
        <v>268</v>
      </c>
      <c r="L189">
        <v>2</v>
      </c>
      <c r="M189" t="s">
        <v>281</v>
      </c>
      <c r="N189" t="s">
        <v>237</v>
      </c>
      <c r="O189">
        <v>0</v>
      </c>
      <c r="P189" s="6" t="str">
        <f>VLOOKUP(J189,'Store lookup'!A:C,2,0)</f>
        <v>A041</v>
      </c>
      <c r="Q189" s="6" t="str">
        <f>VLOOKUP(J189,'Store lookup'!A:C,3,0)</f>
        <v>Anaconda Box Hill</v>
      </c>
      <c r="R189" s="6" t="str">
        <f t="shared" si="2"/>
        <v>Ananconda</v>
      </c>
      <c r="S189" s="6" t="str">
        <f>VLOOKUP(I189,'FIN CAL LOOKUP'!A:J,7,1)</f>
        <v>APR, FY23</v>
      </c>
      <c r="T189" s="6" t="str">
        <f>VLOOKUP(I189,'FIN CAL LOOKUP'!A:J,10,1)</f>
        <v>Q4, FY23</v>
      </c>
    </row>
    <row r="190" spans="1:20" hidden="1" x14ac:dyDescent="0.25">
      <c r="A190">
        <v>321931</v>
      </c>
      <c r="B190" t="s">
        <v>625</v>
      </c>
      <c r="C190" t="s">
        <v>626</v>
      </c>
      <c r="D190" t="s">
        <v>272</v>
      </c>
      <c r="E190" t="s">
        <v>264</v>
      </c>
      <c r="F190" t="s">
        <v>279</v>
      </c>
      <c r="G190" t="s">
        <v>266</v>
      </c>
      <c r="H190" s="5">
        <v>44979</v>
      </c>
      <c r="I190" s="5">
        <v>45035</v>
      </c>
      <c r="J190" t="s">
        <v>280</v>
      </c>
      <c r="K190" t="s">
        <v>268</v>
      </c>
      <c r="L190">
        <v>2</v>
      </c>
      <c r="M190" t="s">
        <v>281</v>
      </c>
      <c r="N190" t="s">
        <v>237</v>
      </c>
      <c r="O190">
        <v>0</v>
      </c>
      <c r="P190" s="6" t="str">
        <f>VLOOKUP(J190,'Store lookup'!A:C,2,0)</f>
        <v>A041</v>
      </c>
      <c r="Q190" s="6" t="str">
        <f>VLOOKUP(J190,'Store lookup'!A:C,3,0)</f>
        <v>Anaconda Box Hill</v>
      </c>
      <c r="R190" s="6" t="str">
        <f t="shared" si="2"/>
        <v>Ananconda</v>
      </c>
      <c r="S190" s="6" t="str">
        <f>VLOOKUP(I190,'FIN CAL LOOKUP'!A:J,7,1)</f>
        <v>APR, FY23</v>
      </c>
      <c r="T190" s="6" t="str">
        <f>VLOOKUP(I190,'FIN CAL LOOKUP'!A:J,10,1)</f>
        <v>Q4, FY23</v>
      </c>
    </row>
    <row r="191" spans="1:20" hidden="1" x14ac:dyDescent="0.25">
      <c r="A191">
        <v>323016</v>
      </c>
      <c r="B191" t="s">
        <v>627</v>
      </c>
      <c r="C191" t="s">
        <v>628</v>
      </c>
      <c r="D191" t="s">
        <v>272</v>
      </c>
      <c r="E191" t="s">
        <v>264</v>
      </c>
      <c r="F191" t="s">
        <v>308</v>
      </c>
      <c r="G191" t="s">
        <v>266</v>
      </c>
      <c r="H191" s="5">
        <v>44979</v>
      </c>
      <c r="I191" s="5">
        <v>44994</v>
      </c>
      <c r="J191" t="s">
        <v>309</v>
      </c>
      <c r="K191" t="s">
        <v>268</v>
      </c>
      <c r="L191">
        <v>1</v>
      </c>
      <c r="M191" t="s">
        <v>310</v>
      </c>
      <c r="N191" t="s">
        <v>237</v>
      </c>
      <c r="O191">
        <v>1</v>
      </c>
      <c r="P191" s="6" t="str">
        <f>VLOOKUP(J191,'Store lookup'!A:C,2,0)</f>
        <v>A058</v>
      </c>
      <c r="Q191" s="6" t="str">
        <f>VLOOKUP(J191,'Store lookup'!A:C,3,0)</f>
        <v>Anaconda Hawthorn East</v>
      </c>
      <c r="R191" s="6" t="str">
        <f t="shared" si="2"/>
        <v>Ananconda</v>
      </c>
      <c r="S191" s="6" t="str">
        <f>VLOOKUP(I191,'FIN CAL LOOKUP'!A:J,7,1)</f>
        <v>MAR, FY23</v>
      </c>
      <c r="T191" s="6" t="str">
        <f>VLOOKUP(I191,'FIN CAL LOOKUP'!A:J,10,1)</f>
        <v>Q3, FY23</v>
      </c>
    </row>
    <row r="192" spans="1:20" hidden="1" x14ac:dyDescent="0.25">
      <c r="A192">
        <v>239177</v>
      </c>
      <c r="B192" t="s">
        <v>515</v>
      </c>
      <c r="C192" t="s">
        <v>516</v>
      </c>
      <c r="D192" t="s">
        <v>272</v>
      </c>
      <c r="E192" t="s">
        <v>264</v>
      </c>
      <c r="F192" t="s">
        <v>316</v>
      </c>
      <c r="G192" t="s">
        <v>266</v>
      </c>
      <c r="H192" s="5">
        <v>44978</v>
      </c>
      <c r="I192" s="5">
        <v>45097</v>
      </c>
      <c r="J192" t="s">
        <v>317</v>
      </c>
      <c r="K192" t="s">
        <v>268</v>
      </c>
      <c r="L192">
        <v>1</v>
      </c>
      <c r="M192" t="s">
        <v>318</v>
      </c>
      <c r="N192" t="s">
        <v>237</v>
      </c>
      <c r="O192">
        <v>1</v>
      </c>
      <c r="P192" s="6" t="str">
        <f>VLOOKUP(J192,'Store lookup'!A:C,2,0)</f>
        <v>A052</v>
      </c>
      <c r="Q192" s="6" t="str">
        <f>VLOOKUP(J192,'Store lookup'!A:C,3,0)</f>
        <v>Anaconda Epping</v>
      </c>
      <c r="R192" s="6" t="str">
        <f t="shared" si="2"/>
        <v>Ananconda</v>
      </c>
      <c r="S192" s="6" t="str">
        <f>VLOOKUP(I192,'FIN CAL LOOKUP'!A:J,7,1)</f>
        <v>JUN, FY23</v>
      </c>
      <c r="T192" s="6" t="str">
        <f>VLOOKUP(I192,'FIN CAL LOOKUP'!A:J,10,1)</f>
        <v>Q4, FY23</v>
      </c>
    </row>
    <row r="193" spans="1:20" hidden="1" x14ac:dyDescent="0.25">
      <c r="A193">
        <v>239689</v>
      </c>
      <c r="B193" t="s">
        <v>629</v>
      </c>
      <c r="C193" t="s">
        <v>630</v>
      </c>
      <c r="D193" t="s">
        <v>278</v>
      </c>
      <c r="E193" t="s">
        <v>264</v>
      </c>
      <c r="F193" t="s">
        <v>279</v>
      </c>
      <c r="G193" t="s">
        <v>266</v>
      </c>
      <c r="H193" s="5">
        <v>44978</v>
      </c>
      <c r="I193" s="5">
        <v>45093</v>
      </c>
      <c r="J193" t="s">
        <v>280</v>
      </c>
      <c r="K193" t="s">
        <v>268</v>
      </c>
      <c r="L193">
        <v>1</v>
      </c>
      <c r="M193" t="s">
        <v>281</v>
      </c>
      <c r="N193" t="s">
        <v>237</v>
      </c>
      <c r="O193">
        <v>1</v>
      </c>
      <c r="P193" s="6" t="str">
        <f>VLOOKUP(J193,'Store lookup'!A:C,2,0)</f>
        <v>A041</v>
      </c>
      <c r="Q193" s="6" t="str">
        <f>VLOOKUP(J193,'Store lookup'!A:C,3,0)</f>
        <v>Anaconda Box Hill</v>
      </c>
      <c r="R193" s="6" t="str">
        <f t="shared" si="2"/>
        <v>Ananconda</v>
      </c>
      <c r="S193" s="6" t="str">
        <f>VLOOKUP(I193,'FIN CAL LOOKUP'!A:J,7,1)</f>
        <v>JUN, FY23</v>
      </c>
      <c r="T193" s="6" t="str">
        <f>VLOOKUP(I193,'FIN CAL LOOKUP'!A:J,10,1)</f>
        <v>Q4, FY23</v>
      </c>
    </row>
    <row r="194" spans="1:20" hidden="1" x14ac:dyDescent="0.25">
      <c r="A194">
        <v>231624</v>
      </c>
      <c r="B194" t="s">
        <v>559</v>
      </c>
      <c r="C194" t="s">
        <v>560</v>
      </c>
      <c r="D194" t="s">
        <v>278</v>
      </c>
      <c r="E194" t="s">
        <v>264</v>
      </c>
      <c r="F194" t="s">
        <v>308</v>
      </c>
      <c r="G194" t="s">
        <v>266</v>
      </c>
      <c r="H194" s="5">
        <v>44978</v>
      </c>
      <c r="I194" s="5">
        <v>45071</v>
      </c>
      <c r="J194" t="s">
        <v>309</v>
      </c>
      <c r="K194" t="s">
        <v>268</v>
      </c>
      <c r="L194">
        <v>1</v>
      </c>
      <c r="M194" t="s">
        <v>310</v>
      </c>
      <c r="N194" t="s">
        <v>237</v>
      </c>
      <c r="O194">
        <v>1</v>
      </c>
      <c r="P194" s="6" t="str">
        <f>VLOOKUP(J194,'Store lookup'!A:C,2,0)</f>
        <v>A058</v>
      </c>
      <c r="Q194" s="6" t="str">
        <f>VLOOKUP(J194,'Store lookup'!A:C,3,0)</f>
        <v>Anaconda Hawthorn East</v>
      </c>
      <c r="R194" s="6" t="str">
        <f t="shared" ref="R194:R257" si="3">IF(LEFT(Q194,1)="A","Ananconda",IF(LEFT(Q194,1)="H","Harris Scarfe",IF(LEFT(Q194,1)="S","Spotlight","Exempt")))</f>
        <v>Ananconda</v>
      </c>
      <c r="S194" s="6" t="str">
        <f>VLOOKUP(I194,'FIN CAL LOOKUP'!A:J,7,1)</f>
        <v>MAY, FY23</v>
      </c>
      <c r="T194" s="6" t="str">
        <f>VLOOKUP(I194,'FIN CAL LOOKUP'!A:J,10,1)</f>
        <v>Q4, FY23</v>
      </c>
    </row>
    <row r="195" spans="1:20" hidden="1" x14ac:dyDescent="0.25">
      <c r="A195">
        <v>322987</v>
      </c>
      <c r="B195" t="s">
        <v>631</v>
      </c>
      <c r="C195" t="s">
        <v>632</v>
      </c>
      <c r="D195" t="s">
        <v>272</v>
      </c>
      <c r="E195" t="s">
        <v>264</v>
      </c>
      <c r="F195" t="s">
        <v>285</v>
      </c>
      <c r="G195" t="s">
        <v>266</v>
      </c>
      <c r="H195" s="5">
        <v>44978</v>
      </c>
      <c r="I195" s="5">
        <v>45056</v>
      </c>
      <c r="J195" t="s">
        <v>286</v>
      </c>
      <c r="K195" t="s">
        <v>268</v>
      </c>
      <c r="L195">
        <v>1</v>
      </c>
      <c r="M195" t="s">
        <v>287</v>
      </c>
      <c r="N195" t="s">
        <v>237</v>
      </c>
      <c r="O195">
        <v>1</v>
      </c>
      <c r="P195" s="6" t="str">
        <f>VLOOKUP(J195,'Store lookup'!A:C,2,0)</f>
        <v>A040</v>
      </c>
      <c r="Q195" s="6" t="str">
        <f>VLOOKUP(J195,'Store lookup'!A:C,3,0)</f>
        <v>Anaconda Watergardens</v>
      </c>
      <c r="R195" s="6" t="str">
        <f t="shared" si="3"/>
        <v>Ananconda</v>
      </c>
      <c r="S195" s="6" t="str">
        <f>VLOOKUP(I195,'FIN CAL LOOKUP'!A:J,7,1)</f>
        <v>MAY, FY23</v>
      </c>
      <c r="T195" s="6" t="str">
        <f>VLOOKUP(I195,'FIN CAL LOOKUP'!A:J,10,1)</f>
        <v>Q4, FY23</v>
      </c>
    </row>
    <row r="196" spans="1:20" hidden="1" x14ac:dyDescent="0.25">
      <c r="A196">
        <v>204365</v>
      </c>
      <c r="B196" t="s">
        <v>633</v>
      </c>
      <c r="C196" t="s">
        <v>634</v>
      </c>
      <c r="D196" t="s">
        <v>278</v>
      </c>
      <c r="E196" t="s">
        <v>264</v>
      </c>
      <c r="F196" t="s">
        <v>273</v>
      </c>
      <c r="G196" t="s">
        <v>266</v>
      </c>
      <c r="H196" s="5">
        <v>44978</v>
      </c>
      <c r="I196" s="5">
        <v>45055</v>
      </c>
      <c r="J196" t="s">
        <v>274</v>
      </c>
      <c r="K196" t="s">
        <v>268</v>
      </c>
      <c r="L196">
        <v>2</v>
      </c>
      <c r="M196" t="s">
        <v>275</v>
      </c>
      <c r="N196" t="s">
        <v>237</v>
      </c>
      <c r="O196">
        <v>0</v>
      </c>
      <c r="P196" s="6" t="str">
        <f>VLOOKUP(J196,'Store lookup'!A:C,2,0)</f>
        <v>A026</v>
      </c>
      <c r="Q196" s="6" t="str">
        <f>VLOOKUP(J196,'Store lookup'!A:C,3,0)</f>
        <v>Anaconda Springvale</v>
      </c>
      <c r="R196" s="6" t="str">
        <f t="shared" si="3"/>
        <v>Ananconda</v>
      </c>
      <c r="S196" s="6" t="str">
        <f>VLOOKUP(I196,'FIN CAL LOOKUP'!A:J,7,1)</f>
        <v>MAY, FY23</v>
      </c>
      <c r="T196" s="6" t="str">
        <f>VLOOKUP(I196,'FIN CAL LOOKUP'!A:J,10,1)</f>
        <v>Q4, FY23</v>
      </c>
    </row>
    <row r="197" spans="1:20" hidden="1" x14ac:dyDescent="0.25">
      <c r="A197">
        <v>302489</v>
      </c>
      <c r="B197" t="s">
        <v>635</v>
      </c>
      <c r="C197" t="s">
        <v>636</v>
      </c>
      <c r="D197" t="s">
        <v>278</v>
      </c>
      <c r="E197" t="s">
        <v>264</v>
      </c>
      <c r="F197" t="s">
        <v>273</v>
      </c>
      <c r="G197" t="s">
        <v>266</v>
      </c>
      <c r="H197" s="5">
        <v>44978</v>
      </c>
      <c r="I197" s="5">
        <v>45055</v>
      </c>
      <c r="J197" t="s">
        <v>274</v>
      </c>
      <c r="K197" t="s">
        <v>268</v>
      </c>
      <c r="L197">
        <v>2</v>
      </c>
      <c r="M197" t="s">
        <v>275</v>
      </c>
      <c r="N197" t="s">
        <v>237</v>
      </c>
      <c r="O197">
        <v>0</v>
      </c>
      <c r="P197" s="6" t="str">
        <f>VLOOKUP(J197,'Store lookup'!A:C,2,0)</f>
        <v>A026</v>
      </c>
      <c r="Q197" s="6" t="str">
        <f>VLOOKUP(J197,'Store lookup'!A:C,3,0)</f>
        <v>Anaconda Springvale</v>
      </c>
      <c r="R197" s="6" t="str">
        <f t="shared" si="3"/>
        <v>Ananconda</v>
      </c>
      <c r="S197" s="6" t="str">
        <f>VLOOKUP(I197,'FIN CAL LOOKUP'!A:J,7,1)</f>
        <v>MAY, FY23</v>
      </c>
      <c r="T197" s="6" t="str">
        <f>VLOOKUP(I197,'FIN CAL LOOKUP'!A:J,10,1)</f>
        <v>Q4, FY23</v>
      </c>
    </row>
    <row r="198" spans="1:20" hidden="1" x14ac:dyDescent="0.25">
      <c r="A198">
        <v>235135</v>
      </c>
      <c r="B198" t="s">
        <v>459</v>
      </c>
      <c r="C198" t="s">
        <v>460</v>
      </c>
      <c r="D198" t="s">
        <v>278</v>
      </c>
      <c r="E198" t="s">
        <v>264</v>
      </c>
      <c r="F198" t="s">
        <v>297</v>
      </c>
      <c r="G198" t="s">
        <v>266</v>
      </c>
      <c r="H198" s="5">
        <v>44978</v>
      </c>
      <c r="I198" s="5">
        <v>45043</v>
      </c>
      <c r="J198" t="s">
        <v>298</v>
      </c>
      <c r="K198" t="s">
        <v>268</v>
      </c>
      <c r="L198">
        <v>2</v>
      </c>
      <c r="M198" t="s">
        <v>299</v>
      </c>
      <c r="N198" t="s">
        <v>237</v>
      </c>
      <c r="O198">
        <v>0</v>
      </c>
      <c r="P198" s="6" t="str">
        <f>VLOOKUP(J198,'Store lookup'!A:C,2,0)</f>
        <v>A039</v>
      </c>
      <c r="Q198" s="6" t="str">
        <f>VLOOKUP(J198,'Store lookup'!A:C,3,0)</f>
        <v>Anaconda Highett</v>
      </c>
      <c r="R198" s="6" t="str">
        <f t="shared" si="3"/>
        <v>Ananconda</v>
      </c>
      <c r="S198" s="6" t="str">
        <f>VLOOKUP(I198,'FIN CAL LOOKUP'!A:J,7,1)</f>
        <v>MAY, FY23</v>
      </c>
      <c r="T198" s="6" t="str">
        <f>VLOOKUP(I198,'FIN CAL LOOKUP'!A:J,10,1)</f>
        <v>Q4, FY23</v>
      </c>
    </row>
    <row r="199" spans="1:20" hidden="1" x14ac:dyDescent="0.25">
      <c r="A199">
        <v>321433</v>
      </c>
      <c r="B199" t="s">
        <v>461</v>
      </c>
      <c r="C199" t="s">
        <v>462</v>
      </c>
      <c r="D199" t="s">
        <v>272</v>
      </c>
      <c r="E199" t="s">
        <v>264</v>
      </c>
      <c r="F199" t="s">
        <v>297</v>
      </c>
      <c r="G199" t="s">
        <v>266</v>
      </c>
      <c r="H199" s="5">
        <v>44978</v>
      </c>
      <c r="I199" s="5">
        <v>45043</v>
      </c>
      <c r="J199" t="s">
        <v>298</v>
      </c>
      <c r="K199" t="s">
        <v>268</v>
      </c>
      <c r="L199">
        <v>2</v>
      </c>
      <c r="M199" t="s">
        <v>299</v>
      </c>
      <c r="N199" t="s">
        <v>237</v>
      </c>
      <c r="O199">
        <v>0</v>
      </c>
      <c r="P199" s="6" t="str">
        <f>VLOOKUP(J199,'Store lookup'!A:C,2,0)</f>
        <v>A039</v>
      </c>
      <c r="Q199" s="6" t="str">
        <f>VLOOKUP(J199,'Store lookup'!A:C,3,0)</f>
        <v>Anaconda Highett</v>
      </c>
      <c r="R199" s="6" t="str">
        <f t="shared" si="3"/>
        <v>Ananconda</v>
      </c>
      <c r="S199" s="6" t="str">
        <f>VLOOKUP(I199,'FIN CAL LOOKUP'!A:J,7,1)</f>
        <v>MAY, FY23</v>
      </c>
      <c r="T199" s="6" t="str">
        <f>VLOOKUP(I199,'FIN CAL LOOKUP'!A:J,10,1)</f>
        <v>Q4, FY23</v>
      </c>
    </row>
    <row r="200" spans="1:20" hidden="1" x14ac:dyDescent="0.25">
      <c r="A200">
        <v>324195</v>
      </c>
      <c r="B200" t="s">
        <v>637</v>
      </c>
      <c r="C200" t="s">
        <v>638</v>
      </c>
      <c r="D200" t="s">
        <v>272</v>
      </c>
      <c r="E200" t="s">
        <v>264</v>
      </c>
      <c r="F200" t="s">
        <v>358</v>
      </c>
      <c r="G200" t="s">
        <v>266</v>
      </c>
      <c r="H200" s="5">
        <v>44978</v>
      </c>
      <c r="I200" s="5">
        <v>45035</v>
      </c>
      <c r="J200" t="s">
        <v>359</v>
      </c>
      <c r="K200" t="s">
        <v>268</v>
      </c>
      <c r="L200">
        <v>1</v>
      </c>
      <c r="M200" t="s">
        <v>360</v>
      </c>
      <c r="N200" t="s">
        <v>237</v>
      </c>
      <c r="O200">
        <v>1</v>
      </c>
      <c r="P200" s="6" t="str">
        <f>VLOOKUP(J200,'Store lookup'!A:C,2,0)</f>
        <v>A030</v>
      </c>
      <c r="Q200" s="6" t="str">
        <f>VLOOKUP(J200,'Store lookup'!A:C,3,0)</f>
        <v>Anaconda Hoppers Crossing</v>
      </c>
      <c r="R200" s="6" t="str">
        <f t="shared" si="3"/>
        <v>Ananconda</v>
      </c>
      <c r="S200" s="6" t="str">
        <f>VLOOKUP(I200,'FIN CAL LOOKUP'!A:J,7,1)</f>
        <v>APR, FY23</v>
      </c>
      <c r="T200" s="6" t="str">
        <f>VLOOKUP(I200,'FIN CAL LOOKUP'!A:J,10,1)</f>
        <v>Q4, FY23</v>
      </c>
    </row>
    <row r="201" spans="1:20" hidden="1" x14ac:dyDescent="0.25">
      <c r="A201">
        <v>311114</v>
      </c>
      <c r="B201" t="s">
        <v>550</v>
      </c>
      <c r="C201" t="s">
        <v>551</v>
      </c>
      <c r="D201" t="s">
        <v>278</v>
      </c>
      <c r="E201" t="s">
        <v>264</v>
      </c>
      <c r="F201" t="s">
        <v>358</v>
      </c>
      <c r="G201" t="s">
        <v>266</v>
      </c>
      <c r="H201" s="5">
        <v>44978</v>
      </c>
      <c r="I201" s="5">
        <v>45015</v>
      </c>
      <c r="J201" t="s">
        <v>359</v>
      </c>
      <c r="K201" t="s">
        <v>268</v>
      </c>
      <c r="L201">
        <v>1</v>
      </c>
      <c r="M201" t="s">
        <v>360</v>
      </c>
      <c r="N201" t="s">
        <v>237</v>
      </c>
      <c r="O201">
        <v>1</v>
      </c>
      <c r="P201" s="6" t="str">
        <f>VLOOKUP(J201,'Store lookup'!A:C,2,0)</f>
        <v>A030</v>
      </c>
      <c r="Q201" s="6" t="str">
        <f>VLOOKUP(J201,'Store lookup'!A:C,3,0)</f>
        <v>Anaconda Hoppers Crossing</v>
      </c>
      <c r="R201" s="6" t="str">
        <f t="shared" si="3"/>
        <v>Ananconda</v>
      </c>
      <c r="S201" s="6" t="str">
        <f>VLOOKUP(I201,'FIN CAL LOOKUP'!A:J,7,1)</f>
        <v>APR, FY23</v>
      </c>
      <c r="T201" s="6" t="str">
        <f>VLOOKUP(I201,'FIN CAL LOOKUP'!A:J,10,1)</f>
        <v>Q4, FY23</v>
      </c>
    </row>
    <row r="202" spans="1:20" hidden="1" x14ac:dyDescent="0.25">
      <c r="A202">
        <v>326647</v>
      </c>
      <c r="B202" t="s">
        <v>639</v>
      </c>
      <c r="C202" t="s">
        <v>640</v>
      </c>
      <c r="D202" t="s">
        <v>278</v>
      </c>
      <c r="E202" t="s">
        <v>264</v>
      </c>
      <c r="F202" t="s">
        <v>302</v>
      </c>
      <c r="G202" t="s">
        <v>266</v>
      </c>
      <c r="H202" s="5">
        <v>44978</v>
      </c>
      <c r="I202" s="5">
        <v>44995</v>
      </c>
      <c r="J202" t="s">
        <v>303</v>
      </c>
      <c r="K202" t="s">
        <v>268</v>
      </c>
      <c r="L202">
        <v>1</v>
      </c>
      <c r="M202" t="s">
        <v>304</v>
      </c>
      <c r="N202" t="s">
        <v>237</v>
      </c>
      <c r="O202">
        <v>1</v>
      </c>
      <c r="P202" s="6" t="str">
        <f>VLOOKUP(J202,'Store lookup'!A:C,2,0)</f>
        <v>A020</v>
      </c>
      <c r="Q202" s="6" t="str">
        <f>VLOOKUP(J202,'Store lookup'!A:C,3,0)</f>
        <v>Anaconda Preston</v>
      </c>
      <c r="R202" s="6" t="str">
        <f t="shared" si="3"/>
        <v>Ananconda</v>
      </c>
      <c r="S202" s="6" t="str">
        <f>VLOOKUP(I202,'FIN CAL LOOKUP'!A:J,7,1)</f>
        <v>MAR, FY23</v>
      </c>
      <c r="T202" s="6" t="str">
        <f>VLOOKUP(I202,'FIN CAL LOOKUP'!A:J,10,1)</f>
        <v>Q3, FY23</v>
      </c>
    </row>
    <row r="203" spans="1:20" hidden="1" x14ac:dyDescent="0.25">
      <c r="A203">
        <v>323983</v>
      </c>
      <c r="B203" t="s">
        <v>641</v>
      </c>
      <c r="C203" t="s">
        <v>642</v>
      </c>
      <c r="D203" t="s">
        <v>272</v>
      </c>
      <c r="E203" t="s">
        <v>264</v>
      </c>
      <c r="F203" t="s">
        <v>308</v>
      </c>
      <c r="G203" t="s">
        <v>266</v>
      </c>
      <c r="H203" s="5">
        <v>44978</v>
      </c>
      <c r="I203" s="5">
        <v>44993</v>
      </c>
      <c r="J203" t="s">
        <v>309</v>
      </c>
      <c r="K203" t="s">
        <v>268</v>
      </c>
      <c r="L203">
        <v>1</v>
      </c>
      <c r="M203" t="s">
        <v>310</v>
      </c>
      <c r="N203" t="s">
        <v>237</v>
      </c>
      <c r="O203">
        <v>1</v>
      </c>
      <c r="P203" s="6" t="str">
        <f>VLOOKUP(J203,'Store lookup'!A:C,2,0)</f>
        <v>A058</v>
      </c>
      <c r="Q203" s="6" t="str">
        <f>VLOOKUP(J203,'Store lookup'!A:C,3,0)</f>
        <v>Anaconda Hawthorn East</v>
      </c>
      <c r="R203" s="6" t="str">
        <f t="shared" si="3"/>
        <v>Ananconda</v>
      </c>
      <c r="S203" s="6" t="str">
        <f>VLOOKUP(I203,'FIN CAL LOOKUP'!A:J,7,1)</f>
        <v>MAR, FY23</v>
      </c>
      <c r="T203" s="6" t="str">
        <f>VLOOKUP(I203,'FIN CAL LOOKUP'!A:J,10,1)</f>
        <v>Q3, FY23</v>
      </c>
    </row>
    <row r="204" spans="1:20" hidden="1" x14ac:dyDescent="0.25">
      <c r="A204">
        <v>321839</v>
      </c>
      <c r="B204" t="s">
        <v>270</v>
      </c>
      <c r="C204" t="s">
        <v>271</v>
      </c>
      <c r="D204" t="s">
        <v>272</v>
      </c>
      <c r="E204" t="s">
        <v>264</v>
      </c>
      <c r="F204" t="s">
        <v>279</v>
      </c>
      <c r="G204" t="s">
        <v>266</v>
      </c>
      <c r="H204" s="5">
        <v>44978</v>
      </c>
      <c r="I204" s="5">
        <v>44988</v>
      </c>
      <c r="J204" t="s">
        <v>280</v>
      </c>
      <c r="K204" t="s">
        <v>268</v>
      </c>
      <c r="L204">
        <v>1</v>
      </c>
      <c r="M204" t="s">
        <v>281</v>
      </c>
      <c r="N204" t="s">
        <v>237</v>
      </c>
      <c r="O204">
        <v>1</v>
      </c>
      <c r="P204" s="6" t="str">
        <f>VLOOKUP(J204,'Store lookup'!A:C,2,0)</f>
        <v>A041</v>
      </c>
      <c r="Q204" s="6" t="str">
        <f>VLOOKUP(J204,'Store lookup'!A:C,3,0)</f>
        <v>Anaconda Box Hill</v>
      </c>
      <c r="R204" s="6" t="str">
        <f t="shared" si="3"/>
        <v>Ananconda</v>
      </c>
      <c r="S204" s="6" t="str">
        <f>VLOOKUP(I204,'FIN CAL LOOKUP'!A:J,7,1)</f>
        <v>MAR, FY23</v>
      </c>
      <c r="T204" s="6" t="str">
        <f>VLOOKUP(I204,'FIN CAL LOOKUP'!A:J,10,1)</f>
        <v>Q3, FY23</v>
      </c>
    </row>
    <row r="205" spans="1:20" hidden="1" x14ac:dyDescent="0.25">
      <c r="A205">
        <v>307816</v>
      </c>
      <c r="B205" t="s">
        <v>643</v>
      </c>
      <c r="C205" t="s">
        <v>644</v>
      </c>
      <c r="D205" t="s">
        <v>508</v>
      </c>
      <c r="E205" t="s">
        <v>264</v>
      </c>
      <c r="F205" t="s">
        <v>308</v>
      </c>
      <c r="G205" t="s">
        <v>266</v>
      </c>
      <c r="H205" s="5">
        <v>44977</v>
      </c>
      <c r="I205" s="5">
        <v>45065</v>
      </c>
      <c r="J205" t="s">
        <v>309</v>
      </c>
      <c r="K205" t="s">
        <v>268</v>
      </c>
      <c r="L205">
        <v>1</v>
      </c>
      <c r="M205" t="s">
        <v>310</v>
      </c>
      <c r="N205" t="s">
        <v>237</v>
      </c>
      <c r="O205">
        <v>1</v>
      </c>
      <c r="P205" s="6" t="str">
        <f>VLOOKUP(J205,'Store lookup'!A:C,2,0)</f>
        <v>A058</v>
      </c>
      <c r="Q205" s="6" t="str">
        <f>VLOOKUP(J205,'Store lookup'!A:C,3,0)</f>
        <v>Anaconda Hawthorn East</v>
      </c>
      <c r="R205" s="6" t="str">
        <f t="shared" si="3"/>
        <v>Ananconda</v>
      </c>
      <c r="S205" s="6" t="str">
        <f>VLOOKUP(I205,'FIN CAL LOOKUP'!A:J,7,1)</f>
        <v>MAY, FY23</v>
      </c>
      <c r="T205" s="6" t="str">
        <f>VLOOKUP(I205,'FIN CAL LOOKUP'!A:J,10,1)</f>
        <v>Q4, FY23</v>
      </c>
    </row>
    <row r="206" spans="1:20" hidden="1" x14ac:dyDescent="0.25">
      <c r="A206">
        <v>316576</v>
      </c>
      <c r="B206" t="s">
        <v>645</v>
      </c>
      <c r="C206" t="s">
        <v>646</v>
      </c>
      <c r="D206" t="s">
        <v>272</v>
      </c>
      <c r="E206" t="s">
        <v>264</v>
      </c>
      <c r="F206" t="s">
        <v>297</v>
      </c>
      <c r="G206" t="s">
        <v>266</v>
      </c>
      <c r="H206" s="5">
        <v>44977</v>
      </c>
      <c r="I206" s="5">
        <v>45001</v>
      </c>
      <c r="J206" t="s">
        <v>298</v>
      </c>
      <c r="K206" t="s">
        <v>268</v>
      </c>
      <c r="L206">
        <v>1</v>
      </c>
      <c r="M206" t="s">
        <v>299</v>
      </c>
      <c r="N206" t="s">
        <v>237</v>
      </c>
      <c r="O206">
        <v>1</v>
      </c>
      <c r="P206" s="6" t="str">
        <f>VLOOKUP(J206,'Store lookup'!A:C,2,0)</f>
        <v>A039</v>
      </c>
      <c r="Q206" s="6" t="str">
        <f>VLOOKUP(J206,'Store lookup'!A:C,3,0)</f>
        <v>Anaconda Highett</v>
      </c>
      <c r="R206" s="6" t="str">
        <f t="shared" si="3"/>
        <v>Ananconda</v>
      </c>
      <c r="S206" s="6" t="str">
        <f>VLOOKUP(I206,'FIN CAL LOOKUP'!A:J,7,1)</f>
        <v>MAR, FY23</v>
      </c>
      <c r="T206" s="6" t="str">
        <f>VLOOKUP(I206,'FIN CAL LOOKUP'!A:J,10,1)</f>
        <v>Q3, FY23</v>
      </c>
    </row>
    <row r="207" spans="1:20" hidden="1" x14ac:dyDescent="0.25">
      <c r="A207">
        <v>314473</v>
      </c>
      <c r="B207" t="s">
        <v>647</v>
      </c>
      <c r="C207" t="s">
        <v>648</v>
      </c>
      <c r="D207" t="s">
        <v>307</v>
      </c>
      <c r="E207" t="s">
        <v>264</v>
      </c>
      <c r="F207" t="s">
        <v>265</v>
      </c>
      <c r="G207" t="s">
        <v>266</v>
      </c>
      <c r="H207" s="5">
        <v>44977</v>
      </c>
      <c r="I207" s="5">
        <v>45000</v>
      </c>
      <c r="J207" t="s">
        <v>267</v>
      </c>
      <c r="K207" t="s">
        <v>268</v>
      </c>
      <c r="L207">
        <v>1</v>
      </c>
      <c r="M207" t="s">
        <v>269</v>
      </c>
      <c r="N207" t="s">
        <v>237</v>
      </c>
      <c r="O207">
        <v>1</v>
      </c>
      <c r="P207" s="6" t="str">
        <f>VLOOKUP(J207,'Store lookup'!A:C,2,0)</f>
        <v>A001</v>
      </c>
      <c r="Q207" s="6" t="str">
        <f>VLOOKUP(J207,'Store lookup'!A:C,3,0)</f>
        <v>Anaconda Bayswater</v>
      </c>
      <c r="R207" s="6" t="str">
        <f t="shared" si="3"/>
        <v>Ananconda</v>
      </c>
      <c r="S207" s="6" t="str">
        <f>VLOOKUP(I207,'FIN CAL LOOKUP'!A:J,7,1)</f>
        <v>MAR, FY23</v>
      </c>
      <c r="T207" s="6" t="str">
        <f>VLOOKUP(I207,'FIN CAL LOOKUP'!A:J,10,1)</f>
        <v>Q3, FY23</v>
      </c>
    </row>
    <row r="208" spans="1:20" hidden="1" x14ac:dyDescent="0.25">
      <c r="A208">
        <v>323038</v>
      </c>
      <c r="B208" t="s">
        <v>649</v>
      </c>
      <c r="C208" t="s">
        <v>650</v>
      </c>
      <c r="D208" t="s">
        <v>272</v>
      </c>
      <c r="E208" t="s">
        <v>264</v>
      </c>
      <c r="F208" t="s">
        <v>302</v>
      </c>
      <c r="G208" t="s">
        <v>266</v>
      </c>
      <c r="H208" s="5">
        <v>44974</v>
      </c>
      <c r="I208" s="5">
        <v>45044</v>
      </c>
      <c r="J208" t="s">
        <v>303</v>
      </c>
      <c r="K208" t="s">
        <v>268</v>
      </c>
      <c r="L208">
        <v>1</v>
      </c>
      <c r="M208" t="s">
        <v>304</v>
      </c>
      <c r="N208" t="s">
        <v>237</v>
      </c>
      <c r="O208">
        <v>1</v>
      </c>
      <c r="P208" s="6" t="str">
        <f>VLOOKUP(J208,'Store lookup'!A:C,2,0)</f>
        <v>A020</v>
      </c>
      <c r="Q208" s="6" t="str">
        <f>VLOOKUP(J208,'Store lookup'!A:C,3,0)</f>
        <v>Anaconda Preston</v>
      </c>
      <c r="R208" s="6" t="str">
        <f t="shared" si="3"/>
        <v>Ananconda</v>
      </c>
      <c r="S208" s="6" t="str">
        <f>VLOOKUP(I208,'FIN CAL LOOKUP'!A:J,7,1)</f>
        <v>MAY, FY23</v>
      </c>
      <c r="T208" s="6" t="str">
        <f>VLOOKUP(I208,'FIN CAL LOOKUP'!A:J,10,1)</f>
        <v>Q4, FY23</v>
      </c>
    </row>
    <row r="209" spans="1:20" hidden="1" x14ac:dyDescent="0.25">
      <c r="A209">
        <v>215248</v>
      </c>
      <c r="B209" t="s">
        <v>651</v>
      </c>
      <c r="C209" t="s">
        <v>652</v>
      </c>
      <c r="D209" t="s">
        <v>278</v>
      </c>
      <c r="E209" t="s">
        <v>264</v>
      </c>
      <c r="F209" t="s">
        <v>297</v>
      </c>
      <c r="G209" t="s">
        <v>266</v>
      </c>
      <c r="H209" s="5">
        <v>44974</v>
      </c>
      <c r="I209" s="5">
        <v>45014</v>
      </c>
      <c r="J209" t="s">
        <v>298</v>
      </c>
      <c r="K209" t="s">
        <v>268</v>
      </c>
      <c r="L209">
        <v>1</v>
      </c>
      <c r="M209" t="s">
        <v>299</v>
      </c>
      <c r="N209" t="s">
        <v>237</v>
      </c>
      <c r="O209">
        <v>1</v>
      </c>
      <c r="P209" s="6" t="str">
        <f>VLOOKUP(J209,'Store lookup'!A:C,2,0)</f>
        <v>A039</v>
      </c>
      <c r="Q209" s="6" t="str">
        <f>VLOOKUP(J209,'Store lookup'!A:C,3,0)</f>
        <v>Anaconda Highett</v>
      </c>
      <c r="R209" s="6" t="str">
        <f t="shared" si="3"/>
        <v>Ananconda</v>
      </c>
      <c r="S209" s="6" t="str">
        <f>VLOOKUP(I209,'FIN CAL LOOKUP'!A:J,7,1)</f>
        <v>APR, FY23</v>
      </c>
      <c r="T209" s="6" t="str">
        <f>VLOOKUP(I209,'FIN CAL LOOKUP'!A:J,10,1)</f>
        <v>Q4, FY23</v>
      </c>
    </row>
    <row r="210" spans="1:20" hidden="1" x14ac:dyDescent="0.25">
      <c r="A210">
        <v>305326</v>
      </c>
      <c r="B210" t="s">
        <v>653</v>
      </c>
      <c r="C210" t="s">
        <v>654</v>
      </c>
      <c r="D210" t="s">
        <v>263</v>
      </c>
      <c r="E210" t="s">
        <v>264</v>
      </c>
      <c r="F210" t="s">
        <v>285</v>
      </c>
      <c r="G210" t="s">
        <v>266</v>
      </c>
      <c r="H210" s="5">
        <v>44974</v>
      </c>
      <c r="I210" s="5">
        <v>45008</v>
      </c>
      <c r="J210" t="s">
        <v>286</v>
      </c>
      <c r="K210" t="s">
        <v>268</v>
      </c>
      <c r="L210">
        <v>1</v>
      </c>
      <c r="M210" t="s">
        <v>287</v>
      </c>
      <c r="N210" t="s">
        <v>237</v>
      </c>
      <c r="O210">
        <v>1</v>
      </c>
      <c r="P210" s="6" t="str">
        <f>VLOOKUP(J210,'Store lookup'!A:C,2,0)</f>
        <v>A040</v>
      </c>
      <c r="Q210" s="6" t="str">
        <f>VLOOKUP(J210,'Store lookup'!A:C,3,0)</f>
        <v>Anaconda Watergardens</v>
      </c>
      <c r="R210" s="6" t="str">
        <f t="shared" si="3"/>
        <v>Ananconda</v>
      </c>
      <c r="S210" s="6" t="str">
        <f>VLOOKUP(I210,'FIN CAL LOOKUP'!A:J,7,1)</f>
        <v>MAR, FY23</v>
      </c>
      <c r="T210" s="6" t="str">
        <f>VLOOKUP(I210,'FIN CAL LOOKUP'!A:J,10,1)</f>
        <v>Q3, FY23</v>
      </c>
    </row>
    <row r="211" spans="1:20" hidden="1" x14ac:dyDescent="0.25">
      <c r="A211">
        <v>222309</v>
      </c>
      <c r="B211" t="s">
        <v>655</v>
      </c>
      <c r="C211" t="s">
        <v>656</v>
      </c>
      <c r="D211" t="s">
        <v>263</v>
      </c>
      <c r="E211" t="s">
        <v>264</v>
      </c>
      <c r="F211" t="s">
        <v>316</v>
      </c>
      <c r="G211" t="s">
        <v>266</v>
      </c>
      <c r="H211" s="5">
        <v>44974</v>
      </c>
      <c r="I211" s="5">
        <v>45007</v>
      </c>
      <c r="J211" t="s">
        <v>317</v>
      </c>
      <c r="K211" t="s">
        <v>268</v>
      </c>
      <c r="L211">
        <v>1</v>
      </c>
      <c r="M211" t="s">
        <v>318</v>
      </c>
      <c r="N211" t="s">
        <v>237</v>
      </c>
      <c r="O211">
        <v>1</v>
      </c>
      <c r="P211" s="6" t="str">
        <f>VLOOKUP(J211,'Store lookup'!A:C,2,0)</f>
        <v>A052</v>
      </c>
      <c r="Q211" s="6" t="str">
        <f>VLOOKUP(J211,'Store lookup'!A:C,3,0)</f>
        <v>Anaconda Epping</v>
      </c>
      <c r="R211" s="6" t="str">
        <f t="shared" si="3"/>
        <v>Ananconda</v>
      </c>
      <c r="S211" s="6" t="str">
        <f>VLOOKUP(I211,'FIN CAL LOOKUP'!A:J,7,1)</f>
        <v>MAR, FY23</v>
      </c>
      <c r="T211" s="6" t="str">
        <f>VLOOKUP(I211,'FIN CAL LOOKUP'!A:J,10,1)</f>
        <v>Q3, FY23</v>
      </c>
    </row>
    <row r="212" spans="1:20" hidden="1" x14ac:dyDescent="0.25">
      <c r="A212">
        <v>326463</v>
      </c>
      <c r="B212" t="s">
        <v>657</v>
      </c>
      <c r="C212" t="s">
        <v>658</v>
      </c>
      <c r="D212" t="s">
        <v>307</v>
      </c>
      <c r="E212" t="s">
        <v>264</v>
      </c>
      <c r="F212" t="s">
        <v>358</v>
      </c>
      <c r="G212" t="s">
        <v>266</v>
      </c>
      <c r="H212" s="5">
        <v>44973</v>
      </c>
      <c r="I212" s="5">
        <v>44980</v>
      </c>
      <c r="J212" t="s">
        <v>359</v>
      </c>
      <c r="K212" t="s">
        <v>268</v>
      </c>
      <c r="L212">
        <v>1</v>
      </c>
      <c r="M212" t="s">
        <v>360</v>
      </c>
      <c r="N212" t="s">
        <v>237</v>
      </c>
      <c r="O212">
        <v>1</v>
      </c>
      <c r="P212" s="6" t="str">
        <f>VLOOKUP(J212,'Store lookup'!A:C,2,0)</f>
        <v>A030</v>
      </c>
      <c r="Q212" s="6" t="str">
        <f>VLOOKUP(J212,'Store lookup'!A:C,3,0)</f>
        <v>Anaconda Hoppers Crossing</v>
      </c>
      <c r="R212" s="6" t="str">
        <f t="shared" si="3"/>
        <v>Ananconda</v>
      </c>
      <c r="S212" s="6" t="str">
        <f>VLOOKUP(I212,'FIN CAL LOOKUP'!A:J,7,1)</f>
        <v>FEB, FY23</v>
      </c>
      <c r="T212" s="6" t="str">
        <f>VLOOKUP(I212,'FIN CAL LOOKUP'!A:J,10,1)</f>
        <v>Q3, FY23</v>
      </c>
    </row>
    <row r="213" spans="1:20" hidden="1" x14ac:dyDescent="0.25">
      <c r="A213">
        <v>325030</v>
      </c>
      <c r="B213" t="s">
        <v>483</v>
      </c>
      <c r="C213" t="s">
        <v>484</v>
      </c>
      <c r="D213" t="s">
        <v>307</v>
      </c>
      <c r="E213" t="s">
        <v>264</v>
      </c>
      <c r="F213" t="s">
        <v>659</v>
      </c>
      <c r="G213" t="s">
        <v>266</v>
      </c>
      <c r="H213" s="5">
        <v>44965</v>
      </c>
      <c r="I213" s="5">
        <v>45050</v>
      </c>
      <c r="J213" t="s">
        <v>660</v>
      </c>
      <c r="K213" t="s">
        <v>268</v>
      </c>
      <c r="L213">
        <v>1</v>
      </c>
      <c r="M213" t="s">
        <v>661</v>
      </c>
      <c r="N213" t="s">
        <v>237</v>
      </c>
      <c r="O213">
        <v>1</v>
      </c>
      <c r="P213" s="6" t="str">
        <f>VLOOKUP(J213,'Store lookup'!A:C,2,0)</f>
        <v>A037</v>
      </c>
      <c r="Q213" s="6" t="str">
        <f>VLOOKUP(J213,'Store lookup'!A:C,3,0)</f>
        <v>Anaconda Cairns</v>
      </c>
      <c r="R213" s="6" t="str">
        <f t="shared" si="3"/>
        <v>Ananconda</v>
      </c>
      <c r="S213" s="6" t="str">
        <f>VLOOKUP(I213,'FIN CAL LOOKUP'!A:J,7,1)</f>
        <v>MAY, FY23</v>
      </c>
      <c r="T213" s="6" t="str">
        <f>VLOOKUP(I213,'FIN CAL LOOKUP'!A:J,10,1)</f>
        <v>Q4, FY23</v>
      </c>
    </row>
    <row r="214" spans="1:20" hidden="1" x14ac:dyDescent="0.25">
      <c r="A214">
        <v>321424</v>
      </c>
      <c r="B214" t="s">
        <v>662</v>
      </c>
      <c r="C214" t="s">
        <v>663</v>
      </c>
      <c r="D214" t="s">
        <v>307</v>
      </c>
      <c r="E214" t="s">
        <v>264</v>
      </c>
      <c r="F214" t="s">
        <v>336</v>
      </c>
      <c r="G214" t="s">
        <v>266</v>
      </c>
      <c r="H214" s="5">
        <v>44946</v>
      </c>
      <c r="I214" s="5">
        <v>45034</v>
      </c>
      <c r="J214" t="s">
        <v>337</v>
      </c>
      <c r="K214" t="s">
        <v>268</v>
      </c>
      <c r="L214">
        <v>2</v>
      </c>
      <c r="M214" t="s">
        <v>338</v>
      </c>
      <c r="N214" t="s">
        <v>237</v>
      </c>
      <c r="O214">
        <v>0</v>
      </c>
      <c r="P214" s="6" t="str">
        <f>VLOOKUP(J214,'Store lookup'!A:C,2,0)</f>
        <v>A042</v>
      </c>
      <c r="Q214" s="6" t="str">
        <f>VLOOKUP(J214,'Store lookup'!A:C,3,0)</f>
        <v>Anaconda Maribyrnong</v>
      </c>
      <c r="R214" s="6" t="str">
        <f t="shared" si="3"/>
        <v>Ananconda</v>
      </c>
      <c r="S214" s="6" t="str">
        <f>VLOOKUP(I214,'FIN CAL LOOKUP'!A:J,7,1)</f>
        <v>APR, FY23</v>
      </c>
      <c r="T214" s="6" t="str">
        <f>VLOOKUP(I214,'FIN CAL LOOKUP'!A:J,10,1)</f>
        <v>Q4, FY23</v>
      </c>
    </row>
    <row r="215" spans="1:20" hidden="1" x14ac:dyDescent="0.25">
      <c r="A215">
        <v>327036</v>
      </c>
      <c r="B215" t="s">
        <v>397</v>
      </c>
      <c r="C215" t="s">
        <v>398</v>
      </c>
      <c r="D215" t="s">
        <v>278</v>
      </c>
      <c r="E215" t="s">
        <v>264</v>
      </c>
      <c r="F215" t="s">
        <v>273</v>
      </c>
      <c r="G215" t="s">
        <v>266</v>
      </c>
      <c r="H215" s="5">
        <v>44944</v>
      </c>
      <c r="I215" s="5">
        <v>45008</v>
      </c>
      <c r="J215" t="s">
        <v>274</v>
      </c>
      <c r="K215" t="s">
        <v>268</v>
      </c>
      <c r="L215">
        <v>1</v>
      </c>
      <c r="M215" t="s">
        <v>275</v>
      </c>
      <c r="N215" t="s">
        <v>237</v>
      </c>
      <c r="O215">
        <v>1</v>
      </c>
      <c r="P215" s="6" t="str">
        <f>VLOOKUP(J215,'Store lookup'!A:C,2,0)</f>
        <v>A026</v>
      </c>
      <c r="Q215" s="6" t="str">
        <f>VLOOKUP(J215,'Store lookup'!A:C,3,0)</f>
        <v>Anaconda Springvale</v>
      </c>
      <c r="R215" s="6" t="str">
        <f t="shared" si="3"/>
        <v>Ananconda</v>
      </c>
      <c r="S215" s="6" t="str">
        <f>VLOOKUP(I215,'FIN CAL LOOKUP'!A:J,7,1)</f>
        <v>MAR, FY23</v>
      </c>
      <c r="T215" s="6" t="str">
        <f>VLOOKUP(I215,'FIN CAL LOOKUP'!A:J,10,1)</f>
        <v>Q3, FY23</v>
      </c>
    </row>
    <row r="216" spans="1:20" hidden="1" x14ac:dyDescent="0.25">
      <c r="A216">
        <v>312818</v>
      </c>
      <c r="B216" t="s">
        <v>566</v>
      </c>
      <c r="C216" t="s">
        <v>604</v>
      </c>
      <c r="D216" t="s">
        <v>272</v>
      </c>
      <c r="E216" t="s">
        <v>264</v>
      </c>
      <c r="F216" t="s">
        <v>308</v>
      </c>
      <c r="G216" t="s">
        <v>266</v>
      </c>
      <c r="H216" s="5">
        <v>44944</v>
      </c>
      <c r="I216" s="5">
        <v>44992</v>
      </c>
      <c r="J216" t="s">
        <v>309</v>
      </c>
      <c r="K216" t="s">
        <v>268</v>
      </c>
      <c r="L216">
        <v>1</v>
      </c>
      <c r="M216" t="s">
        <v>310</v>
      </c>
      <c r="N216" t="s">
        <v>237</v>
      </c>
      <c r="O216">
        <v>1</v>
      </c>
      <c r="P216" s="6" t="str">
        <f>VLOOKUP(J216,'Store lookup'!A:C,2,0)</f>
        <v>A058</v>
      </c>
      <c r="Q216" s="6" t="str">
        <f>VLOOKUP(J216,'Store lookup'!A:C,3,0)</f>
        <v>Anaconda Hawthorn East</v>
      </c>
      <c r="R216" s="6" t="str">
        <f t="shared" si="3"/>
        <v>Ananconda</v>
      </c>
      <c r="S216" s="6" t="str">
        <f>VLOOKUP(I216,'FIN CAL LOOKUP'!A:J,7,1)</f>
        <v>MAR, FY23</v>
      </c>
      <c r="T216" s="6" t="str">
        <f>VLOOKUP(I216,'FIN CAL LOOKUP'!A:J,10,1)</f>
        <v>Q3, FY23</v>
      </c>
    </row>
    <row r="217" spans="1:20" hidden="1" x14ac:dyDescent="0.25">
      <c r="A217">
        <v>316449</v>
      </c>
      <c r="B217" t="s">
        <v>467</v>
      </c>
      <c r="C217" t="s">
        <v>468</v>
      </c>
      <c r="D217" t="s">
        <v>307</v>
      </c>
      <c r="E217" t="s">
        <v>264</v>
      </c>
      <c r="F217" t="s">
        <v>358</v>
      </c>
      <c r="G217" t="s">
        <v>266</v>
      </c>
      <c r="H217" s="5">
        <v>44944</v>
      </c>
      <c r="I217" s="5">
        <v>44950</v>
      </c>
      <c r="J217" t="s">
        <v>359</v>
      </c>
      <c r="K217" t="s">
        <v>268</v>
      </c>
      <c r="L217">
        <v>1</v>
      </c>
      <c r="M217" t="s">
        <v>360</v>
      </c>
      <c r="N217" t="s">
        <v>237</v>
      </c>
      <c r="O217">
        <v>1</v>
      </c>
      <c r="P217" s="6" t="str">
        <f>VLOOKUP(J217,'Store lookup'!A:C,2,0)</f>
        <v>A030</v>
      </c>
      <c r="Q217" s="6" t="str">
        <f>VLOOKUP(J217,'Store lookup'!A:C,3,0)</f>
        <v>Anaconda Hoppers Crossing</v>
      </c>
      <c r="R217" s="6" t="str">
        <f t="shared" si="3"/>
        <v>Ananconda</v>
      </c>
      <c r="S217" s="6" t="str">
        <f>VLOOKUP(I217,'FIN CAL LOOKUP'!A:J,7,1)</f>
        <v>FEB, FY23</v>
      </c>
      <c r="T217" s="6" t="str">
        <f>VLOOKUP(I217,'FIN CAL LOOKUP'!A:J,10,1)</f>
        <v>Q3, FY23</v>
      </c>
    </row>
    <row r="218" spans="1:20" hidden="1" x14ac:dyDescent="0.25">
      <c r="A218">
        <v>231957</v>
      </c>
      <c r="B218" t="s">
        <v>456</v>
      </c>
      <c r="C218" t="s">
        <v>457</v>
      </c>
      <c r="D218" t="s">
        <v>278</v>
      </c>
      <c r="E218" t="s">
        <v>264</v>
      </c>
      <c r="F218" t="s">
        <v>336</v>
      </c>
      <c r="G218" t="s">
        <v>266</v>
      </c>
      <c r="H218" s="5">
        <v>44942</v>
      </c>
      <c r="I218" s="5">
        <v>45020</v>
      </c>
      <c r="J218" t="s">
        <v>337</v>
      </c>
      <c r="K218" t="s">
        <v>268</v>
      </c>
      <c r="L218">
        <v>2</v>
      </c>
      <c r="M218" t="s">
        <v>338</v>
      </c>
      <c r="N218" t="s">
        <v>237</v>
      </c>
      <c r="O218">
        <v>0</v>
      </c>
      <c r="P218" s="6" t="str">
        <f>VLOOKUP(J218,'Store lookup'!A:C,2,0)</f>
        <v>A042</v>
      </c>
      <c r="Q218" s="6" t="str">
        <f>VLOOKUP(J218,'Store lookup'!A:C,3,0)</f>
        <v>Anaconda Maribyrnong</v>
      </c>
      <c r="R218" s="6" t="str">
        <f t="shared" si="3"/>
        <v>Ananconda</v>
      </c>
      <c r="S218" s="6" t="str">
        <f>VLOOKUP(I218,'FIN CAL LOOKUP'!A:J,7,1)</f>
        <v>APR, FY23</v>
      </c>
      <c r="T218" s="6" t="str">
        <f>VLOOKUP(I218,'FIN CAL LOOKUP'!A:J,10,1)</f>
        <v>Q4, FY23</v>
      </c>
    </row>
    <row r="219" spans="1:20" hidden="1" x14ac:dyDescent="0.25">
      <c r="A219">
        <v>240305</v>
      </c>
      <c r="B219" t="s">
        <v>458</v>
      </c>
      <c r="C219" t="s">
        <v>392</v>
      </c>
      <c r="D219" t="s">
        <v>278</v>
      </c>
      <c r="E219" t="s">
        <v>264</v>
      </c>
      <c r="F219" t="s">
        <v>336</v>
      </c>
      <c r="G219" t="s">
        <v>266</v>
      </c>
      <c r="H219" s="5">
        <v>44942</v>
      </c>
      <c r="I219" s="5">
        <v>45020</v>
      </c>
      <c r="J219" t="s">
        <v>337</v>
      </c>
      <c r="K219" t="s">
        <v>268</v>
      </c>
      <c r="L219">
        <v>2</v>
      </c>
      <c r="M219" t="s">
        <v>338</v>
      </c>
      <c r="N219" t="s">
        <v>237</v>
      </c>
      <c r="O219">
        <v>0</v>
      </c>
      <c r="P219" s="6" t="str">
        <f>VLOOKUP(J219,'Store lookup'!A:C,2,0)</f>
        <v>A042</v>
      </c>
      <c r="Q219" s="6" t="str">
        <f>VLOOKUP(J219,'Store lookup'!A:C,3,0)</f>
        <v>Anaconda Maribyrnong</v>
      </c>
      <c r="R219" s="6" t="str">
        <f t="shared" si="3"/>
        <v>Ananconda</v>
      </c>
      <c r="S219" s="6" t="str">
        <f>VLOOKUP(I219,'FIN CAL LOOKUP'!A:J,7,1)</f>
        <v>APR, FY23</v>
      </c>
      <c r="T219" s="6" t="str">
        <f>VLOOKUP(I219,'FIN CAL LOOKUP'!A:J,10,1)</f>
        <v>Q4, FY23</v>
      </c>
    </row>
    <row r="220" spans="1:20" hidden="1" x14ac:dyDescent="0.25">
      <c r="A220">
        <v>241044</v>
      </c>
      <c r="B220" t="s">
        <v>293</v>
      </c>
      <c r="C220" t="s">
        <v>664</v>
      </c>
      <c r="D220" t="s">
        <v>333</v>
      </c>
      <c r="E220" t="s">
        <v>264</v>
      </c>
      <c r="F220" t="s">
        <v>279</v>
      </c>
      <c r="G220" t="s">
        <v>266</v>
      </c>
      <c r="H220" s="5">
        <v>44935</v>
      </c>
      <c r="I220" s="5">
        <v>44946</v>
      </c>
      <c r="J220" t="s">
        <v>280</v>
      </c>
      <c r="K220" t="s">
        <v>268</v>
      </c>
      <c r="L220">
        <v>1</v>
      </c>
      <c r="M220" t="s">
        <v>281</v>
      </c>
      <c r="N220" t="s">
        <v>237</v>
      </c>
      <c r="O220">
        <v>1</v>
      </c>
      <c r="P220" s="6" t="str">
        <f>VLOOKUP(J220,'Store lookup'!A:C,2,0)</f>
        <v>A041</v>
      </c>
      <c r="Q220" s="6" t="str">
        <f>VLOOKUP(J220,'Store lookup'!A:C,3,0)</f>
        <v>Anaconda Box Hill</v>
      </c>
      <c r="R220" s="6" t="str">
        <f t="shared" si="3"/>
        <v>Ananconda</v>
      </c>
      <c r="S220" s="6" t="str">
        <f>VLOOKUP(I220,'FIN CAL LOOKUP'!A:J,7,1)</f>
        <v>JAN, FY23</v>
      </c>
      <c r="T220" s="6" t="str">
        <f>VLOOKUP(I220,'FIN CAL LOOKUP'!A:J,10,1)</f>
        <v>Q3, FY23</v>
      </c>
    </row>
    <row r="221" spans="1:20" hidden="1" x14ac:dyDescent="0.25">
      <c r="A221">
        <v>235290</v>
      </c>
      <c r="B221" t="s">
        <v>665</v>
      </c>
      <c r="C221" t="s">
        <v>666</v>
      </c>
      <c r="D221" t="s">
        <v>327</v>
      </c>
      <c r="E221" t="s">
        <v>264</v>
      </c>
      <c r="F221" t="s">
        <v>308</v>
      </c>
      <c r="G221" t="s">
        <v>266</v>
      </c>
      <c r="H221" s="5">
        <v>44908</v>
      </c>
      <c r="I221" s="5">
        <v>44937</v>
      </c>
      <c r="J221" t="s">
        <v>309</v>
      </c>
      <c r="K221" t="s">
        <v>268</v>
      </c>
      <c r="L221">
        <v>1</v>
      </c>
      <c r="M221" t="s">
        <v>310</v>
      </c>
      <c r="N221" t="s">
        <v>237</v>
      </c>
      <c r="O221">
        <v>1</v>
      </c>
      <c r="P221" s="6" t="str">
        <f>VLOOKUP(J221,'Store lookup'!A:C,2,0)</f>
        <v>A058</v>
      </c>
      <c r="Q221" s="6" t="str">
        <f>VLOOKUP(J221,'Store lookup'!A:C,3,0)</f>
        <v>Anaconda Hawthorn East</v>
      </c>
      <c r="R221" s="6" t="str">
        <f t="shared" si="3"/>
        <v>Ananconda</v>
      </c>
      <c r="S221" s="6" t="str">
        <f>VLOOKUP(I221,'FIN CAL LOOKUP'!A:J,7,1)</f>
        <v>JAN, FY23</v>
      </c>
      <c r="T221" s="6" t="str">
        <f>VLOOKUP(I221,'FIN CAL LOOKUP'!A:J,10,1)</f>
        <v>Q3, FY23</v>
      </c>
    </row>
    <row r="222" spans="1:20" x14ac:dyDescent="0.25">
      <c r="A222">
        <v>123670</v>
      </c>
      <c r="B222" t="s">
        <v>667</v>
      </c>
      <c r="C222" t="s">
        <v>668</v>
      </c>
      <c r="E222" t="s">
        <v>264</v>
      </c>
      <c r="F222" t="s">
        <v>669</v>
      </c>
      <c r="G222" t="s">
        <v>266</v>
      </c>
      <c r="H222" s="5">
        <v>45544</v>
      </c>
      <c r="I222" s="5">
        <v>45657</v>
      </c>
      <c r="J222" t="s">
        <v>670</v>
      </c>
      <c r="K222" t="s">
        <v>268</v>
      </c>
      <c r="L222">
        <v>3</v>
      </c>
      <c r="N222" t="s">
        <v>237</v>
      </c>
      <c r="O222">
        <v>97</v>
      </c>
      <c r="P222" s="6" t="str">
        <f>VLOOKUP(J222,'Store lookup'!A:C,2,0)</f>
        <v>Exempt</v>
      </c>
      <c r="Q222" s="6" t="str">
        <f>VLOOKUP(J222,'Store lookup'!A:C,3,0)</f>
        <v>Exempt</v>
      </c>
      <c r="R222" s="6" t="str">
        <f t="shared" si="3"/>
        <v>Exempt</v>
      </c>
      <c r="S222" s="6" t="str">
        <f>VLOOKUP(I222,'FIN CAL LOOKUP'!A:J,7,1)</f>
        <v>JAN, FY25</v>
      </c>
      <c r="T222" s="6" t="str">
        <f>VLOOKUP(I222,'FIN CAL LOOKUP'!A:J,10,1)</f>
        <v>Q3, FY25</v>
      </c>
    </row>
    <row r="223" spans="1:20" x14ac:dyDescent="0.25">
      <c r="A223">
        <v>225218</v>
      </c>
      <c r="B223" t="s">
        <v>547</v>
      </c>
      <c r="C223" t="s">
        <v>671</v>
      </c>
      <c r="D223" t="s">
        <v>263</v>
      </c>
      <c r="E223" t="s">
        <v>264</v>
      </c>
      <c r="F223" t="s">
        <v>669</v>
      </c>
      <c r="G223" t="s">
        <v>266</v>
      </c>
      <c r="H223" s="5">
        <v>45419</v>
      </c>
      <c r="I223" s="5">
        <v>45657</v>
      </c>
      <c r="J223" t="s">
        <v>670</v>
      </c>
      <c r="K223" t="s">
        <v>268</v>
      </c>
      <c r="L223">
        <v>3</v>
      </c>
      <c r="N223" t="s">
        <v>237</v>
      </c>
      <c r="O223">
        <v>97</v>
      </c>
      <c r="P223" s="6" t="str">
        <f>VLOOKUP(J223,'Store lookup'!A:C,2,0)</f>
        <v>Exempt</v>
      </c>
      <c r="Q223" s="6" t="str">
        <f>VLOOKUP(J223,'Store lookup'!A:C,3,0)</f>
        <v>Exempt</v>
      </c>
      <c r="R223" s="6" t="str">
        <f t="shared" si="3"/>
        <v>Exempt</v>
      </c>
      <c r="S223" s="6" t="str">
        <f>VLOOKUP(I223,'FIN CAL LOOKUP'!A:J,7,1)</f>
        <v>JAN, FY25</v>
      </c>
      <c r="T223" s="6" t="str">
        <f>VLOOKUP(I223,'FIN CAL LOOKUP'!A:J,10,1)</f>
        <v>Q3, FY25</v>
      </c>
    </row>
    <row r="224" spans="1:20" x14ac:dyDescent="0.25">
      <c r="A224">
        <v>321626</v>
      </c>
      <c r="B224" t="s">
        <v>672</v>
      </c>
      <c r="C224" t="s">
        <v>673</v>
      </c>
      <c r="D224" t="s">
        <v>263</v>
      </c>
      <c r="E224" t="s">
        <v>264</v>
      </c>
      <c r="F224" t="s">
        <v>669</v>
      </c>
      <c r="G224" t="s">
        <v>266</v>
      </c>
      <c r="H224" s="5">
        <v>45419</v>
      </c>
      <c r="I224" s="5">
        <v>45657</v>
      </c>
      <c r="J224" t="s">
        <v>670</v>
      </c>
      <c r="K224" t="s">
        <v>268</v>
      </c>
      <c r="L224">
        <v>3</v>
      </c>
      <c r="N224" t="s">
        <v>237</v>
      </c>
      <c r="O224">
        <v>97</v>
      </c>
      <c r="P224" s="6" t="str">
        <f>VLOOKUP(J224,'Store lookup'!A:C,2,0)</f>
        <v>Exempt</v>
      </c>
      <c r="Q224" s="6" t="str">
        <f>VLOOKUP(J224,'Store lookup'!A:C,3,0)</f>
        <v>Exempt</v>
      </c>
      <c r="R224" s="6" t="str">
        <f t="shared" si="3"/>
        <v>Exempt</v>
      </c>
      <c r="S224" s="6" t="str">
        <f>VLOOKUP(I224,'FIN CAL LOOKUP'!A:J,7,1)</f>
        <v>JAN, FY25</v>
      </c>
      <c r="T224" s="6" t="str">
        <f>VLOOKUP(I224,'FIN CAL LOOKUP'!A:J,10,1)</f>
        <v>Q3, FY25</v>
      </c>
    </row>
    <row r="225" spans="1:20" hidden="1" x14ac:dyDescent="0.25">
      <c r="A225">
        <v>229776</v>
      </c>
      <c r="B225" t="s">
        <v>555</v>
      </c>
      <c r="C225" t="s">
        <v>556</v>
      </c>
      <c r="D225" t="s">
        <v>278</v>
      </c>
      <c r="E225" t="s">
        <v>264</v>
      </c>
      <c r="F225" t="s">
        <v>674</v>
      </c>
      <c r="G225" t="s">
        <v>266</v>
      </c>
      <c r="H225" s="5">
        <v>45233</v>
      </c>
      <c r="I225" s="5">
        <v>45291</v>
      </c>
      <c r="J225" t="s">
        <v>675</v>
      </c>
      <c r="K225" t="s">
        <v>268</v>
      </c>
      <c r="L225">
        <v>21</v>
      </c>
      <c r="M225" t="s">
        <v>676</v>
      </c>
      <c r="N225" t="s">
        <v>236</v>
      </c>
      <c r="O225">
        <v>179</v>
      </c>
      <c r="P225" s="6" t="str">
        <f>VLOOKUP(J225,'Store lookup'!A:C,2,0)</f>
        <v>Exempt</v>
      </c>
      <c r="Q225" s="6" t="str">
        <f>VLOOKUP(J225,'Store lookup'!A:C,3,0)</f>
        <v>Exempt</v>
      </c>
      <c r="R225" s="6" t="str">
        <f t="shared" si="3"/>
        <v>Exempt</v>
      </c>
      <c r="S225" s="6" t="str">
        <f>VLOOKUP(I225,'FIN CAL LOOKUP'!A:J,7,1)</f>
        <v>JAN, FY24</v>
      </c>
      <c r="T225" s="6" t="str">
        <f>VLOOKUP(I225,'FIN CAL LOOKUP'!A:J,10,1)</f>
        <v>Q3, FY24</v>
      </c>
    </row>
    <row r="226" spans="1:20" hidden="1" x14ac:dyDescent="0.25">
      <c r="A226">
        <v>322463</v>
      </c>
      <c r="B226" t="s">
        <v>677</v>
      </c>
      <c r="C226" t="s">
        <v>678</v>
      </c>
      <c r="D226" t="s">
        <v>542</v>
      </c>
      <c r="E226" t="s">
        <v>264</v>
      </c>
      <c r="F226" t="s">
        <v>674</v>
      </c>
      <c r="G226" t="s">
        <v>266</v>
      </c>
      <c r="H226" s="5">
        <v>45183</v>
      </c>
      <c r="I226" s="5">
        <v>45291</v>
      </c>
      <c r="J226" t="s">
        <v>675</v>
      </c>
      <c r="K226" t="s">
        <v>268</v>
      </c>
      <c r="L226">
        <v>21</v>
      </c>
      <c r="M226" t="s">
        <v>676</v>
      </c>
      <c r="N226" t="s">
        <v>236</v>
      </c>
      <c r="O226">
        <v>179</v>
      </c>
      <c r="P226" s="6" t="str">
        <f>VLOOKUP(J226,'Store lookup'!A:C,2,0)</f>
        <v>Exempt</v>
      </c>
      <c r="Q226" s="6" t="str">
        <f>VLOOKUP(J226,'Store lookup'!A:C,3,0)</f>
        <v>Exempt</v>
      </c>
      <c r="R226" s="6" t="str">
        <f t="shared" si="3"/>
        <v>Exempt</v>
      </c>
      <c r="S226" s="6" t="str">
        <f>VLOOKUP(I226,'FIN CAL LOOKUP'!A:J,7,1)</f>
        <v>JAN, FY24</v>
      </c>
      <c r="T226" s="6" t="str">
        <f>VLOOKUP(I226,'FIN CAL LOOKUP'!A:J,10,1)</f>
        <v>Q3, FY24</v>
      </c>
    </row>
    <row r="227" spans="1:20" hidden="1" x14ac:dyDescent="0.25">
      <c r="A227">
        <v>324113</v>
      </c>
      <c r="B227" t="s">
        <v>679</v>
      </c>
      <c r="C227" t="s">
        <v>417</v>
      </c>
      <c r="D227" t="s">
        <v>542</v>
      </c>
      <c r="E227" t="s">
        <v>264</v>
      </c>
      <c r="F227" t="s">
        <v>674</v>
      </c>
      <c r="G227" t="s">
        <v>266</v>
      </c>
      <c r="H227" s="5">
        <v>45183</v>
      </c>
      <c r="I227" s="5">
        <v>45291</v>
      </c>
      <c r="J227" t="s">
        <v>675</v>
      </c>
      <c r="K227" t="s">
        <v>268</v>
      </c>
      <c r="L227">
        <v>21</v>
      </c>
      <c r="M227" t="s">
        <v>676</v>
      </c>
      <c r="N227" t="s">
        <v>236</v>
      </c>
      <c r="O227">
        <v>179</v>
      </c>
      <c r="P227" s="6" t="str">
        <f>VLOOKUP(J227,'Store lookup'!A:C,2,0)</f>
        <v>Exempt</v>
      </c>
      <c r="Q227" s="6" t="str">
        <f>VLOOKUP(J227,'Store lookup'!A:C,3,0)</f>
        <v>Exempt</v>
      </c>
      <c r="R227" s="6" t="str">
        <f t="shared" si="3"/>
        <v>Exempt</v>
      </c>
      <c r="S227" s="6" t="str">
        <f>VLOOKUP(I227,'FIN CAL LOOKUP'!A:J,7,1)</f>
        <v>JAN, FY24</v>
      </c>
      <c r="T227" s="6" t="str">
        <f>VLOOKUP(I227,'FIN CAL LOOKUP'!A:J,10,1)</f>
        <v>Q3, FY24</v>
      </c>
    </row>
    <row r="228" spans="1:20" hidden="1" x14ac:dyDescent="0.25">
      <c r="A228">
        <v>328302</v>
      </c>
      <c r="B228" t="s">
        <v>651</v>
      </c>
      <c r="C228" t="s">
        <v>680</v>
      </c>
      <c r="D228" t="s">
        <v>307</v>
      </c>
      <c r="E228" t="s">
        <v>264</v>
      </c>
      <c r="F228" t="s">
        <v>674</v>
      </c>
      <c r="G228" t="s">
        <v>266</v>
      </c>
      <c r="H228" s="5">
        <v>45181</v>
      </c>
      <c r="I228" s="5">
        <v>45291</v>
      </c>
      <c r="J228" t="s">
        <v>675</v>
      </c>
      <c r="K228" t="s">
        <v>268</v>
      </c>
      <c r="L228">
        <v>21</v>
      </c>
      <c r="M228" t="s">
        <v>676</v>
      </c>
      <c r="N228" t="s">
        <v>236</v>
      </c>
      <c r="O228">
        <v>179</v>
      </c>
      <c r="P228" s="6" t="str">
        <f>VLOOKUP(J228,'Store lookup'!A:C,2,0)</f>
        <v>Exempt</v>
      </c>
      <c r="Q228" s="6" t="str">
        <f>VLOOKUP(J228,'Store lookup'!A:C,3,0)</f>
        <v>Exempt</v>
      </c>
      <c r="R228" s="6" t="str">
        <f t="shared" si="3"/>
        <v>Exempt</v>
      </c>
      <c r="S228" s="6" t="str">
        <f>VLOOKUP(I228,'FIN CAL LOOKUP'!A:J,7,1)</f>
        <v>JAN, FY24</v>
      </c>
      <c r="T228" s="6" t="str">
        <f>VLOOKUP(I228,'FIN CAL LOOKUP'!A:J,10,1)</f>
        <v>Q3, FY24</v>
      </c>
    </row>
    <row r="229" spans="1:20" hidden="1" x14ac:dyDescent="0.25">
      <c r="A229">
        <v>225218</v>
      </c>
      <c r="B229" t="s">
        <v>547</v>
      </c>
      <c r="C229" t="s">
        <v>671</v>
      </c>
      <c r="D229" t="s">
        <v>263</v>
      </c>
      <c r="E229" t="s">
        <v>264</v>
      </c>
      <c r="F229" t="s">
        <v>674</v>
      </c>
      <c r="G229" t="s">
        <v>266</v>
      </c>
      <c r="H229" s="5">
        <v>45174</v>
      </c>
      <c r="I229" s="5">
        <v>45291</v>
      </c>
      <c r="J229" t="s">
        <v>675</v>
      </c>
      <c r="K229" t="s">
        <v>268</v>
      </c>
      <c r="L229">
        <v>21</v>
      </c>
      <c r="M229" t="s">
        <v>676</v>
      </c>
      <c r="N229" t="s">
        <v>236</v>
      </c>
      <c r="O229">
        <v>179</v>
      </c>
      <c r="P229" s="6" t="str">
        <f>VLOOKUP(J229,'Store lookup'!A:C,2,0)</f>
        <v>Exempt</v>
      </c>
      <c r="Q229" s="6" t="str">
        <f>VLOOKUP(J229,'Store lookup'!A:C,3,0)</f>
        <v>Exempt</v>
      </c>
      <c r="R229" s="6" t="str">
        <f t="shared" si="3"/>
        <v>Exempt</v>
      </c>
      <c r="S229" s="6" t="str">
        <f>VLOOKUP(I229,'FIN CAL LOOKUP'!A:J,7,1)</f>
        <v>JAN, FY24</v>
      </c>
      <c r="T229" s="6" t="str">
        <f>VLOOKUP(I229,'FIN CAL LOOKUP'!A:J,10,1)</f>
        <v>Q3, FY24</v>
      </c>
    </row>
    <row r="230" spans="1:20" hidden="1" x14ac:dyDescent="0.25">
      <c r="A230">
        <v>325564</v>
      </c>
      <c r="B230" t="s">
        <v>681</v>
      </c>
      <c r="C230" t="s">
        <v>682</v>
      </c>
      <c r="D230" t="s">
        <v>263</v>
      </c>
      <c r="E230" t="s">
        <v>264</v>
      </c>
      <c r="F230" t="s">
        <v>674</v>
      </c>
      <c r="G230" t="s">
        <v>266</v>
      </c>
      <c r="H230" s="5">
        <v>45174</v>
      </c>
      <c r="I230" s="5">
        <v>45291</v>
      </c>
      <c r="J230" t="s">
        <v>675</v>
      </c>
      <c r="K230" t="s">
        <v>268</v>
      </c>
      <c r="L230">
        <v>21</v>
      </c>
      <c r="M230" t="s">
        <v>676</v>
      </c>
      <c r="N230" t="s">
        <v>236</v>
      </c>
      <c r="O230">
        <v>179</v>
      </c>
      <c r="P230" s="6" t="str">
        <f>VLOOKUP(J230,'Store lookup'!A:C,2,0)</f>
        <v>Exempt</v>
      </c>
      <c r="Q230" s="6" t="str">
        <f>VLOOKUP(J230,'Store lookup'!A:C,3,0)</f>
        <v>Exempt</v>
      </c>
      <c r="R230" s="6" t="str">
        <f t="shared" si="3"/>
        <v>Exempt</v>
      </c>
      <c r="S230" s="6" t="str">
        <f>VLOOKUP(I230,'FIN CAL LOOKUP'!A:J,7,1)</f>
        <v>JAN, FY24</v>
      </c>
      <c r="T230" s="6" t="str">
        <f>VLOOKUP(I230,'FIN CAL LOOKUP'!A:J,10,1)</f>
        <v>Q3, FY24</v>
      </c>
    </row>
    <row r="231" spans="1:20" hidden="1" x14ac:dyDescent="0.25">
      <c r="A231">
        <v>209050</v>
      </c>
      <c r="B231" t="s">
        <v>683</v>
      </c>
      <c r="C231" t="s">
        <v>684</v>
      </c>
      <c r="D231" t="s">
        <v>542</v>
      </c>
      <c r="E231" t="s">
        <v>264</v>
      </c>
      <c r="F231" t="s">
        <v>674</v>
      </c>
      <c r="G231" t="s">
        <v>266</v>
      </c>
      <c r="H231" s="5">
        <v>45061</v>
      </c>
      <c r="I231" s="5">
        <v>45291</v>
      </c>
      <c r="J231" t="s">
        <v>675</v>
      </c>
      <c r="K231" t="s">
        <v>268</v>
      </c>
      <c r="L231">
        <v>21</v>
      </c>
      <c r="M231" t="s">
        <v>676</v>
      </c>
      <c r="N231" t="s">
        <v>238</v>
      </c>
      <c r="O231">
        <v>179</v>
      </c>
      <c r="P231" s="6" t="str">
        <f>VLOOKUP(J231,'Store lookup'!A:C,2,0)</f>
        <v>Exempt</v>
      </c>
      <c r="Q231" s="6" t="str">
        <f>VLOOKUP(J231,'Store lookup'!A:C,3,0)</f>
        <v>Exempt</v>
      </c>
      <c r="R231" s="6" t="str">
        <f t="shared" si="3"/>
        <v>Exempt</v>
      </c>
      <c r="S231" s="6" t="str">
        <f>VLOOKUP(I231,'FIN CAL LOOKUP'!A:J,7,1)</f>
        <v>JAN, FY24</v>
      </c>
      <c r="T231" s="6" t="str">
        <f>VLOOKUP(I231,'FIN CAL LOOKUP'!A:J,10,1)</f>
        <v>Q3, FY24</v>
      </c>
    </row>
    <row r="232" spans="1:20" hidden="1" x14ac:dyDescent="0.25">
      <c r="A232">
        <v>228198</v>
      </c>
      <c r="B232" t="s">
        <v>685</v>
      </c>
      <c r="C232" t="s">
        <v>686</v>
      </c>
      <c r="D232" t="s">
        <v>542</v>
      </c>
      <c r="E232" t="s">
        <v>264</v>
      </c>
      <c r="F232" t="s">
        <v>674</v>
      </c>
      <c r="G232" t="s">
        <v>266</v>
      </c>
      <c r="H232" s="5">
        <v>45061</v>
      </c>
      <c r="I232" s="5">
        <v>45291</v>
      </c>
      <c r="J232" t="s">
        <v>675</v>
      </c>
      <c r="K232" t="s">
        <v>268</v>
      </c>
      <c r="L232">
        <v>21</v>
      </c>
      <c r="M232" t="s">
        <v>676</v>
      </c>
      <c r="N232" t="s">
        <v>238</v>
      </c>
      <c r="O232">
        <v>179</v>
      </c>
      <c r="P232" s="6" t="str">
        <f>VLOOKUP(J232,'Store lookup'!A:C,2,0)</f>
        <v>Exempt</v>
      </c>
      <c r="Q232" s="6" t="str">
        <f>VLOOKUP(J232,'Store lookup'!A:C,3,0)</f>
        <v>Exempt</v>
      </c>
      <c r="R232" s="6" t="str">
        <f t="shared" si="3"/>
        <v>Exempt</v>
      </c>
      <c r="S232" s="6" t="str">
        <f>VLOOKUP(I232,'FIN CAL LOOKUP'!A:J,7,1)</f>
        <v>JAN, FY24</v>
      </c>
      <c r="T232" s="6" t="str">
        <f>VLOOKUP(I232,'FIN CAL LOOKUP'!A:J,10,1)</f>
        <v>Q3, FY24</v>
      </c>
    </row>
    <row r="233" spans="1:20" hidden="1" x14ac:dyDescent="0.25">
      <c r="A233">
        <v>232151</v>
      </c>
      <c r="B233" t="s">
        <v>687</v>
      </c>
      <c r="C233" t="s">
        <v>688</v>
      </c>
      <c r="D233" t="s">
        <v>263</v>
      </c>
      <c r="E233" t="s">
        <v>264</v>
      </c>
      <c r="F233" t="s">
        <v>674</v>
      </c>
      <c r="G233" t="s">
        <v>266</v>
      </c>
      <c r="H233" s="5">
        <v>45061</v>
      </c>
      <c r="I233" s="5">
        <v>45291</v>
      </c>
      <c r="J233" t="s">
        <v>675</v>
      </c>
      <c r="K233" t="s">
        <v>268</v>
      </c>
      <c r="L233">
        <v>21</v>
      </c>
      <c r="M233" t="s">
        <v>676</v>
      </c>
      <c r="N233" t="s">
        <v>236</v>
      </c>
      <c r="O233">
        <v>179</v>
      </c>
      <c r="P233" s="6" t="str">
        <f>VLOOKUP(J233,'Store lookup'!A:C,2,0)</f>
        <v>Exempt</v>
      </c>
      <c r="Q233" s="6" t="str">
        <f>VLOOKUP(J233,'Store lookup'!A:C,3,0)</f>
        <v>Exempt</v>
      </c>
      <c r="R233" s="6" t="str">
        <f t="shared" si="3"/>
        <v>Exempt</v>
      </c>
      <c r="S233" s="6" t="str">
        <f>VLOOKUP(I233,'FIN CAL LOOKUP'!A:J,7,1)</f>
        <v>JAN, FY24</v>
      </c>
      <c r="T233" s="6" t="str">
        <f>VLOOKUP(I233,'FIN CAL LOOKUP'!A:J,10,1)</f>
        <v>Q3, FY24</v>
      </c>
    </row>
    <row r="234" spans="1:20" hidden="1" x14ac:dyDescent="0.25">
      <c r="A234">
        <v>298314</v>
      </c>
      <c r="B234" t="s">
        <v>689</v>
      </c>
      <c r="C234" t="s">
        <v>690</v>
      </c>
      <c r="D234" t="s">
        <v>542</v>
      </c>
      <c r="E234" t="s">
        <v>264</v>
      </c>
      <c r="F234" t="s">
        <v>674</v>
      </c>
      <c r="G234" t="s">
        <v>266</v>
      </c>
      <c r="H234" s="5">
        <v>45061</v>
      </c>
      <c r="I234" s="5">
        <v>45291</v>
      </c>
      <c r="J234" t="s">
        <v>675</v>
      </c>
      <c r="K234" t="s">
        <v>268</v>
      </c>
      <c r="L234">
        <v>21</v>
      </c>
      <c r="M234" t="s">
        <v>676</v>
      </c>
      <c r="N234" t="s">
        <v>236</v>
      </c>
      <c r="O234">
        <v>179</v>
      </c>
      <c r="P234" s="6" t="str">
        <f>VLOOKUP(J234,'Store lookup'!A:C,2,0)</f>
        <v>Exempt</v>
      </c>
      <c r="Q234" s="6" t="str">
        <f>VLOOKUP(J234,'Store lookup'!A:C,3,0)</f>
        <v>Exempt</v>
      </c>
      <c r="R234" s="6" t="str">
        <f t="shared" si="3"/>
        <v>Exempt</v>
      </c>
      <c r="S234" s="6" t="str">
        <f>VLOOKUP(I234,'FIN CAL LOOKUP'!A:J,7,1)</f>
        <v>JAN, FY24</v>
      </c>
      <c r="T234" s="6" t="str">
        <f>VLOOKUP(I234,'FIN CAL LOOKUP'!A:J,10,1)</f>
        <v>Q3, FY24</v>
      </c>
    </row>
    <row r="235" spans="1:20" hidden="1" x14ac:dyDescent="0.25">
      <c r="A235">
        <v>298316</v>
      </c>
      <c r="B235" t="s">
        <v>498</v>
      </c>
      <c r="C235" t="s">
        <v>691</v>
      </c>
      <c r="D235" t="s">
        <v>542</v>
      </c>
      <c r="E235" t="s">
        <v>264</v>
      </c>
      <c r="F235" t="s">
        <v>674</v>
      </c>
      <c r="G235" t="s">
        <v>266</v>
      </c>
      <c r="H235" s="5">
        <v>45061</v>
      </c>
      <c r="I235" s="5">
        <v>45291</v>
      </c>
      <c r="J235" t="s">
        <v>675</v>
      </c>
      <c r="K235" t="s">
        <v>268</v>
      </c>
      <c r="L235">
        <v>21</v>
      </c>
      <c r="M235" t="s">
        <v>676</v>
      </c>
      <c r="N235" t="s">
        <v>236</v>
      </c>
      <c r="O235">
        <v>179</v>
      </c>
      <c r="P235" s="6" t="str">
        <f>VLOOKUP(J235,'Store lookup'!A:C,2,0)</f>
        <v>Exempt</v>
      </c>
      <c r="Q235" s="6" t="str">
        <f>VLOOKUP(J235,'Store lookup'!A:C,3,0)</f>
        <v>Exempt</v>
      </c>
      <c r="R235" s="6" t="str">
        <f t="shared" si="3"/>
        <v>Exempt</v>
      </c>
      <c r="S235" s="6" t="str">
        <f>VLOOKUP(I235,'FIN CAL LOOKUP'!A:J,7,1)</f>
        <v>JAN, FY24</v>
      </c>
      <c r="T235" s="6" t="str">
        <f>VLOOKUP(I235,'FIN CAL LOOKUP'!A:J,10,1)</f>
        <v>Q3, FY24</v>
      </c>
    </row>
    <row r="236" spans="1:20" hidden="1" x14ac:dyDescent="0.25">
      <c r="A236">
        <v>298317</v>
      </c>
      <c r="B236" t="s">
        <v>692</v>
      </c>
      <c r="C236" t="s">
        <v>693</v>
      </c>
      <c r="D236" t="s">
        <v>542</v>
      </c>
      <c r="E236" t="s">
        <v>264</v>
      </c>
      <c r="F236" t="s">
        <v>674</v>
      </c>
      <c r="G236" t="s">
        <v>266</v>
      </c>
      <c r="H236" s="5">
        <v>45061</v>
      </c>
      <c r="I236" s="5">
        <v>45291</v>
      </c>
      <c r="J236" t="s">
        <v>675</v>
      </c>
      <c r="K236" t="s">
        <v>268</v>
      </c>
      <c r="L236">
        <v>21</v>
      </c>
      <c r="M236" t="s">
        <v>676</v>
      </c>
      <c r="N236" t="s">
        <v>236</v>
      </c>
      <c r="O236">
        <v>179</v>
      </c>
      <c r="P236" s="6" t="str">
        <f>VLOOKUP(J236,'Store lookup'!A:C,2,0)</f>
        <v>Exempt</v>
      </c>
      <c r="Q236" s="6" t="str">
        <f>VLOOKUP(J236,'Store lookup'!A:C,3,0)</f>
        <v>Exempt</v>
      </c>
      <c r="R236" s="6" t="str">
        <f t="shared" si="3"/>
        <v>Exempt</v>
      </c>
      <c r="S236" s="6" t="str">
        <f>VLOOKUP(I236,'FIN CAL LOOKUP'!A:J,7,1)</f>
        <v>JAN, FY24</v>
      </c>
      <c r="T236" s="6" t="str">
        <f>VLOOKUP(I236,'FIN CAL LOOKUP'!A:J,10,1)</f>
        <v>Q3, FY24</v>
      </c>
    </row>
    <row r="237" spans="1:20" hidden="1" x14ac:dyDescent="0.25">
      <c r="A237">
        <v>309143</v>
      </c>
      <c r="B237" t="s">
        <v>694</v>
      </c>
      <c r="C237" t="s">
        <v>695</v>
      </c>
      <c r="D237" t="s">
        <v>542</v>
      </c>
      <c r="E237" t="s">
        <v>264</v>
      </c>
      <c r="F237" t="s">
        <v>674</v>
      </c>
      <c r="G237" t="s">
        <v>266</v>
      </c>
      <c r="H237" s="5">
        <v>45061</v>
      </c>
      <c r="I237" s="5">
        <v>45291</v>
      </c>
      <c r="J237" t="s">
        <v>675</v>
      </c>
      <c r="K237" t="s">
        <v>268</v>
      </c>
      <c r="L237">
        <v>21</v>
      </c>
      <c r="M237" t="s">
        <v>676</v>
      </c>
      <c r="N237" t="s">
        <v>236</v>
      </c>
      <c r="O237">
        <v>179</v>
      </c>
      <c r="P237" s="6" t="str">
        <f>VLOOKUP(J237,'Store lookup'!A:C,2,0)</f>
        <v>Exempt</v>
      </c>
      <c r="Q237" s="6" t="str">
        <f>VLOOKUP(J237,'Store lookup'!A:C,3,0)</f>
        <v>Exempt</v>
      </c>
      <c r="R237" s="6" t="str">
        <f t="shared" si="3"/>
        <v>Exempt</v>
      </c>
      <c r="S237" s="6" t="str">
        <f>VLOOKUP(I237,'FIN CAL LOOKUP'!A:J,7,1)</f>
        <v>JAN, FY24</v>
      </c>
      <c r="T237" s="6" t="str">
        <f>VLOOKUP(I237,'FIN CAL LOOKUP'!A:J,10,1)</f>
        <v>Q3, FY24</v>
      </c>
    </row>
    <row r="238" spans="1:20" hidden="1" x14ac:dyDescent="0.25">
      <c r="A238">
        <v>320638</v>
      </c>
      <c r="B238" t="s">
        <v>696</v>
      </c>
      <c r="C238" t="s">
        <v>697</v>
      </c>
      <c r="D238" t="s">
        <v>542</v>
      </c>
      <c r="E238" t="s">
        <v>264</v>
      </c>
      <c r="F238" t="s">
        <v>674</v>
      </c>
      <c r="G238" t="s">
        <v>266</v>
      </c>
      <c r="H238" s="5">
        <v>45061</v>
      </c>
      <c r="I238" s="5">
        <v>45291</v>
      </c>
      <c r="J238" t="s">
        <v>675</v>
      </c>
      <c r="K238" t="s">
        <v>268</v>
      </c>
      <c r="L238">
        <v>21</v>
      </c>
      <c r="M238" t="s">
        <v>676</v>
      </c>
      <c r="N238" t="s">
        <v>236</v>
      </c>
      <c r="O238">
        <v>179</v>
      </c>
      <c r="P238" s="6" t="str">
        <f>VLOOKUP(J238,'Store lookup'!A:C,2,0)</f>
        <v>Exempt</v>
      </c>
      <c r="Q238" s="6" t="str">
        <f>VLOOKUP(J238,'Store lookup'!A:C,3,0)</f>
        <v>Exempt</v>
      </c>
      <c r="R238" s="6" t="str">
        <f t="shared" si="3"/>
        <v>Exempt</v>
      </c>
      <c r="S238" s="6" t="str">
        <f>VLOOKUP(I238,'FIN CAL LOOKUP'!A:J,7,1)</f>
        <v>JAN, FY24</v>
      </c>
      <c r="T238" s="6" t="str">
        <f>VLOOKUP(I238,'FIN CAL LOOKUP'!A:J,10,1)</f>
        <v>Q3, FY24</v>
      </c>
    </row>
    <row r="239" spans="1:20" hidden="1" x14ac:dyDescent="0.25">
      <c r="A239">
        <v>323934</v>
      </c>
      <c r="B239" t="s">
        <v>698</v>
      </c>
      <c r="C239" t="s">
        <v>699</v>
      </c>
      <c r="D239" t="s">
        <v>542</v>
      </c>
      <c r="E239" t="s">
        <v>264</v>
      </c>
      <c r="F239" t="s">
        <v>674</v>
      </c>
      <c r="G239" t="s">
        <v>266</v>
      </c>
      <c r="H239" s="5">
        <v>45061</v>
      </c>
      <c r="I239" s="5">
        <v>45291</v>
      </c>
      <c r="J239" t="s">
        <v>675</v>
      </c>
      <c r="K239" t="s">
        <v>268</v>
      </c>
      <c r="L239">
        <v>21</v>
      </c>
      <c r="M239" t="s">
        <v>676</v>
      </c>
      <c r="N239" t="s">
        <v>238</v>
      </c>
      <c r="O239">
        <v>179</v>
      </c>
      <c r="P239" s="6" t="str">
        <f>VLOOKUP(J239,'Store lookup'!A:C,2,0)</f>
        <v>Exempt</v>
      </c>
      <c r="Q239" s="6" t="str">
        <f>VLOOKUP(J239,'Store lookup'!A:C,3,0)</f>
        <v>Exempt</v>
      </c>
      <c r="R239" s="6" t="str">
        <f t="shared" si="3"/>
        <v>Exempt</v>
      </c>
      <c r="S239" s="6" t="str">
        <f>VLOOKUP(I239,'FIN CAL LOOKUP'!A:J,7,1)</f>
        <v>JAN, FY24</v>
      </c>
      <c r="T239" s="6" t="str">
        <f>VLOOKUP(I239,'FIN CAL LOOKUP'!A:J,10,1)</f>
        <v>Q3, FY24</v>
      </c>
    </row>
    <row r="240" spans="1:20" hidden="1" x14ac:dyDescent="0.25">
      <c r="A240">
        <v>324220</v>
      </c>
      <c r="B240" t="s">
        <v>700</v>
      </c>
      <c r="C240" t="s">
        <v>701</v>
      </c>
      <c r="D240" t="s">
        <v>542</v>
      </c>
      <c r="E240" t="s">
        <v>264</v>
      </c>
      <c r="F240" t="s">
        <v>674</v>
      </c>
      <c r="G240" t="s">
        <v>266</v>
      </c>
      <c r="H240" s="5">
        <v>45061</v>
      </c>
      <c r="I240" s="5">
        <v>45291</v>
      </c>
      <c r="J240" t="s">
        <v>675</v>
      </c>
      <c r="K240" t="s">
        <v>268</v>
      </c>
      <c r="L240">
        <v>21</v>
      </c>
      <c r="M240" t="s">
        <v>676</v>
      </c>
      <c r="N240" t="s">
        <v>236</v>
      </c>
      <c r="O240">
        <v>179</v>
      </c>
      <c r="P240" s="6" t="str">
        <f>VLOOKUP(J240,'Store lookup'!A:C,2,0)</f>
        <v>Exempt</v>
      </c>
      <c r="Q240" s="6" t="str">
        <f>VLOOKUP(J240,'Store lookup'!A:C,3,0)</f>
        <v>Exempt</v>
      </c>
      <c r="R240" s="6" t="str">
        <f t="shared" si="3"/>
        <v>Exempt</v>
      </c>
      <c r="S240" s="6" t="str">
        <f>VLOOKUP(I240,'FIN CAL LOOKUP'!A:J,7,1)</f>
        <v>JAN, FY24</v>
      </c>
      <c r="T240" s="6" t="str">
        <f>VLOOKUP(I240,'FIN CAL LOOKUP'!A:J,10,1)</f>
        <v>Q3, FY24</v>
      </c>
    </row>
    <row r="241" spans="1:20" hidden="1" x14ac:dyDescent="0.25">
      <c r="A241">
        <v>327165</v>
      </c>
      <c r="B241" t="s">
        <v>702</v>
      </c>
      <c r="C241" t="s">
        <v>703</v>
      </c>
      <c r="D241" t="s">
        <v>542</v>
      </c>
      <c r="E241" t="s">
        <v>264</v>
      </c>
      <c r="F241" t="s">
        <v>674</v>
      </c>
      <c r="G241" t="s">
        <v>266</v>
      </c>
      <c r="H241" s="5">
        <v>45061</v>
      </c>
      <c r="I241" s="5">
        <v>45291</v>
      </c>
      <c r="J241" t="s">
        <v>675</v>
      </c>
      <c r="K241" t="s">
        <v>268</v>
      </c>
      <c r="L241">
        <v>21</v>
      </c>
      <c r="M241" t="s">
        <v>676</v>
      </c>
      <c r="N241" t="s">
        <v>236</v>
      </c>
      <c r="O241">
        <v>179</v>
      </c>
      <c r="P241" s="6" t="str">
        <f>VLOOKUP(J241,'Store lookup'!A:C,2,0)</f>
        <v>Exempt</v>
      </c>
      <c r="Q241" s="6" t="str">
        <f>VLOOKUP(J241,'Store lookup'!A:C,3,0)</f>
        <v>Exempt</v>
      </c>
      <c r="R241" s="6" t="str">
        <f t="shared" si="3"/>
        <v>Exempt</v>
      </c>
      <c r="S241" s="6" t="str">
        <f>VLOOKUP(I241,'FIN CAL LOOKUP'!A:J,7,1)</f>
        <v>JAN, FY24</v>
      </c>
      <c r="T241" s="6" t="str">
        <f>VLOOKUP(I241,'FIN CAL LOOKUP'!A:J,10,1)</f>
        <v>Q3, FY24</v>
      </c>
    </row>
    <row r="242" spans="1:20" hidden="1" x14ac:dyDescent="0.25">
      <c r="A242">
        <v>314778</v>
      </c>
      <c r="B242" t="s">
        <v>465</v>
      </c>
      <c r="C242" t="s">
        <v>466</v>
      </c>
      <c r="D242" t="s">
        <v>307</v>
      </c>
      <c r="E242" t="s">
        <v>264</v>
      </c>
      <c r="F242" t="s">
        <v>674</v>
      </c>
      <c r="G242" t="s">
        <v>266</v>
      </c>
      <c r="H242" s="5">
        <v>45058</v>
      </c>
      <c r="I242" s="5">
        <v>45291</v>
      </c>
      <c r="J242" t="s">
        <v>675</v>
      </c>
      <c r="K242" t="s">
        <v>268</v>
      </c>
      <c r="L242">
        <v>21</v>
      </c>
      <c r="M242" t="s">
        <v>676</v>
      </c>
      <c r="N242" t="s">
        <v>236</v>
      </c>
      <c r="O242">
        <v>179</v>
      </c>
      <c r="P242" s="6" t="str">
        <f>VLOOKUP(J242,'Store lookup'!A:C,2,0)</f>
        <v>Exempt</v>
      </c>
      <c r="Q242" s="6" t="str">
        <f>VLOOKUP(J242,'Store lookup'!A:C,3,0)</f>
        <v>Exempt</v>
      </c>
      <c r="R242" s="6" t="str">
        <f t="shared" si="3"/>
        <v>Exempt</v>
      </c>
      <c r="S242" s="6" t="str">
        <f>VLOOKUP(I242,'FIN CAL LOOKUP'!A:J,7,1)</f>
        <v>JAN, FY24</v>
      </c>
      <c r="T242" s="6" t="str">
        <f>VLOOKUP(I242,'FIN CAL LOOKUP'!A:J,10,1)</f>
        <v>Q3, FY24</v>
      </c>
    </row>
    <row r="243" spans="1:20" hidden="1" x14ac:dyDescent="0.25">
      <c r="A243">
        <v>316827</v>
      </c>
      <c r="B243" t="s">
        <v>704</v>
      </c>
      <c r="C243" t="s">
        <v>705</v>
      </c>
      <c r="D243" t="s">
        <v>307</v>
      </c>
      <c r="E243" t="s">
        <v>264</v>
      </c>
      <c r="F243" t="s">
        <v>674</v>
      </c>
      <c r="G243" t="s">
        <v>266</v>
      </c>
      <c r="H243" s="5">
        <v>45058</v>
      </c>
      <c r="I243" s="5">
        <v>45291</v>
      </c>
      <c r="J243" t="s">
        <v>675</v>
      </c>
      <c r="K243" t="s">
        <v>268</v>
      </c>
      <c r="L243">
        <v>21</v>
      </c>
      <c r="M243" t="s">
        <v>676</v>
      </c>
      <c r="N243" t="s">
        <v>237</v>
      </c>
      <c r="O243">
        <v>179</v>
      </c>
      <c r="P243" s="6" t="str">
        <f>VLOOKUP(J243,'Store lookup'!A:C,2,0)</f>
        <v>Exempt</v>
      </c>
      <c r="Q243" s="6" t="str">
        <f>VLOOKUP(J243,'Store lookup'!A:C,3,0)</f>
        <v>Exempt</v>
      </c>
      <c r="R243" s="6" t="str">
        <f t="shared" si="3"/>
        <v>Exempt</v>
      </c>
      <c r="S243" s="6" t="str">
        <f>VLOOKUP(I243,'FIN CAL LOOKUP'!A:J,7,1)</f>
        <v>JAN, FY24</v>
      </c>
      <c r="T243" s="6" t="str">
        <f>VLOOKUP(I243,'FIN CAL LOOKUP'!A:J,10,1)</f>
        <v>Q3, FY24</v>
      </c>
    </row>
    <row r="244" spans="1:20" hidden="1" x14ac:dyDescent="0.25">
      <c r="A244">
        <v>234830</v>
      </c>
      <c r="B244" t="s">
        <v>706</v>
      </c>
      <c r="C244" t="s">
        <v>707</v>
      </c>
      <c r="D244" t="s">
        <v>272</v>
      </c>
      <c r="E244" t="s">
        <v>264</v>
      </c>
      <c r="F244" t="s">
        <v>674</v>
      </c>
      <c r="G244" t="s">
        <v>266</v>
      </c>
      <c r="H244" s="5">
        <v>45057</v>
      </c>
      <c r="I244" s="5">
        <v>45291</v>
      </c>
      <c r="J244" t="s">
        <v>675</v>
      </c>
      <c r="K244" t="s">
        <v>268</v>
      </c>
      <c r="L244">
        <v>21</v>
      </c>
      <c r="M244" t="s">
        <v>676</v>
      </c>
      <c r="N244" t="s">
        <v>237</v>
      </c>
      <c r="O244">
        <v>179</v>
      </c>
      <c r="P244" s="6" t="str">
        <f>VLOOKUP(J244,'Store lookup'!A:C,2,0)</f>
        <v>Exempt</v>
      </c>
      <c r="Q244" s="6" t="str">
        <f>VLOOKUP(J244,'Store lookup'!A:C,3,0)</f>
        <v>Exempt</v>
      </c>
      <c r="R244" s="6" t="str">
        <f t="shared" si="3"/>
        <v>Exempt</v>
      </c>
      <c r="S244" s="6" t="str">
        <f>VLOOKUP(I244,'FIN CAL LOOKUP'!A:J,7,1)</f>
        <v>JAN, FY24</v>
      </c>
      <c r="T244" s="6" t="str">
        <f>VLOOKUP(I244,'FIN CAL LOOKUP'!A:J,10,1)</f>
        <v>Q3, FY24</v>
      </c>
    </row>
    <row r="245" spans="1:20" hidden="1" x14ac:dyDescent="0.25">
      <c r="A245">
        <v>301137</v>
      </c>
      <c r="B245" t="s">
        <v>708</v>
      </c>
      <c r="C245" t="s">
        <v>709</v>
      </c>
      <c r="D245" t="s">
        <v>278</v>
      </c>
      <c r="E245" t="s">
        <v>264</v>
      </c>
      <c r="F245" t="s">
        <v>674</v>
      </c>
      <c r="G245" t="s">
        <v>266</v>
      </c>
      <c r="H245" s="5">
        <v>45057</v>
      </c>
      <c r="I245" s="5">
        <v>45291</v>
      </c>
      <c r="J245" t="s">
        <v>675</v>
      </c>
      <c r="K245" t="s">
        <v>268</v>
      </c>
      <c r="L245">
        <v>21</v>
      </c>
      <c r="M245" t="s">
        <v>676</v>
      </c>
      <c r="N245" t="s">
        <v>237</v>
      </c>
      <c r="O245">
        <v>179</v>
      </c>
      <c r="P245" s="6" t="str">
        <f>VLOOKUP(J245,'Store lookup'!A:C,2,0)</f>
        <v>Exempt</v>
      </c>
      <c r="Q245" s="6" t="str">
        <f>VLOOKUP(J245,'Store lookup'!A:C,3,0)</f>
        <v>Exempt</v>
      </c>
      <c r="R245" s="6" t="str">
        <f t="shared" si="3"/>
        <v>Exempt</v>
      </c>
      <c r="S245" s="6" t="str">
        <f>VLOOKUP(I245,'FIN CAL LOOKUP'!A:J,7,1)</f>
        <v>JAN, FY24</v>
      </c>
      <c r="T245" s="6" t="str">
        <f>VLOOKUP(I245,'FIN CAL LOOKUP'!A:J,10,1)</f>
        <v>Q3, FY24</v>
      </c>
    </row>
    <row r="246" spans="1:20" hidden="1" x14ac:dyDescent="0.25">
      <c r="A246">
        <v>229474</v>
      </c>
      <c r="B246" t="s">
        <v>710</v>
      </c>
      <c r="C246" t="s">
        <v>711</v>
      </c>
      <c r="D246" t="s">
        <v>307</v>
      </c>
      <c r="E246" t="s">
        <v>264</v>
      </c>
      <c r="F246" t="s">
        <v>669</v>
      </c>
      <c r="G246" t="s">
        <v>266</v>
      </c>
      <c r="H246" s="5">
        <v>45057</v>
      </c>
      <c r="I246" s="5">
        <v>45261</v>
      </c>
      <c r="J246" t="s">
        <v>712</v>
      </c>
      <c r="K246" t="s">
        <v>268</v>
      </c>
      <c r="L246">
        <v>3</v>
      </c>
      <c r="M246" t="s">
        <v>676</v>
      </c>
      <c r="N246" t="s">
        <v>238</v>
      </c>
      <c r="O246">
        <v>197</v>
      </c>
      <c r="P246" s="6" t="str">
        <f>VLOOKUP(J246,'Store lookup'!A:C,2,0)</f>
        <v>Exempt</v>
      </c>
      <c r="Q246" s="6" t="str">
        <f>VLOOKUP(J246,'Store lookup'!A:C,3,0)</f>
        <v>Exempt</v>
      </c>
      <c r="R246" s="6" t="str">
        <f t="shared" si="3"/>
        <v>Exempt</v>
      </c>
      <c r="S246" s="6" t="str">
        <f>VLOOKUP(I246,'FIN CAL LOOKUP'!A:J,7,1)</f>
        <v>DEC, FY24</v>
      </c>
      <c r="T246" s="6" t="str">
        <f>VLOOKUP(I246,'FIN CAL LOOKUP'!A:J,10,1)</f>
        <v>Q2, FY24</v>
      </c>
    </row>
    <row r="247" spans="1:20" hidden="1" x14ac:dyDescent="0.25">
      <c r="A247">
        <v>202731</v>
      </c>
      <c r="B247" t="s">
        <v>713</v>
      </c>
      <c r="C247" t="s">
        <v>714</v>
      </c>
      <c r="D247" t="s">
        <v>307</v>
      </c>
      <c r="E247" t="s">
        <v>264</v>
      </c>
      <c r="F247" t="s">
        <v>669</v>
      </c>
      <c r="G247" t="s">
        <v>266</v>
      </c>
      <c r="H247" s="5">
        <v>45056</v>
      </c>
      <c r="I247" s="5">
        <v>45261</v>
      </c>
      <c r="J247" t="s">
        <v>712</v>
      </c>
      <c r="K247" t="s">
        <v>268</v>
      </c>
      <c r="L247">
        <v>3</v>
      </c>
      <c r="M247" t="s">
        <v>676</v>
      </c>
      <c r="N247" t="s">
        <v>236</v>
      </c>
      <c r="O247">
        <v>197</v>
      </c>
      <c r="P247" s="6" t="str">
        <f>VLOOKUP(J247,'Store lookup'!A:C,2,0)</f>
        <v>Exempt</v>
      </c>
      <c r="Q247" s="6" t="str">
        <f>VLOOKUP(J247,'Store lookup'!A:C,3,0)</f>
        <v>Exempt</v>
      </c>
      <c r="R247" s="6" t="str">
        <f t="shared" si="3"/>
        <v>Exempt</v>
      </c>
      <c r="S247" s="6" t="str">
        <f>VLOOKUP(I247,'FIN CAL LOOKUP'!A:J,7,1)</f>
        <v>DEC, FY24</v>
      </c>
      <c r="T247" s="6" t="str">
        <f>VLOOKUP(I247,'FIN CAL LOOKUP'!A:J,10,1)</f>
        <v>Q2, FY24</v>
      </c>
    </row>
    <row r="248" spans="1:20" hidden="1" x14ac:dyDescent="0.25">
      <c r="A248">
        <v>225218</v>
      </c>
      <c r="B248" t="s">
        <v>547</v>
      </c>
      <c r="C248" t="s">
        <v>671</v>
      </c>
      <c r="D248" t="s">
        <v>263</v>
      </c>
      <c r="E248" t="s">
        <v>264</v>
      </c>
      <c r="F248" t="s">
        <v>669</v>
      </c>
      <c r="G248" t="s">
        <v>266</v>
      </c>
      <c r="H248" s="5">
        <v>45008</v>
      </c>
      <c r="I248" s="5">
        <v>45261</v>
      </c>
      <c r="J248" t="s">
        <v>712</v>
      </c>
      <c r="K248" t="s">
        <v>268</v>
      </c>
      <c r="L248">
        <v>3</v>
      </c>
      <c r="M248" t="s">
        <v>676</v>
      </c>
      <c r="N248" t="s">
        <v>236</v>
      </c>
      <c r="O248">
        <v>197</v>
      </c>
      <c r="P248" s="6" t="str">
        <f>VLOOKUP(J248,'Store lookup'!A:C,2,0)</f>
        <v>Exempt</v>
      </c>
      <c r="Q248" s="6" t="str">
        <f>VLOOKUP(J248,'Store lookup'!A:C,3,0)</f>
        <v>Exempt</v>
      </c>
      <c r="R248" s="6" t="str">
        <f t="shared" si="3"/>
        <v>Exempt</v>
      </c>
      <c r="S248" s="6" t="str">
        <f>VLOOKUP(I248,'FIN CAL LOOKUP'!A:J,7,1)</f>
        <v>DEC, FY24</v>
      </c>
      <c r="T248" s="6" t="str">
        <f>VLOOKUP(I248,'FIN CAL LOOKUP'!A:J,10,1)</f>
        <v>Q2, FY24</v>
      </c>
    </row>
    <row r="249" spans="1:20" hidden="1" x14ac:dyDescent="0.25">
      <c r="A249">
        <v>201940</v>
      </c>
      <c r="B249" t="s">
        <v>474</v>
      </c>
      <c r="C249" t="s">
        <v>715</v>
      </c>
      <c r="D249" t="s">
        <v>307</v>
      </c>
      <c r="E249" t="s">
        <v>264</v>
      </c>
      <c r="F249" t="s">
        <v>669</v>
      </c>
      <c r="G249" t="s">
        <v>266</v>
      </c>
      <c r="H249" s="5">
        <v>44992</v>
      </c>
      <c r="I249" s="5">
        <v>45261</v>
      </c>
      <c r="J249" t="s">
        <v>712</v>
      </c>
      <c r="K249" t="s">
        <v>268</v>
      </c>
      <c r="L249">
        <v>3</v>
      </c>
      <c r="M249" t="s">
        <v>676</v>
      </c>
      <c r="N249" t="s">
        <v>236</v>
      </c>
      <c r="O249">
        <v>197</v>
      </c>
      <c r="P249" s="6" t="str">
        <f>VLOOKUP(J249,'Store lookup'!A:C,2,0)</f>
        <v>Exempt</v>
      </c>
      <c r="Q249" s="6" t="str">
        <f>VLOOKUP(J249,'Store lookup'!A:C,3,0)</f>
        <v>Exempt</v>
      </c>
      <c r="R249" s="6" t="str">
        <f t="shared" si="3"/>
        <v>Exempt</v>
      </c>
      <c r="S249" s="6" t="str">
        <f>VLOOKUP(I249,'FIN CAL LOOKUP'!A:J,7,1)</f>
        <v>DEC, FY24</v>
      </c>
      <c r="T249" s="6" t="str">
        <f>VLOOKUP(I249,'FIN CAL LOOKUP'!A:J,10,1)</f>
        <v>Q2, FY24</v>
      </c>
    </row>
    <row r="250" spans="1:20" hidden="1" x14ac:dyDescent="0.25">
      <c r="A250">
        <v>313819</v>
      </c>
      <c r="B250" t="s">
        <v>716</v>
      </c>
      <c r="C250" t="s">
        <v>717</v>
      </c>
      <c r="D250" t="s">
        <v>307</v>
      </c>
      <c r="E250" t="s">
        <v>264</v>
      </c>
      <c r="F250" t="s">
        <v>669</v>
      </c>
      <c r="G250" t="s">
        <v>266</v>
      </c>
      <c r="H250" s="5">
        <v>44977</v>
      </c>
      <c r="I250" s="5">
        <v>45261</v>
      </c>
      <c r="J250" t="s">
        <v>712</v>
      </c>
      <c r="K250" t="s">
        <v>268</v>
      </c>
      <c r="L250">
        <v>3</v>
      </c>
      <c r="M250" t="s">
        <v>676</v>
      </c>
      <c r="N250" t="s">
        <v>236</v>
      </c>
      <c r="O250">
        <v>197</v>
      </c>
      <c r="P250" s="6" t="str">
        <f>VLOOKUP(J250,'Store lookup'!A:C,2,0)</f>
        <v>Exempt</v>
      </c>
      <c r="Q250" s="6" t="str">
        <f>VLOOKUP(J250,'Store lookup'!A:C,3,0)</f>
        <v>Exempt</v>
      </c>
      <c r="R250" s="6" t="str">
        <f t="shared" si="3"/>
        <v>Exempt</v>
      </c>
      <c r="S250" s="6" t="str">
        <f>VLOOKUP(I250,'FIN CAL LOOKUP'!A:J,7,1)</f>
        <v>DEC, FY24</v>
      </c>
      <c r="T250" s="6" t="str">
        <f>VLOOKUP(I250,'FIN CAL LOOKUP'!A:J,10,1)</f>
        <v>Q2, FY24</v>
      </c>
    </row>
    <row r="251" spans="1:20" hidden="1" x14ac:dyDescent="0.25">
      <c r="A251">
        <v>318079</v>
      </c>
      <c r="B251" t="s">
        <v>718</v>
      </c>
      <c r="C251" t="s">
        <v>719</v>
      </c>
      <c r="D251" t="s">
        <v>272</v>
      </c>
      <c r="E251" t="s">
        <v>264</v>
      </c>
      <c r="F251" t="s">
        <v>669</v>
      </c>
      <c r="G251" t="s">
        <v>266</v>
      </c>
      <c r="H251" s="5">
        <v>44977</v>
      </c>
      <c r="I251" s="5">
        <v>45261</v>
      </c>
      <c r="J251" t="s">
        <v>712</v>
      </c>
      <c r="K251" t="s">
        <v>268</v>
      </c>
      <c r="L251">
        <v>3</v>
      </c>
      <c r="M251" t="s">
        <v>676</v>
      </c>
      <c r="N251" t="s">
        <v>236</v>
      </c>
      <c r="O251">
        <v>197</v>
      </c>
      <c r="P251" s="6" t="str">
        <f>VLOOKUP(J251,'Store lookup'!A:C,2,0)</f>
        <v>Exempt</v>
      </c>
      <c r="Q251" s="6" t="str">
        <f>VLOOKUP(J251,'Store lookup'!A:C,3,0)</f>
        <v>Exempt</v>
      </c>
      <c r="R251" s="6" t="str">
        <f t="shared" si="3"/>
        <v>Exempt</v>
      </c>
      <c r="S251" s="6" t="str">
        <f>VLOOKUP(I251,'FIN CAL LOOKUP'!A:J,7,1)</f>
        <v>DEC, FY24</v>
      </c>
      <c r="T251" s="6" t="str">
        <f>VLOOKUP(I251,'FIN CAL LOOKUP'!A:J,10,1)</f>
        <v>Q2, FY24</v>
      </c>
    </row>
    <row r="252" spans="1:20" x14ac:dyDescent="0.25">
      <c r="A252">
        <v>337721</v>
      </c>
      <c r="B252" t="s">
        <v>720</v>
      </c>
      <c r="C252" t="s">
        <v>721</v>
      </c>
      <c r="D252" t="s">
        <v>263</v>
      </c>
      <c r="E252" t="s">
        <v>264</v>
      </c>
      <c r="F252" t="s">
        <v>722</v>
      </c>
      <c r="G252" t="s">
        <v>266</v>
      </c>
      <c r="H252" s="5">
        <v>45789</v>
      </c>
      <c r="I252" s="5">
        <v>45874</v>
      </c>
      <c r="J252" t="s">
        <v>723</v>
      </c>
      <c r="K252" t="s">
        <v>268</v>
      </c>
      <c r="L252">
        <v>1</v>
      </c>
      <c r="M252" t="s">
        <v>338</v>
      </c>
      <c r="N252" t="s">
        <v>236</v>
      </c>
      <c r="O252">
        <v>1</v>
      </c>
      <c r="P252" s="6" t="str">
        <f>VLOOKUP(J252,'Store lookup'!A:C,2,0)</f>
        <v>HS2024</v>
      </c>
      <c r="Q252" s="6" t="str">
        <f>VLOOKUP(J252,'Store lookup'!A:C,3,0)</f>
        <v>Harris Scarfe Highpoint</v>
      </c>
      <c r="R252" s="6" t="str">
        <f t="shared" si="3"/>
        <v>Harris Scarfe</v>
      </c>
      <c r="S252" s="6" t="str">
        <f>VLOOKUP(I252,'FIN CAL LOOKUP'!A:J,7,1)</f>
        <v>AUG, FY26</v>
      </c>
      <c r="T252" s="6" t="str">
        <f>VLOOKUP(I252,'FIN CAL LOOKUP'!A:J,10,1)</f>
        <v>Q1, FY26</v>
      </c>
    </row>
    <row r="253" spans="1:20" x14ac:dyDescent="0.25">
      <c r="A253">
        <v>305938</v>
      </c>
      <c r="B253" t="s">
        <v>494</v>
      </c>
      <c r="C253" t="s">
        <v>495</v>
      </c>
      <c r="D253" t="s">
        <v>263</v>
      </c>
      <c r="E253" t="s">
        <v>264</v>
      </c>
      <c r="F253" t="s">
        <v>724</v>
      </c>
      <c r="G253" t="s">
        <v>266</v>
      </c>
      <c r="H253" s="5">
        <v>45779</v>
      </c>
      <c r="I253" s="5">
        <v>45904</v>
      </c>
      <c r="J253" t="s">
        <v>725</v>
      </c>
      <c r="K253" t="s">
        <v>268</v>
      </c>
      <c r="L253">
        <v>1</v>
      </c>
      <c r="M253" t="s">
        <v>726</v>
      </c>
      <c r="N253" t="s">
        <v>236</v>
      </c>
      <c r="O253">
        <v>1</v>
      </c>
      <c r="P253" s="6" t="str">
        <f>VLOOKUP(J253,'Store lookup'!A:C,2,0)</f>
        <v>HS2022</v>
      </c>
      <c r="Q253" s="6" t="str">
        <f>VLOOKUP(J253,'Store lookup'!A:C,3,0)</f>
        <v>Harris Scarfe Knox</v>
      </c>
      <c r="R253" s="6" t="str">
        <f t="shared" si="3"/>
        <v>Harris Scarfe</v>
      </c>
      <c r="S253" s="6" t="str">
        <f>VLOOKUP(I253,'FIN CAL LOOKUP'!A:J,7,1)</f>
        <v>SEP, FY26</v>
      </c>
      <c r="T253" s="6" t="str">
        <f>VLOOKUP(I253,'FIN CAL LOOKUP'!A:J,10,1)</f>
        <v>Q1, FY26</v>
      </c>
    </row>
    <row r="254" spans="1:20" x14ac:dyDescent="0.25">
      <c r="A254">
        <v>318222</v>
      </c>
      <c r="B254" t="s">
        <v>623</v>
      </c>
      <c r="C254" t="s">
        <v>624</v>
      </c>
      <c r="D254" t="s">
        <v>272</v>
      </c>
      <c r="E254" t="s">
        <v>264</v>
      </c>
      <c r="F254" t="s">
        <v>727</v>
      </c>
      <c r="G254" t="s">
        <v>266</v>
      </c>
      <c r="H254" s="5">
        <v>45778</v>
      </c>
      <c r="I254" s="5">
        <v>45833</v>
      </c>
      <c r="J254" t="s">
        <v>728</v>
      </c>
      <c r="K254" t="s">
        <v>268</v>
      </c>
      <c r="L254">
        <v>2</v>
      </c>
      <c r="M254" t="s">
        <v>729</v>
      </c>
      <c r="N254" t="s">
        <v>236</v>
      </c>
      <c r="O254">
        <v>0</v>
      </c>
      <c r="P254" s="6" t="str">
        <f>VLOOKUP(J254,'Store lookup'!A:C,2,0)</f>
        <v>HS2016</v>
      </c>
      <c r="Q254" s="6" t="str">
        <f>VLOOKUP(J254,'Store lookup'!A:C,3,0)</f>
        <v>Harris Scarfe Spencer Outlet</v>
      </c>
      <c r="R254" s="6" t="str">
        <f t="shared" si="3"/>
        <v>Harris Scarfe</v>
      </c>
      <c r="S254" s="6" t="str">
        <f>VLOOKUP(I254,'FIN CAL LOOKUP'!A:J,7,1)</f>
        <v>JUN, FY25</v>
      </c>
      <c r="T254" s="6" t="str">
        <f>VLOOKUP(I254,'FIN CAL LOOKUP'!A:J,10,1)</f>
        <v>Q4, FY25</v>
      </c>
    </row>
    <row r="255" spans="1:20" x14ac:dyDescent="0.25">
      <c r="A255">
        <v>325608</v>
      </c>
      <c r="B255" t="s">
        <v>730</v>
      </c>
      <c r="C255" t="s">
        <v>731</v>
      </c>
      <c r="D255" t="s">
        <v>263</v>
      </c>
      <c r="E255" t="s">
        <v>264</v>
      </c>
      <c r="F255" t="s">
        <v>727</v>
      </c>
      <c r="G255" t="s">
        <v>266</v>
      </c>
      <c r="H255" s="5">
        <v>45778</v>
      </c>
      <c r="I255" s="5">
        <v>45833</v>
      </c>
      <c r="J255" t="s">
        <v>728</v>
      </c>
      <c r="K255" t="s">
        <v>268</v>
      </c>
      <c r="L255">
        <v>2</v>
      </c>
      <c r="M255" t="s">
        <v>729</v>
      </c>
      <c r="N255" t="s">
        <v>236</v>
      </c>
      <c r="O255">
        <v>0</v>
      </c>
      <c r="P255" s="6" t="str">
        <f>VLOOKUP(J255,'Store lookup'!A:C,2,0)</f>
        <v>HS2016</v>
      </c>
      <c r="Q255" s="6" t="str">
        <f>VLOOKUP(J255,'Store lookup'!A:C,3,0)</f>
        <v>Harris Scarfe Spencer Outlet</v>
      </c>
      <c r="R255" s="6" t="str">
        <f t="shared" si="3"/>
        <v>Harris Scarfe</v>
      </c>
      <c r="S255" s="6" t="str">
        <f>VLOOKUP(I255,'FIN CAL LOOKUP'!A:J,7,1)</f>
        <v>JUN, FY25</v>
      </c>
      <c r="T255" s="6" t="str">
        <f>VLOOKUP(I255,'FIN CAL LOOKUP'!A:J,10,1)</f>
        <v>Q4, FY25</v>
      </c>
    </row>
    <row r="256" spans="1:20" x14ac:dyDescent="0.25">
      <c r="A256">
        <v>339173</v>
      </c>
      <c r="B256" t="s">
        <v>732</v>
      </c>
      <c r="C256" t="s">
        <v>733</v>
      </c>
      <c r="D256" t="s">
        <v>284</v>
      </c>
      <c r="E256" t="s">
        <v>264</v>
      </c>
      <c r="F256" t="s">
        <v>722</v>
      </c>
      <c r="G256" t="s">
        <v>266</v>
      </c>
      <c r="H256" s="5">
        <v>45777</v>
      </c>
      <c r="I256" s="5">
        <v>45791</v>
      </c>
      <c r="J256" t="s">
        <v>723</v>
      </c>
      <c r="K256" t="s">
        <v>268</v>
      </c>
      <c r="L256">
        <v>1</v>
      </c>
      <c r="M256" t="s">
        <v>338</v>
      </c>
      <c r="N256" t="s">
        <v>237</v>
      </c>
      <c r="O256">
        <v>1</v>
      </c>
      <c r="P256" s="6" t="str">
        <f>VLOOKUP(J256,'Store lookup'!A:C,2,0)</f>
        <v>HS2024</v>
      </c>
      <c r="Q256" s="6" t="str">
        <f>VLOOKUP(J256,'Store lookup'!A:C,3,0)</f>
        <v>Harris Scarfe Highpoint</v>
      </c>
      <c r="R256" s="6" t="str">
        <f t="shared" si="3"/>
        <v>Harris Scarfe</v>
      </c>
      <c r="S256" s="6" t="str">
        <f>VLOOKUP(I256,'FIN CAL LOOKUP'!A:J,7,1)</f>
        <v>MAY, FY25</v>
      </c>
      <c r="T256" s="6" t="str">
        <f>VLOOKUP(I256,'FIN CAL LOOKUP'!A:J,10,1)</f>
        <v>Q4, FY25</v>
      </c>
    </row>
    <row r="257" spans="1:20" x14ac:dyDescent="0.25">
      <c r="A257">
        <v>339116</v>
      </c>
      <c r="B257" t="s">
        <v>556</v>
      </c>
      <c r="C257" t="s">
        <v>734</v>
      </c>
      <c r="D257" t="s">
        <v>284</v>
      </c>
      <c r="E257" t="s">
        <v>264</v>
      </c>
      <c r="F257" t="s">
        <v>735</v>
      </c>
      <c r="G257" t="s">
        <v>266</v>
      </c>
      <c r="H257" s="5">
        <v>45777</v>
      </c>
      <c r="I257" s="5">
        <v>45784</v>
      </c>
      <c r="J257" t="s">
        <v>736</v>
      </c>
      <c r="K257" t="s">
        <v>268</v>
      </c>
      <c r="L257">
        <v>1</v>
      </c>
      <c r="M257" t="s">
        <v>737</v>
      </c>
      <c r="N257" t="s">
        <v>237</v>
      </c>
      <c r="O257">
        <v>1</v>
      </c>
      <c r="P257" s="6" t="str">
        <f>VLOOKUP(J257,'Store lookup'!A:C,2,0)</f>
        <v>HS2031</v>
      </c>
      <c r="Q257" s="6" t="str">
        <f>VLOOKUP(J257,'Store lookup'!A:C,3,0)</f>
        <v>Harris Scarfe Sunbury</v>
      </c>
      <c r="R257" s="6" t="str">
        <f t="shared" si="3"/>
        <v>Harris Scarfe</v>
      </c>
      <c r="S257" s="6" t="str">
        <f>VLOOKUP(I257,'FIN CAL LOOKUP'!A:J,7,1)</f>
        <v>MAY, FY25</v>
      </c>
      <c r="T257" s="6" t="str">
        <f>VLOOKUP(I257,'FIN CAL LOOKUP'!A:J,10,1)</f>
        <v>Q4, FY25</v>
      </c>
    </row>
    <row r="258" spans="1:20" x14ac:dyDescent="0.25">
      <c r="A258">
        <v>235543</v>
      </c>
      <c r="B258" t="s">
        <v>738</v>
      </c>
      <c r="C258" t="s">
        <v>739</v>
      </c>
      <c r="D258" t="s">
        <v>263</v>
      </c>
      <c r="E258" t="s">
        <v>264</v>
      </c>
      <c r="F258" t="s">
        <v>727</v>
      </c>
      <c r="G258" t="s">
        <v>266</v>
      </c>
      <c r="H258" s="5">
        <v>45775</v>
      </c>
      <c r="I258" s="5">
        <v>45785</v>
      </c>
      <c r="J258" t="s">
        <v>728</v>
      </c>
      <c r="K258" t="s">
        <v>268</v>
      </c>
      <c r="L258">
        <v>2</v>
      </c>
      <c r="M258" t="s">
        <v>729</v>
      </c>
      <c r="N258" t="s">
        <v>237</v>
      </c>
      <c r="O258">
        <v>0</v>
      </c>
      <c r="P258" s="6" t="str">
        <f>VLOOKUP(J258,'Store lookup'!A:C,2,0)</f>
        <v>HS2016</v>
      </c>
      <c r="Q258" s="6" t="str">
        <f>VLOOKUP(J258,'Store lookup'!A:C,3,0)</f>
        <v>Harris Scarfe Spencer Outlet</v>
      </c>
      <c r="R258" s="6" t="str">
        <f t="shared" ref="R258:R321" si="4">IF(LEFT(Q258,1)="A","Ananconda",IF(LEFT(Q258,1)="H","Harris Scarfe",IF(LEFT(Q258,1)="S","Spotlight","Exempt")))</f>
        <v>Harris Scarfe</v>
      </c>
      <c r="S258" s="6" t="str">
        <f>VLOOKUP(I258,'FIN CAL LOOKUP'!A:J,7,1)</f>
        <v>MAY, FY25</v>
      </c>
      <c r="T258" s="6" t="str">
        <f>VLOOKUP(I258,'FIN CAL LOOKUP'!A:J,10,1)</f>
        <v>Q4, FY25</v>
      </c>
    </row>
    <row r="259" spans="1:20" x14ac:dyDescent="0.25">
      <c r="A259">
        <v>307502</v>
      </c>
      <c r="B259" t="s">
        <v>740</v>
      </c>
      <c r="C259" t="s">
        <v>741</v>
      </c>
      <c r="D259" t="s">
        <v>263</v>
      </c>
      <c r="E259" t="s">
        <v>264</v>
      </c>
      <c r="F259" t="s">
        <v>727</v>
      </c>
      <c r="G259" t="s">
        <v>266</v>
      </c>
      <c r="H259" s="5">
        <v>45775</v>
      </c>
      <c r="I259" s="5">
        <v>45785</v>
      </c>
      <c r="J259" t="s">
        <v>728</v>
      </c>
      <c r="K259" t="s">
        <v>268</v>
      </c>
      <c r="L259">
        <v>2</v>
      </c>
      <c r="M259" t="s">
        <v>729</v>
      </c>
      <c r="N259" t="s">
        <v>237</v>
      </c>
      <c r="O259">
        <v>0</v>
      </c>
      <c r="P259" s="6" t="str">
        <f>VLOOKUP(J259,'Store lookup'!A:C,2,0)</f>
        <v>HS2016</v>
      </c>
      <c r="Q259" s="6" t="str">
        <f>VLOOKUP(J259,'Store lookup'!A:C,3,0)</f>
        <v>Harris Scarfe Spencer Outlet</v>
      </c>
      <c r="R259" s="6" t="str">
        <f t="shared" si="4"/>
        <v>Harris Scarfe</v>
      </c>
      <c r="S259" s="6" t="str">
        <f>VLOOKUP(I259,'FIN CAL LOOKUP'!A:J,7,1)</f>
        <v>MAY, FY25</v>
      </c>
      <c r="T259" s="6" t="str">
        <f>VLOOKUP(I259,'FIN CAL LOOKUP'!A:J,10,1)</f>
        <v>Q4, FY25</v>
      </c>
    </row>
    <row r="260" spans="1:20" x14ac:dyDescent="0.25">
      <c r="A260">
        <v>232850</v>
      </c>
      <c r="B260" t="s">
        <v>552</v>
      </c>
      <c r="C260" t="s">
        <v>742</v>
      </c>
      <c r="D260" t="s">
        <v>263</v>
      </c>
      <c r="E260" t="s">
        <v>264</v>
      </c>
      <c r="F260" t="s">
        <v>727</v>
      </c>
      <c r="G260" t="s">
        <v>266</v>
      </c>
      <c r="H260" s="5">
        <v>45769</v>
      </c>
      <c r="I260" s="5">
        <v>45784</v>
      </c>
      <c r="J260" t="s">
        <v>728</v>
      </c>
      <c r="K260" t="s">
        <v>268</v>
      </c>
      <c r="L260">
        <v>2</v>
      </c>
      <c r="M260" t="s">
        <v>729</v>
      </c>
      <c r="N260" t="s">
        <v>237</v>
      </c>
      <c r="O260">
        <v>0</v>
      </c>
      <c r="P260" s="6" t="str">
        <f>VLOOKUP(J260,'Store lookup'!A:C,2,0)</f>
        <v>HS2016</v>
      </c>
      <c r="Q260" s="6" t="str">
        <f>VLOOKUP(J260,'Store lookup'!A:C,3,0)</f>
        <v>Harris Scarfe Spencer Outlet</v>
      </c>
      <c r="R260" s="6" t="str">
        <f t="shared" si="4"/>
        <v>Harris Scarfe</v>
      </c>
      <c r="S260" s="6" t="str">
        <f>VLOOKUP(I260,'FIN CAL LOOKUP'!A:J,7,1)</f>
        <v>MAY, FY25</v>
      </c>
      <c r="T260" s="6" t="str">
        <f>VLOOKUP(I260,'FIN CAL LOOKUP'!A:J,10,1)</f>
        <v>Q4, FY25</v>
      </c>
    </row>
    <row r="261" spans="1:20" x14ac:dyDescent="0.25">
      <c r="A261">
        <v>238720</v>
      </c>
      <c r="B261" t="s">
        <v>743</v>
      </c>
      <c r="C261" t="s">
        <v>744</v>
      </c>
      <c r="D261" t="s">
        <v>263</v>
      </c>
      <c r="E261" t="s">
        <v>264</v>
      </c>
      <c r="F261" t="s">
        <v>727</v>
      </c>
      <c r="G261" t="s">
        <v>266</v>
      </c>
      <c r="H261" s="5">
        <v>45769</v>
      </c>
      <c r="I261" s="5">
        <v>45784</v>
      </c>
      <c r="J261" t="s">
        <v>728</v>
      </c>
      <c r="K261" t="s">
        <v>268</v>
      </c>
      <c r="L261">
        <v>2</v>
      </c>
      <c r="M261" t="s">
        <v>729</v>
      </c>
      <c r="N261" t="s">
        <v>237</v>
      </c>
      <c r="O261">
        <v>0</v>
      </c>
      <c r="P261" s="6" t="str">
        <f>VLOOKUP(J261,'Store lookup'!A:C,2,0)</f>
        <v>HS2016</v>
      </c>
      <c r="Q261" s="6" t="str">
        <f>VLOOKUP(J261,'Store lookup'!A:C,3,0)</f>
        <v>Harris Scarfe Spencer Outlet</v>
      </c>
      <c r="R261" s="6" t="str">
        <f t="shared" si="4"/>
        <v>Harris Scarfe</v>
      </c>
      <c r="S261" s="6" t="str">
        <f>VLOOKUP(I261,'FIN CAL LOOKUP'!A:J,7,1)</f>
        <v>MAY, FY25</v>
      </c>
      <c r="T261" s="6" t="str">
        <f>VLOOKUP(I261,'FIN CAL LOOKUP'!A:J,10,1)</f>
        <v>Q4, FY25</v>
      </c>
    </row>
    <row r="262" spans="1:20" x14ac:dyDescent="0.25">
      <c r="A262">
        <v>312878</v>
      </c>
      <c r="B262" t="s">
        <v>745</v>
      </c>
      <c r="C262" t="s">
        <v>746</v>
      </c>
      <c r="D262" t="s">
        <v>278</v>
      </c>
      <c r="E262" t="s">
        <v>264</v>
      </c>
      <c r="F262" t="s">
        <v>747</v>
      </c>
      <c r="G262" t="s">
        <v>266</v>
      </c>
      <c r="H262" s="5">
        <v>45754</v>
      </c>
      <c r="I262" s="5">
        <v>45762</v>
      </c>
      <c r="J262" t="s">
        <v>748</v>
      </c>
      <c r="K262" t="s">
        <v>268</v>
      </c>
      <c r="L262">
        <v>1</v>
      </c>
      <c r="M262" t="s">
        <v>304</v>
      </c>
      <c r="N262" t="s">
        <v>237</v>
      </c>
      <c r="O262">
        <v>1</v>
      </c>
      <c r="P262" s="6" t="str">
        <f>VLOOKUP(J262,'Store lookup'!A:C,2,0)</f>
        <v>HS2040</v>
      </c>
      <c r="Q262" s="6" t="str">
        <f>VLOOKUP(J262,'Store lookup'!A:C,3,0)</f>
        <v>Harris Scarfe Preston</v>
      </c>
      <c r="R262" s="6" t="str">
        <f t="shared" si="4"/>
        <v>Harris Scarfe</v>
      </c>
      <c r="S262" s="6" t="str">
        <f>VLOOKUP(I262,'FIN CAL LOOKUP'!A:J,7,1)</f>
        <v>APR, FY25</v>
      </c>
      <c r="T262" s="6" t="str">
        <f>VLOOKUP(I262,'FIN CAL LOOKUP'!A:J,10,1)</f>
        <v>Q4, FY25</v>
      </c>
    </row>
    <row r="263" spans="1:20" x14ac:dyDescent="0.25">
      <c r="A263">
        <v>208565</v>
      </c>
      <c r="B263" t="s">
        <v>487</v>
      </c>
      <c r="C263" t="s">
        <v>488</v>
      </c>
      <c r="D263" t="s">
        <v>333</v>
      </c>
      <c r="E263" t="s">
        <v>264</v>
      </c>
      <c r="F263" t="s">
        <v>749</v>
      </c>
      <c r="G263" t="s">
        <v>266</v>
      </c>
      <c r="H263" s="5">
        <v>45747</v>
      </c>
      <c r="I263" s="5">
        <v>45806</v>
      </c>
      <c r="J263" t="s">
        <v>750</v>
      </c>
      <c r="K263" t="s">
        <v>268</v>
      </c>
      <c r="L263">
        <v>1</v>
      </c>
      <c r="M263" t="s">
        <v>751</v>
      </c>
      <c r="N263" t="s">
        <v>236</v>
      </c>
      <c r="O263">
        <v>1</v>
      </c>
      <c r="P263" s="6" t="str">
        <f>VLOOKUP(J263,'Store lookup'!A:C,2,0)</f>
        <v>HS2027</v>
      </c>
      <c r="Q263" s="6" t="str">
        <f>VLOOKUP(J263,'Store lookup'!A:C,3,0)</f>
        <v>Harris Scarfe Airport West</v>
      </c>
      <c r="R263" s="6" t="str">
        <f t="shared" si="4"/>
        <v>Harris Scarfe</v>
      </c>
      <c r="S263" s="6" t="str">
        <f>VLOOKUP(I263,'FIN CAL LOOKUP'!A:J,7,1)</f>
        <v>MAY, FY25</v>
      </c>
      <c r="T263" s="6" t="str">
        <f>VLOOKUP(I263,'FIN CAL LOOKUP'!A:J,10,1)</f>
        <v>Q4, FY25</v>
      </c>
    </row>
    <row r="264" spans="1:20" x14ac:dyDescent="0.25">
      <c r="A264">
        <v>325030</v>
      </c>
      <c r="B264" t="s">
        <v>483</v>
      </c>
      <c r="C264" t="s">
        <v>484</v>
      </c>
      <c r="D264" t="s">
        <v>307</v>
      </c>
      <c r="E264" t="s">
        <v>264</v>
      </c>
      <c r="F264" t="s">
        <v>752</v>
      </c>
      <c r="G264" t="s">
        <v>266</v>
      </c>
      <c r="H264" s="5">
        <v>45743</v>
      </c>
      <c r="I264" s="5">
        <v>45834</v>
      </c>
      <c r="J264" t="s">
        <v>753</v>
      </c>
      <c r="K264" t="s">
        <v>268</v>
      </c>
      <c r="L264">
        <v>1</v>
      </c>
      <c r="M264" t="s">
        <v>754</v>
      </c>
      <c r="N264" t="s">
        <v>236</v>
      </c>
      <c r="O264">
        <v>1</v>
      </c>
      <c r="P264" s="6" t="str">
        <f>VLOOKUP(J264,'Store lookup'!A:C,2,0)</f>
        <v>HS2054</v>
      </c>
      <c r="Q264" s="6" t="str">
        <f>VLOOKUP(J264,'Store lookup'!A:C,3,0)</f>
        <v>Harris Scarfe Chirnside Park</v>
      </c>
      <c r="R264" s="6" t="str">
        <f t="shared" si="4"/>
        <v>Harris Scarfe</v>
      </c>
      <c r="S264" s="6" t="str">
        <f>VLOOKUP(I264,'FIN CAL LOOKUP'!A:J,7,1)</f>
        <v>JUN, FY25</v>
      </c>
      <c r="T264" s="6" t="str">
        <f>VLOOKUP(I264,'FIN CAL LOOKUP'!A:J,10,1)</f>
        <v>Q4, FY25</v>
      </c>
    </row>
    <row r="265" spans="1:20" x14ac:dyDescent="0.25">
      <c r="A265">
        <v>335644</v>
      </c>
      <c r="B265" t="s">
        <v>755</v>
      </c>
      <c r="C265" t="s">
        <v>756</v>
      </c>
      <c r="D265" t="s">
        <v>333</v>
      </c>
      <c r="E265" t="s">
        <v>264</v>
      </c>
      <c r="F265" t="s">
        <v>749</v>
      </c>
      <c r="G265" t="s">
        <v>266</v>
      </c>
      <c r="H265" s="5">
        <v>45741</v>
      </c>
      <c r="I265" s="5">
        <v>45918</v>
      </c>
      <c r="J265" t="s">
        <v>750</v>
      </c>
      <c r="K265" t="s">
        <v>268</v>
      </c>
      <c r="L265">
        <v>1</v>
      </c>
      <c r="M265" t="s">
        <v>751</v>
      </c>
      <c r="N265" t="s">
        <v>236</v>
      </c>
      <c r="O265">
        <v>1</v>
      </c>
      <c r="P265" s="6" t="str">
        <f>VLOOKUP(J265,'Store lookup'!A:C,2,0)</f>
        <v>HS2027</v>
      </c>
      <c r="Q265" s="6" t="str">
        <f>VLOOKUP(J265,'Store lookup'!A:C,3,0)</f>
        <v>Harris Scarfe Airport West</v>
      </c>
      <c r="R265" s="6" t="str">
        <f t="shared" si="4"/>
        <v>Harris Scarfe</v>
      </c>
      <c r="S265" s="6" t="str">
        <f>VLOOKUP(I265,'FIN CAL LOOKUP'!A:J,7,1)</f>
        <v>SEP, FY26</v>
      </c>
      <c r="T265" s="6" t="str">
        <f>VLOOKUP(I265,'FIN CAL LOOKUP'!A:J,10,1)</f>
        <v>Q1, FY26</v>
      </c>
    </row>
    <row r="266" spans="1:20" x14ac:dyDescent="0.25">
      <c r="A266">
        <v>338604</v>
      </c>
      <c r="B266" t="s">
        <v>301</v>
      </c>
      <c r="C266" t="s">
        <v>315</v>
      </c>
      <c r="D266" t="s">
        <v>307</v>
      </c>
      <c r="E266" t="s">
        <v>264</v>
      </c>
      <c r="F266" t="s">
        <v>757</v>
      </c>
      <c r="G266" t="s">
        <v>266</v>
      </c>
      <c r="H266" s="5">
        <v>45727</v>
      </c>
      <c r="I266" s="5">
        <v>45735</v>
      </c>
      <c r="J266" t="s">
        <v>758</v>
      </c>
      <c r="K266" t="s">
        <v>268</v>
      </c>
      <c r="L266">
        <v>1</v>
      </c>
      <c r="M266" t="s">
        <v>318</v>
      </c>
      <c r="N266" t="s">
        <v>236</v>
      </c>
      <c r="O266">
        <v>1</v>
      </c>
      <c r="P266" s="6" t="str">
        <f>VLOOKUP(J266,'Store lookup'!A:C,2,0)</f>
        <v>HS2023</v>
      </c>
      <c r="Q266" s="6" t="str">
        <f>VLOOKUP(J266,'Store lookup'!A:C,3,0)</f>
        <v>Harris Scarfe Epping</v>
      </c>
      <c r="R266" s="6" t="str">
        <f t="shared" si="4"/>
        <v>Harris Scarfe</v>
      </c>
      <c r="S266" s="6" t="str">
        <f>VLOOKUP(I266,'FIN CAL LOOKUP'!A:J,7,1)</f>
        <v>MAR, FY25</v>
      </c>
      <c r="T266" s="6" t="str">
        <f>VLOOKUP(I266,'FIN CAL LOOKUP'!A:J,10,1)</f>
        <v>Q3, FY25</v>
      </c>
    </row>
    <row r="267" spans="1:20" x14ac:dyDescent="0.25">
      <c r="A267">
        <v>237223</v>
      </c>
      <c r="B267" t="s">
        <v>759</v>
      </c>
      <c r="C267" t="s">
        <v>760</v>
      </c>
      <c r="D267" t="s">
        <v>263</v>
      </c>
      <c r="E267" t="s">
        <v>264</v>
      </c>
      <c r="F267" t="s">
        <v>727</v>
      </c>
      <c r="G267" t="s">
        <v>266</v>
      </c>
      <c r="H267" s="5">
        <v>45715</v>
      </c>
      <c r="I267" s="5">
        <v>45734</v>
      </c>
      <c r="J267" t="s">
        <v>728</v>
      </c>
      <c r="K267" t="s">
        <v>268</v>
      </c>
      <c r="L267">
        <v>1</v>
      </c>
      <c r="M267" t="s">
        <v>729</v>
      </c>
      <c r="N267" t="s">
        <v>236</v>
      </c>
      <c r="O267">
        <v>1</v>
      </c>
      <c r="P267" s="6" t="str">
        <f>VLOOKUP(J267,'Store lookup'!A:C,2,0)</f>
        <v>HS2016</v>
      </c>
      <c r="Q267" s="6" t="str">
        <f>VLOOKUP(J267,'Store lookup'!A:C,3,0)</f>
        <v>Harris Scarfe Spencer Outlet</v>
      </c>
      <c r="R267" s="6" t="str">
        <f t="shared" si="4"/>
        <v>Harris Scarfe</v>
      </c>
      <c r="S267" s="6" t="str">
        <f>VLOOKUP(I267,'FIN CAL LOOKUP'!A:J,7,1)</f>
        <v>MAR, FY25</v>
      </c>
      <c r="T267" s="6" t="str">
        <f>VLOOKUP(I267,'FIN CAL LOOKUP'!A:J,10,1)</f>
        <v>Q3, FY25</v>
      </c>
    </row>
    <row r="268" spans="1:20" x14ac:dyDescent="0.25">
      <c r="A268">
        <v>307816</v>
      </c>
      <c r="B268" t="s">
        <v>643</v>
      </c>
      <c r="C268" t="s">
        <v>644</v>
      </c>
      <c r="D268" t="s">
        <v>508</v>
      </c>
      <c r="E268" t="s">
        <v>264</v>
      </c>
      <c r="F268" t="s">
        <v>761</v>
      </c>
      <c r="G268" t="s">
        <v>266</v>
      </c>
      <c r="H268" s="5">
        <v>45708</v>
      </c>
      <c r="I268" s="5">
        <v>45734</v>
      </c>
      <c r="J268" t="s">
        <v>762</v>
      </c>
      <c r="K268" t="s">
        <v>268</v>
      </c>
      <c r="L268">
        <v>1</v>
      </c>
      <c r="M268" t="s">
        <v>763</v>
      </c>
      <c r="N268" t="s">
        <v>237</v>
      </c>
      <c r="O268">
        <v>1</v>
      </c>
      <c r="P268" s="6" t="str">
        <f>VLOOKUP(J268,'Store lookup'!A:C,2,0)</f>
        <v>HS2042</v>
      </c>
      <c r="Q268" s="6" t="str">
        <f>VLOOKUP(J268,'Store lookup'!A:C,3,0)</f>
        <v>Harris Scarfe Carnegie</v>
      </c>
      <c r="R268" s="6" t="str">
        <f t="shared" si="4"/>
        <v>Harris Scarfe</v>
      </c>
      <c r="S268" s="6" t="str">
        <f>VLOOKUP(I268,'FIN CAL LOOKUP'!A:J,7,1)</f>
        <v>MAR, FY25</v>
      </c>
      <c r="T268" s="6" t="str">
        <f>VLOOKUP(I268,'FIN CAL LOOKUP'!A:J,10,1)</f>
        <v>Q3, FY25</v>
      </c>
    </row>
    <row r="269" spans="1:20" x14ac:dyDescent="0.25">
      <c r="A269">
        <v>201015</v>
      </c>
      <c r="B269" t="s">
        <v>764</v>
      </c>
      <c r="C269" t="s">
        <v>765</v>
      </c>
      <c r="D269" t="s">
        <v>333</v>
      </c>
      <c r="E269" t="s">
        <v>264</v>
      </c>
      <c r="F269" t="s">
        <v>749</v>
      </c>
      <c r="G269" t="s">
        <v>266</v>
      </c>
      <c r="H269" s="5">
        <v>45695</v>
      </c>
      <c r="I269" s="5">
        <v>45720</v>
      </c>
      <c r="J269" t="s">
        <v>750</v>
      </c>
      <c r="K269" t="s">
        <v>268</v>
      </c>
      <c r="L269">
        <v>1</v>
      </c>
      <c r="M269" t="s">
        <v>751</v>
      </c>
      <c r="N269" t="s">
        <v>237</v>
      </c>
      <c r="O269">
        <v>1</v>
      </c>
      <c r="P269" s="6" t="str">
        <f>VLOOKUP(J269,'Store lookup'!A:C,2,0)</f>
        <v>HS2027</v>
      </c>
      <c r="Q269" s="6" t="str">
        <f>VLOOKUP(J269,'Store lookup'!A:C,3,0)</f>
        <v>Harris Scarfe Airport West</v>
      </c>
      <c r="R269" s="6" t="str">
        <f t="shared" si="4"/>
        <v>Harris Scarfe</v>
      </c>
      <c r="S269" s="6" t="str">
        <f>VLOOKUP(I269,'FIN CAL LOOKUP'!A:J,7,1)</f>
        <v>MAR, FY25</v>
      </c>
      <c r="T269" s="6" t="str">
        <f>VLOOKUP(I269,'FIN CAL LOOKUP'!A:J,10,1)</f>
        <v>Q3, FY25</v>
      </c>
    </row>
    <row r="270" spans="1:20" x14ac:dyDescent="0.25">
      <c r="A270">
        <v>325420</v>
      </c>
      <c r="B270" t="s">
        <v>530</v>
      </c>
      <c r="C270" t="s">
        <v>531</v>
      </c>
      <c r="D270" t="s">
        <v>278</v>
      </c>
      <c r="E270" t="s">
        <v>264</v>
      </c>
      <c r="F270" t="s">
        <v>722</v>
      </c>
      <c r="G270" t="s">
        <v>266</v>
      </c>
      <c r="H270" s="5">
        <v>45680</v>
      </c>
      <c r="I270" s="5">
        <v>45692</v>
      </c>
      <c r="J270" t="s">
        <v>723</v>
      </c>
      <c r="K270" t="s">
        <v>268</v>
      </c>
      <c r="L270">
        <v>1</v>
      </c>
      <c r="M270" t="s">
        <v>338</v>
      </c>
      <c r="N270" t="s">
        <v>237</v>
      </c>
      <c r="O270">
        <v>1</v>
      </c>
      <c r="P270" s="6" t="str">
        <f>VLOOKUP(J270,'Store lookup'!A:C,2,0)</f>
        <v>HS2024</v>
      </c>
      <c r="Q270" s="6" t="str">
        <f>VLOOKUP(J270,'Store lookup'!A:C,3,0)</f>
        <v>Harris Scarfe Highpoint</v>
      </c>
      <c r="R270" s="6" t="str">
        <f t="shared" si="4"/>
        <v>Harris Scarfe</v>
      </c>
      <c r="S270" s="6" t="str">
        <f>VLOOKUP(I270,'FIN CAL LOOKUP'!A:J,7,1)</f>
        <v>FEB, FY25</v>
      </c>
      <c r="T270" s="6" t="str">
        <f>VLOOKUP(I270,'FIN CAL LOOKUP'!A:J,10,1)</f>
        <v>Q3, FY25</v>
      </c>
    </row>
    <row r="271" spans="1:20" x14ac:dyDescent="0.25">
      <c r="A271">
        <v>338041</v>
      </c>
      <c r="B271" t="s">
        <v>766</v>
      </c>
      <c r="C271" t="s">
        <v>767</v>
      </c>
      <c r="D271" t="s">
        <v>307</v>
      </c>
      <c r="E271" t="s">
        <v>264</v>
      </c>
      <c r="F271" t="s">
        <v>768</v>
      </c>
      <c r="G271" t="s">
        <v>266</v>
      </c>
      <c r="H271" s="5">
        <v>45666</v>
      </c>
      <c r="I271" s="5">
        <v>45680</v>
      </c>
      <c r="J271" t="s">
        <v>769</v>
      </c>
      <c r="K271" t="s">
        <v>268</v>
      </c>
      <c r="L271">
        <v>1</v>
      </c>
      <c r="M271" t="s">
        <v>770</v>
      </c>
      <c r="N271" t="s">
        <v>237</v>
      </c>
      <c r="O271">
        <v>1</v>
      </c>
      <c r="P271" s="6" t="str">
        <f>VLOOKUP(J271,'Store lookup'!A:C,2,0)</f>
        <v>HS2017</v>
      </c>
      <c r="Q271" s="6" t="str">
        <f>VLOOKUP(J271,'Store lookup'!A:C,3,0)</f>
        <v>Harris Scarfe Woodgrove</v>
      </c>
      <c r="R271" s="6" t="str">
        <f t="shared" si="4"/>
        <v>Harris Scarfe</v>
      </c>
      <c r="S271" s="6" t="str">
        <f>VLOOKUP(I271,'FIN CAL LOOKUP'!A:J,7,1)</f>
        <v>JAN, FY25</v>
      </c>
      <c r="T271" s="6" t="str">
        <f>VLOOKUP(I271,'FIN CAL LOOKUP'!A:J,10,1)</f>
        <v>Q3, FY25</v>
      </c>
    </row>
    <row r="272" spans="1:20" x14ac:dyDescent="0.25">
      <c r="A272">
        <v>201015</v>
      </c>
      <c r="B272" t="s">
        <v>764</v>
      </c>
      <c r="C272" t="s">
        <v>765</v>
      </c>
      <c r="D272" t="s">
        <v>333</v>
      </c>
      <c r="E272" t="s">
        <v>264</v>
      </c>
      <c r="F272" t="s">
        <v>722</v>
      </c>
      <c r="G272" t="s">
        <v>266</v>
      </c>
      <c r="H272" s="5">
        <v>45664</v>
      </c>
      <c r="I272" s="5">
        <v>45974</v>
      </c>
      <c r="J272" t="s">
        <v>723</v>
      </c>
      <c r="K272" t="s">
        <v>268</v>
      </c>
      <c r="L272">
        <v>2</v>
      </c>
      <c r="M272" t="s">
        <v>338</v>
      </c>
      <c r="N272" t="s">
        <v>236</v>
      </c>
      <c r="O272">
        <v>0</v>
      </c>
      <c r="P272" s="6" t="str">
        <f>VLOOKUP(J272,'Store lookup'!A:C,2,0)</f>
        <v>HS2024</v>
      </c>
      <c r="Q272" s="6" t="str">
        <f>VLOOKUP(J272,'Store lookup'!A:C,3,0)</f>
        <v>Harris Scarfe Highpoint</v>
      </c>
      <c r="R272" s="6" t="str">
        <f t="shared" si="4"/>
        <v>Harris Scarfe</v>
      </c>
      <c r="S272" s="6" t="str">
        <f>VLOOKUP(I272,'FIN CAL LOOKUP'!A:J,7,1)</f>
        <v>NOV, FY26</v>
      </c>
      <c r="T272" s="6" t="str">
        <f>VLOOKUP(I272,'FIN CAL LOOKUP'!A:J,10,1)</f>
        <v>Q2, FY26</v>
      </c>
    </row>
    <row r="273" spans="1:20" x14ac:dyDescent="0.25">
      <c r="A273">
        <v>302779</v>
      </c>
      <c r="B273" t="s">
        <v>583</v>
      </c>
      <c r="C273" t="s">
        <v>584</v>
      </c>
      <c r="D273" t="s">
        <v>333</v>
      </c>
      <c r="E273" t="s">
        <v>264</v>
      </c>
      <c r="F273" t="s">
        <v>771</v>
      </c>
      <c r="G273" t="s">
        <v>266</v>
      </c>
      <c r="H273" s="5">
        <v>45663</v>
      </c>
      <c r="I273" s="5">
        <v>45846</v>
      </c>
      <c r="J273" t="s">
        <v>772</v>
      </c>
      <c r="K273" t="s">
        <v>268</v>
      </c>
      <c r="L273">
        <v>1</v>
      </c>
      <c r="M273" t="s">
        <v>773</v>
      </c>
      <c r="N273" t="s">
        <v>236</v>
      </c>
      <c r="O273">
        <v>1</v>
      </c>
      <c r="P273" s="6" t="str">
        <f>VLOOKUP(J273,'Store lookup'!A:C,2,0)</f>
        <v>HS2048</v>
      </c>
      <c r="Q273" s="6" t="str">
        <f>VLOOKUP(J273,'Store lookup'!A:C,3,0)</f>
        <v>Harris Scarfe Tarneit</v>
      </c>
      <c r="R273" s="6" t="str">
        <f t="shared" si="4"/>
        <v>Harris Scarfe</v>
      </c>
      <c r="S273" s="6" t="str">
        <f>VLOOKUP(I273,'FIN CAL LOOKUP'!A:J,7,1)</f>
        <v>JUL, FY26</v>
      </c>
      <c r="T273" s="6" t="str">
        <f>VLOOKUP(I273,'FIN CAL LOOKUP'!A:J,10,1)</f>
        <v>Q1, FY26</v>
      </c>
    </row>
    <row r="274" spans="1:20" x14ac:dyDescent="0.25">
      <c r="A274">
        <v>325114</v>
      </c>
      <c r="B274" t="s">
        <v>581</v>
      </c>
      <c r="C274" t="s">
        <v>582</v>
      </c>
      <c r="D274" t="s">
        <v>333</v>
      </c>
      <c r="E274" t="s">
        <v>264</v>
      </c>
      <c r="F274" t="s">
        <v>727</v>
      </c>
      <c r="G274" t="s">
        <v>266</v>
      </c>
      <c r="H274" s="5">
        <v>45663</v>
      </c>
      <c r="I274" s="5">
        <v>45764</v>
      </c>
      <c r="J274" t="s">
        <v>728</v>
      </c>
      <c r="K274" t="s">
        <v>268</v>
      </c>
      <c r="L274">
        <v>1</v>
      </c>
      <c r="M274" t="s">
        <v>729</v>
      </c>
      <c r="N274" t="s">
        <v>237</v>
      </c>
      <c r="O274">
        <v>1</v>
      </c>
      <c r="P274" s="6" t="str">
        <f>VLOOKUP(J274,'Store lookup'!A:C,2,0)</f>
        <v>HS2016</v>
      </c>
      <c r="Q274" s="6" t="str">
        <f>VLOOKUP(J274,'Store lookup'!A:C,3,0)</f>
        <v>Harris Scarfe Spencer Outlet</v>
      </c>
      <c r="R274" s="6" t="str">
        <f t="shared" si="4"/>
        <v>Harris Scarfe</v>
      </c>
      <c r="S274" s="6" t="str">
        <f>VLOOKUP(I274,'FIN CAL LOOKUP'!A:J,7,1)</f>
        <v>APR, FY25</v>
      </c>
      <c r="T274" s="6" t="str">
        <f>VLOOKUP(I274,'FIN CAL LOOKUP'!A:J,10,1)</f>
        <v>Q4, FY25</v>
      </c>
    </row>
    <row r="275" spans="1:20" x14ac:dyDescent="0.25">
      <c r="A275">
        <v>203082</v>
      </c>
      <c r="B275" t="s">
        <v>481</v>
      </c>
      <c r="C275" t="s">
        <v>482</v>
      </c>
      <c r="D275" t="s">
        <v>333</v>
      </c>
      <c r="E275" t="s">
        <v>264</v>
      </c>
      <c r="F275" t="s">
        <v>771</v>
      </c>
      <c r="G275" t="s">
        <v>266</v>
      </c>
      <c r="H275" s="5">
        <v>45663</v>
      </c>
      <c r="I275" s="5">
        <v>45748</v>
      </c>
      <c r="J275" t="s">
        <v>772</v>
      </c>
      <c r="K275" t="s">
        <v>268</v>
      </c>
      <c r="L275">
        <v>1</v>
      </c>
      <c r="M275" t="s">
        <v>773</v>
      </c>
      <c r="N275" t="s">
        <v>236</v>
      </c>
      <c r="O275">
        <v>1</v>
      </c>
      <c r="P275" s="6" t="str">
        <f>VLOOKUP(J275,'Store lookup'!A:C,2,0)</f>
        <v>HS2048</v>
      </c>
      <c r="Q275" s="6" t="str">
        <f>VLOOKUP(J275,'Store lookup'!A:C,3,0)</f>
        <v>Harris Scarfe Tarneit</v>
      </c>
      <c r="R275" s="6" t="str">
        <f t="shared" si="4"/>
        <v>Harris Scarfe</v>
      </c>
      <c r="S275" s="6" t="str">
        <f>VLOOKUP(I275,'FIN CAL LOOKUP'!A:J,7,1)</f>
        <v>APR, FY25</v>
      </c>
      <c r="T275" s="6" t="str">
        <f>VLOOKUP(I275,'FIN CAL LOOKUP'!A:J,10,1)</f>
        <v>Q4, FY25</v>
      </c>
    </row>
    <row r="276" spans="1:20" x14ac:dyDescent="0.25">
      <c r="A276">
        <v>205870</v>
      </c>
      <c r="B276" t="s">
        <v>774</v>
      </c>
      <c r="C276" t="s">
        <v>775</v>
      </c>
      <c r="D276" t="s">
        <v>333</v>
      </c>
      <c r="E276" t="s">
        <v>264</v>
      </c>
      <c r="F276" t="s">
        <v>722</v>
      </c>
      <c r="G276" t="s">
        <v>266</v>
      </c>
      <c r="H276" s="5">
        <v>45660</v>
      </c>
      <c r="I276" s="5">
        <v>45974</v>
      </c>
      <c r="J276" t="s">
        <v>723</v>
      </c>
      <c r="K276" t="s">
        <v>268</v>
      </c>
      <c r="L276">
        <v>2</v>
      </c>
      <c r="M276" t="s">
        <v>338</v>
      </c>
      <c r="N276" t="s">
        <v>236</v>
      </c>
      <c r="O276">
        <v>0</v>
      </c>
      <c r="P276" s="6" t="str">
        <f>VLOOKUP(J276,'Store lookup'!A:C,2,0)</f>
        <v>HS2024</v>
      </c>
      <c r="Q276" s="6" t="str">
        <f>VLOOKUP(J276,'Store lookup'!A:C,3,0)</f>
        <v>Harris Scarfe Highpoint</v>
      </c>
      <c r="R276" s="6" t="str">
        <f t="shared" si="4"/>
        <v>Harris Scarfe</v>
      </c>
      <c r="S276" s="6" t="str">
        <f>VLOOKUP(I276,'FIN CAL LOOKUP'!A:J,7,1)</f>
        <v>NOV, FY26</v>
      </c>
      <c r="T276" s="6" t="str">
        <f>VLOOKUP(I276,'FIN CAL LOOKUP'!A:J,10,1)</f>
        <v>Q2, FY26</v>
      </c>
    </row>
    <row r="277" spans="1:20" x14ac:dyDescent="0.25">
      <c r="A277">
        <v>320638</v>
      </c>
      <c r="B277" t="s">
        <v>696</v>
      </c>
      <c r="C277" t="s">
        <v>697</v>
      </c>
      <c r="D277" t="s">
        <v>542</v>
      </c>
      <c r="E277" t="s">
        <v>264</v>
      </c>
      <c r="F277" t="s">
        <v>771</v>
      </c>
      <c r="G277" t="s">
        <v>266</v>
      </c>
      <c r="H277" s="5">
        <v>45642</v>
      </c>
      <c r="I277" s="5">
        <v>45685</v>
      </c>
      <c r="J277" t="s">
        <v>772</v>
      </c>
      <c r="K277" t="s">
        <v>268</v>
      </c>
      <c r="L277">
        <v>1</v>
      </c>
      <c r="M277" t="s">
        <v>773</v>
      </c>
      <c r="N277" t="s">
        <v>237</v>
      </c>
      <c r="O277">
        <v>1</v>
      </c>
      <c r="P277" s="6" t="str">
        <f>VLOOKUP(J277,'Store lookup'!A:C,2,0)</f>
        <v>HS2048</v>
      </c>
      <c r="Q277" s="6" t="str">
        <f>VLOOKUP(J277,'Store lookup'!A:C,3,0)</f>
        <v>Harris Scarfe Tarneit</v>
      </c>
      <c r="R277" s="6" t="str">
        <f t="shared" si="4"/>
        <v>Harris Scarfe</v>
      </c>
      <c r="S277" s="6" t="str">
        <f>VLOOKUP(I277,'FIN CAL LOOKUP'!A:J,7,1)</f>
        <v>FEB, FY25</v>
      </c>
      <c r="T277" s="6" t="str">
        <f>VLOOKUP(I277,'FIN CAL LOOKUP'!A:J,10,1)</f>
        <v>Q3, FY25</v>
      </c>
    </row>
    <row r="278" spans="1:20" x14ac:dyDescent="0.25">
      <c r="A278">
        <v>338177</v>
      </c>
      <c r="B278" t="s">
        <v>776</v>
      </c>
      <c r="C278" t="s">
        <v>777</v>
      </c>
      <c r="D278" t="s">
        <v>307</v>
      </c>
      <c r="E278" t="s">
        <v>264</v>
      </c>
      <c r="F278" t="s">
        <v>727</v>
      </c>
      <c r="G278" t="s">
        <v>266</v>
      </c>
      <c r="H278" s="5">
        <v>45637</v>
      </c>
      <c r="I278" s="5">
        <v>45646</v>
      </c>
      <c r="J278" t="s">
        <v>728</v>
      </c>
      <c r="K278" t="s">
        <v>268</v>
      </c>
      <c r="L278">
        <v>1</v>
      </c>
      <c r="M278" t="s">
        <v>729</v>
      </c>
      <c r="N278" t="s">
        <v>237</v>
      </c>
      <c r="O278">
        <v>1</v>
      </c>
      <c r="P278" s="6" t="str">
        <f>VLOOKUP(J278,'Store lookup'!A:C,2,0)</f>
        <v>HS2016</v>
      </c>
      <c r="Q278" s="6" t="str">
        <f>VLOOKUP(J278,'Store lookup'!A:C,3,0)</f>
        <v>Harris Scarfe Spencer Outlet</v>
      </c>
      <c r="R278" s="6" t="str">
        <f t="shared" si="4"/>
        <v>Harris Scarfe</v>
      </c>
      <c r="S278" s="6" t="str">
        <f>VLOOKUP(I278,'FIN CAL LOOKUP'!A:J,7,1)</f>
        <v>DEC, FY25</v>
      </c>
      <c r="T278" s="6" t="str">
        <f>VLOOKUP(I278,'FIN CAL LOOKUP'!A:J,10,1)</f>
        <v>Q2, FY25</v>
      </c>
    </row>
    <row r="279" spans="1:20" x14ac:dyDescent="0.25">
      <c r="A279">
        <v>317309</v>
      </c>
      <c r="B279" t="s">
        <v>657</v>
      </c>
      <c r="C279" t="s">
        <v>778</v>
      </c>
      <c r="D279" t="s">
        <v>278</v>
      </c>
      <c r="E279" t="s">
        <v>264</v>
      </c>
      <c r="F279" t="s">
        <v>779</v>
      </c>
      <c r="G279" t="s">
        <v>266</v>
      </c>
      <c r="H279" s="5">
        <v>45625</v>
      </c>
      <c r="I279" s="5">
        <v>45674</v>
      </c>
      <c r="J279" t="s">
        <v>780</v>
      </c>
      <c r="K279" t="s">
        <v>268</v>
      </c>
      <c r="L279">
        <v>1</v>
      </c>
      <c r="N279" t="s">
        <v>237</v>
      </c>
      <c r="O279">
        <v>1</v>
      </c>
      <c r="P279" s="6" t="str">
        <f>VLOOKUP(J279,'Store lookup'!A:C,2,0)</f>
        <v>HS2026</v>
      </c>
      <c r="Q279" s="6" t="str">
        <f>VLOOKUP(J279,'Store lookup'!A:C,3,0)</f>
        <v>Harris Scarfe Shepparton</v>
      </c>
      <c r="R279" s="6" t="str">
        <f t="shared" si="4"/>
        <v>Harris Scarfe</v>
      </c>
      <c r="S279" s="6" t="str">
        <f>VLOOKUP(I279,'FIN CAL LOOKUP'!A:J,7,1)</f>
        <v>JAN, FY25</v>
      </c>
      <c r="T279" s="6" t="str">
        <f>VLOOKUP(I279,'FIN CAL LOOKUP'!A:J,10,1)</f>
        <v>Q3, FY25</v>
      </c>
    </row>
    <row r="280" spans="1:20" x14ac:dyDescent="0.25">
      <c r="A280">
        <v>231957</v>
      </c>
      <c r="B280" t="s">
        <v>456</v>
      </c>
      <c r="C280" t="s">
        <v>457</v>
      </c>
      <c r="D280" t="s">
        <v>278</v>
      </c>
      <c r="E280" t="s">
        <v>264</v>
      </c>
      <c r="F280" t="s">
        <v>722</v>
      </c>
      <c r="G280" t="s">
        <v>266</v>
      </c>
      <c r="H280" s="5">
        <v>45622</v>
      </c>
      <c r="I280" s="5">
        <v>45715</v>
      </c>
      <c r="J280" t="s">
        <v>723</v>
      </c>
      <c r="K280" t="s">
        <v>268</v>
      </c>
      <c r="L280">
        <v>2</v>
      </c>
      <c r="M280" t="s">
        <v>338</v>
      </c>
      <c r="N280" t="s">
        <v>237</v>
      </c>
      <c r="O280">
        <v>0</v>
      </c>
      <c r="P280" s="6" t="str">
        <f>VLOOKUP(J280,'Store lookup'!A:C,2,0)</f>
        <v>HS2024</v>
      </c>
      <c r="Q280" s="6" t="str">
        <f>VLOOKUP(J280,'Store lookup'!A:C,3,0)</f>
        <v>Harris Scarfe Highpoint</v>
      </c>
      <c r="R280" s="6" t="str">
        <f t="shared" si="4"/>
        <v>Harris Scarfe</v>
      </c>
      <c r="S280" s="6" t="str">
        <f>VLOOKUP(I280,'FIN CAL LOOKUP'!A:J,7,1)</f>
        <v>FEB, FY25</v>
      </c>
      <c r="T280" s="6" t="str">
        <f>VLOOKUP(I280,'FIN CAL LOOKUP'!A:J,10,1)</f>
        <v>Q3, FY25</v>
      </c>
    </row>
    <row r="281" spans="1:20" x14ac:dyDescent="0.25">
      <c r="A281">
        <v>240305</v>
      </c>
      <c r="B281" t="s">
        <v>458</v>
      </c>
      <c r="C281" t="s">
        <v>392</v>
      </c>
      <c r="D281" t="s">
        <v>278</v>
      </c>
      <c r="E281" t="s">
        <v>264</v>
      </c>
      <c r="F281" t="s">
        <v>722</v>
      </c>
      <c r="G281" t="s">
        <v>266</v>
      </c>
      <c r="H281" s="5">
        <v>45622</v>
      </c>
      <c r="I281" s="5">
        <v>45715</v>
      </c>
      <c r="J281" t="s">
        <v>723</v>
      </c>
      <c r="K281" t="s">
        <v>268</v>
      </c>
      <c r="L281">
        <v>2</v>
      </c>
      <c r="M281" t="s">
        <v>338</v>
      </c>
      <c r="N281" t="s">
        <v>237</v>
      </c>
      <c r="O281">
        <v>0</v>
      </c>
      <c r="P281" s="6" t="str">
        <f>VLOOKUP(J281,'Store lookup'!A:C,2,0)</f>
        <v>HS2024</v>
      </c>
      <c r="Q281" s="6" t="str">
        <f>VLOOKUP(J281,'Store lookup'!A:C,3,0)</f>
        <v>Harris Scarfe Highpoint</v>
      </c>
      <c r="R281" s="6" t="str">
        <f t="shared" si="4"/>
        <v>Harris Scarfe</v>
      </c>
      <c r="S281" s="6" t="str">
        <f>VLOOKUP(I281,'FIN CAL LOOKUP'!A:J,7,1)</f>
        <v>FEB, FY25</v>
      </c>
      <c r="T281" s="6" t="str">
        <f>VLOOKUP(I281,'FIN CAL LOOKUP'!A:J,10,1)</f>
        <v>Q3, FY25</v>
      </c>
    </row>
    <row r="282" spans="1:20" x14ac:dyDescent="0.25">
      <c r="A282">
        <v>320578</v>
      </c>
      <c r="B282" t="s">
        <v>781</v>
      </c>
      <c r="C282" t="s">
        <v>782</v>
      </c>
      <c r="D282" t="s">
        <v>542</v>
      </c>
      <c r="E282" t="s">
        <v>264</v>
      </c>
      <c r="F282" t="s">
        <v>783</v>
      </c>
      <c r="G282" t="s">
        <v>266</v>
      </c>
      <c r="H282" s="5">
        <v>45622</v>
      </c>
      <c r="I282" s="5">
        <v>45628</v>
      </c>
      <c r="J282" t="s">
        <v>784</v>
      </c>
      <c r="K282" t="s">
        <v>268</v>
      </c>
      <c r="L282">
        <v>2</v>
      </c>
      <c r="M282" t="s">
        <v>785</v>
      </c>
      <c r="N282" t="s">
        <v>237</v>
      </c>
      <c r="O282">
        <v>0</v>
      </c>
      <c r="P282" s="6" t="str">
        <f>VLOOKUP(J282,'Store lookup'!A:C,2,0)</f>
        <v>HS2057</v>
      </c>
      <c r="Q282" s="6" t="str">
        <f>VLOOKUP(J282,'Store lookup'!A:C,3,0)</f>
        <v>Harris Scarfe DC</v>
      </c>
      <c r="R282" s="6" t="str">
        <f t="shared" si="4"/>
        <v>Harris Scarfe</v>
      </c>
      <c r="S282" s="6" t="str">
        <f>VLOOKUP(I282,'FIN CAL LOOKUP'!A:J,7,1)</f>
        <v>DEC, FY25</v>
      </c>
      <c r="T282" s="6" t="str">
        <f>VLOOKUP(I282,'FIN CAL LOOKUP'!A:J,10,1)</f>
        <v>Q2, FY25</v>
      </c>
    </row>
    <row r="283" spans="1:20" x14ac:dyDescent="0.25">
      <c r="A283">
        <v>235543</v>
      </c>
      <c r="B283" t="s">
        <v>738</v>
      </c>
      <c r="C283" t="s">
        <v>739</v>
      </c>
      <c r="D283" t="s">
        <v>263</v>
      </c>
      <c r="E283" t="s">
        <v>264</v>
      </c>
      <c r="F283" t="s">
        <v>727</v>
      </c>
      <c r="G283" t="s">
        <v>266</v>
      </c>
      <c r="H283" s="5">
        <v>45621</v>
      </c>
      <c r="I283" s="5">
        <v>45632</v>
      </c>
      <c r="J283" t="s">
        <v>728</v>
      </c>
      <c r="K283" t="s">
        <v>268</v>
      </c>
      <c r="L283">
        <v>2</v>
      </c>
      <c r="M283" t="s">
        <v>729</v>
      </c>
      <c r="N283" t="s">
        <v>237</v>
      </c>
      <c r="O283">
        <v>0</v>
      </c>
      <c r="P283" s="6" t="str">
        <f>VLOOKUP(J283,'Store lookup'!A:C,2,0)</f>
        <v>HS2016</v>
      </c>
      <c r="Q283" s="6" t="str">
        <f>VLOOKUP(J283,'Store lookup'!A:C,3,0)</f>
        <v>Harris Scarfe Spencer Outlet</v>
      </c>
      <c r="R283" s="6" t="str">
        <f t="shared" si="4"/>
        <v>Harris Scarfe</v>
      </c>
      <c r="S283" s="6" t="str">
        <f>VLOOKUP(I283,'FIN CAL LOOKUP'!A:J,7,1)</f>
        <v>DEC, FY25</v>
      </c>
      <c r="T283" s="6" t="str">
        <f>VLOOKUP(I283,'FIN CAL LOOKUP'!A:J,10,1)</f>
        <v>Q2, FY25</v>
      </c>
    </row>
    <row r="284" spans="1:20" x14ac:dyDescent="0.25">
      <c r="A284">
        <v>307502</v>
      </c>
      <c r="B284" t="s">
        <v>740</v>
      </c>
      <c r="C284" t="s">
        <v>741</v>
      </c>
      <c r="D284" t="s">
        <v>263</v>
      </c>
      <c r="E284" t="s">
        <v>264</v>
      </c>
      <c r="F284" t="s">
        <v>727</v>
      </c>
      <c r="G284" t="s">
        <v>266</v>
      </c>
      <c r="H284" s="5">
        <v>45621</v>
      </c>
      <c r="I284" s="5">
        <v>45632</v>
      </c>
      <c r="J284" t="s">
        <v>728</v>
      </c>
      <c r="K284" t="s">
        <v>268</v>
      </c>
      <c r="L284">
        <v>2</v>
      </c>
      <c r="M284" t="s">
        <v>729</v>
      </c>
      <c r="N284" t="s">
        <v>237</v>
      </c>
      <c r="O284">
        <v>0</v>
      </c>
      <c r="P284" s="6" t="str">
        <f>VLOOKUP(J284,'Store lookup'!A:C,2,0)</f>
        <v>HS2016</v>
      </c>
      <c r="Q284" s="6" t="str">
        <f>VLOOKUP(J284,'Store lookup'!A:C,3,0)</f>
        <v>Harris Scarfe Spencer Outlet</v>
      </c>
      <c r="R284" s="6" t="str">
        <f t="shared" si="4"/>
        <v>Harris Scarfe</v>
      </c>
      <c r="S284" s="6" t="str">
        <f>VLOOKUP(I284,'FIN CAL LOOKUP'!A:J,7,1)</f>
        <v>DEC, FY25</v>
      </c>
      <c r="T284" s="6" t="str">
        <f>VLOOKUP(I284,'FIN CAL LOOKUP'!A:J,10,1)</f>
        <v>Q2, FY25</v>
      </c>
    </row>
    <row r="285" spans="1:20" x14ac:dyDescent="0.25">
      <c r="A285">
        <v>297922</v>
      </c>
      <c r="B285" t="s">
        <v>373</v>
      </c>
      <c r="C285" t="s">
        <v>374</v>
      </c>
      <c r="D285" t="s">
        <v>333</v>
      </c>
      <c r="E285" t="s">
        <v>264</v>
      </c>
      <c r="F285" t="s">
        <v>749</v>
      </c>
      <c r="G285" t="s">
        <v>266</v>
      </c>
      <c r="H285" s="5">
        <v>45615</v>
      </c>
      <c r="I285" s="5">
        <v>45623</v>
      </c>
      <c r="J285" t="s">
        <v>750</v>
      </c>
      <c r="K285" t="s">
        <v>268</v>
      </c>
      <c r="L285">
        <v>1</v>
      </c>
      <c r="M285" t="s">
        <v>751</v>
      </c>
      <c r="N285" t="s">
        <v>237</v>
      </c>
      <c r="O285">
        <v>1</v>
      </c>
      <c r="P285" s="6" t="str">
        <f>VLOOKUP(J285,'Store lookup'!A:C,2,0)</f>
        <v>HS2027</v>
      </c>
      <c r="Q285" s="6" t="str">
        <f>VLOOKUP(J285,'Store lookup'!A:C,3,0)</f>
        <v>Harris Scarfe Airport West</v>
      </c>
      <c r="R285" s="6" t="str">
        <f t="shared" si="4"/>
        <v>Harris Scarfe</v>
      </c>
      <c r="S285" s="6" t="str">
        <f>VLOOKUP(I285,'FIN CAL LOOKUP'!A:J,7,1)</f>
        <v>NOV, FY25</v>
      </c>
      <c r="T285" s="6" t="str">
        <f>VLOOKUP(I285,'FIN CAL LOOKUP'!A:J,10,1)</f>
        <v>Q2, FY25</v>
      </c>
    </row>
    <row r="286" spans="1:20" x14ac:dyDescent="0.25">
      <c r="A286">
        <v>328420</v>
      </c>
      <c r="B286" t="s">
        <v>485</v>
      </c>
      <c r="C286" t="s">
        <v>486</v>
      </c>
      <c r="D286" t="s">
        <v>333</v>
      </c>
      <c r="E286" t="s">
        <v>264</v>
      </c>
      <c r="F286" t="s">
        <v>786</v>
      </c>
      <c r="G286" t="s">
        <v>266</v>
      </c>
      <c r="H286" s="5">
        <v>45614</v>
      </c>
      <c r="I286" s="5">
        <v>45618</v>
      </c>
      <c r="J286" t="s">
        <v>787</v>
      </c>
      <c r="K286" t="s">
        <v>268</v>
      </c>
      <c r="L286">
        <v>1</v>
      </c>
      <c r="M286" t="s">
        <v>788</v>
      </c>
      <c r="N286" t="s">
        <v>237</v>
      </c>
      <c r="O286">
        <v>1</v>
      </c>
      <c r="P286" s="6" t="str">
        <f>VLOOKUP(J286,'Store lookup'!A:C,2,0)</f>
        <v>HS2020</v>
      </c>
      <c r="Q286" s="6" t="str">
        <f>VLOOKUP(J286,'Store lookup'!A:C,3,0)</f>
        <v>Harris Scarfe Forest Hill</v>
      </c>
      <c r="R286" s="6" t="str">
        <f t="shared" si="4"/>
        <v>Harris Scarfe</v>
      </c>
      <c r="S286" s="6" t="str">
        <f>VLOOKUP(I286,'FIN CAL LOOKUP'!A:J,7,1)</f>
        <v>NOV, FY25</v>
      </c>
      <c r="T286" s="6" t="str">
        <f>VLOOKUP(I286,'FIN CAL LOOKUP'!A:J,10,1)</f>
        <v>Q2, FY25</v>
      </c>
    </row>
    <row r="287" spans="1:20" x14ac:dyDescent="0.25">
      <c r="A287">
        <v>298668</v>
      </c>
      <c r="B287" t="s">
        <v>566</v>
      </c>
      <c r="C287" t="s">
        <v>567</v>
      </c>
      <c r="D287" t="s">
        <v>333</v>
      </c>
      <c r="E287" t="s">
        <v>264</v>
      </c>
      <c r="F287" t="s">
        <v>789</v>
      </c>
      <c r="G287" t="s">
        <v>266</v>
      </c>
      <c r="H287" s="5">
        <v>45614</v>
      </c>
      <c r="I287" s="5">
        <v>45617</v>
      </c>
      <c r="J287" t="s">
        <v>789</v>
      </c>
      <c r="K287" t="s">
        <v>268</v>
      </c>
      <c r="L287">
        <v>1</v>
      </c>
      <c r="N287" t="s">
        <v>237</v>
      </c>
      <c r="O287">
        <v>1</v>
      </c>
      <c r="P287" s="6" t="str">
        <f>VLOOKUP(J287,'Store lookup'!A:C,2,0)</f>
        <v>HS1011</v>
      </c>
      <c r="Q287" s="6" t="str">
        <f>VLOOKUP(J287,'Store lookup'!A:C,3,0)</f>
        <v>Harris Scarfe Marion</v>
      </c>
      <c r="R287" s="6" t="str">
        <f t="shared" si="4"/>
        <v>Harris Scarfe</v>
      </c>
      <c r="S287" s="6" t="str">
        <f>VLOOKUP(I287,'FIN CAL LOOKUP'!A:J,7,1)</f>
        <v>NOV, FY25</v>
      </c>
      <c r="T287" s="6" t="str">
        <f>VLOOKUP(I287,'FIN CAL LOOKUP'!A:J,10,1)</f>
        <v>Q2, FY25</v>
      </c>
    </row>
    <row r="288" spans="1:20" x14ac:dyDescent="0.25">
      <c r="A288">
        <v>329993</v>
      </c>
      <c r="B288" t="s">
        <v>444</v>
      </c>
      <c r="C288" t="s">
        <v>445</v>
      </c>
      <c r="D288" t="s">
        <v>272</v>
      </c>
      <c r="E288" t="s">
        <v>264</v>
      </c>
      <c r="F288" t="s">
        <v>727</v>
      </c>
      <c r="G288" t="s">
        <v>266</v>
      </c>
      <c r="H288" s="5">
        <v>45608</v>
      </c>
      <c r="I288" s="5">
        <v>45617</v>
      </c>
      <c r="J288" t="s">
        <v>728</v>
      </c>
      <c r="K288" t="s">
        <v>268</v>
      </c>
      <c r="L288">
        <v>1</v>
      </c>
      <c r="M288" t="s">
        <v>729</v>
      </c>
      <c r="N288" t="s">
        <v>237</v>
      </c>
      <c r="O288">
        <v>1</v>
      </c>
      <c r="P288" s="6" t="str">
        <f>VLOOKUP(J288,'Store lookup'!A:C,2,0)</f>
        <v>HS2016</v>
      </c>
      <c r="Q288" s="6" t="str">
        <f>VLOOKUP(J288,'Store lookup'!A:C,3,0)</f>
        <v>Harris Scarfe Spencer Outlet</v>
      </c>
      <c r="R288" s="6" t="str">
        <f t="shared" si="4"/>
        <v>Harris Scarfe</v>
      </c>
      <c r="S288" s="6" t="str">
        <f>VLOOKUP(I288,'FIN CAL LOOKUP'!A:J,7,1)</f>
        <v>NOV, FY25</v>
      </c>
      <c r="T288" s="6" t="str">
        <f>VLOOKUP(I288,'FIN CAL LOOKUP'!A:J,10,1)</f>
        <v>Q2, FY25</v>
      </c>
    </row>
    <row r="289" spans="1:20" x14ac:dyDescent="0.25">
      <c r="A289">
        <v>330054</v>
      </c>
      <c r="B289" t="s">
        <v>521</v>
      </c>
      <c r="C289" t="s">
        <v>522</v>
      </c>
      <c r="D289" t="s">
        <v>272</v>
      </c>
      <c r="E289" t="s">
        <v>264</v>
      </c>
      <c r="F289" t="s">
        <v>768</v>
      </c>
      <c r="G289" t="s">
        <v>266</v>
      </c>
      <c r="H289" s="5">
        <v>45602</v>
      </c>
      <c r="I289" s="5">
        <v>45638</v>
      </c>
      <c r="J289" t="s">
        <v>769</v>
      </c>
      <c r="K289" t="s">
        <v>268</v>
      </c>
      <c r="L289">
        <v>1</v>
      </c>
      <c r="M289" t="s">
        <v>770</v>
      </c>
      <c r="N289" t="s">
        <v>237</v>
      </c>
      <c r="O289">
        <v>1</v>
      </c>
      <c r="P289" s="6" t="str">
        <f>VLOOKUP(J289,'Store lookup'!A:C,2,0)</f>
        <v>HS2017</v>
      </c>
      <c r="Q289" s="6" t="str">
        <f>VLOOKUP(J289,'Store lookup'!A:C,3,0)</f>
        <v>Harris Scarfe Woodgrove</v>
      </c>
      <c r="R289" s="6" t="str">
        <f t="shared" si="4"/>
        <v>Harris Scarfe</v>
      </c>
      <c r="S289" s="6" t="str">
        <f>VLOOKUP(I289,'FIN CAL LOOKUP'!A:J,7,1)</f>
        <v>DEC, FY25</v>
      </c>
      <c r="T289" s="6" t="str">
        <f>VLOOKUP(I289,'FIN CAL LOOKUP'!A:J,10,1)</f>
        <v>Q2, FY25</v>
      </c>
    </row>
    <row r="290" spans="1:20" x14ac:dyDescent="0.25">
      <c r="A290">
        <v>313085</v>
      </c>
      <c r="B290" t="s">
        <v>605</v>
      </c>
      <c r="C290" t="s">
        <v>606</v>
      </c>
      <c r="D290" t="s">
        <v>542</v>
      </c>
      <c r="E290" t="s">
        <v>264</v>
      </c>
      <c r="F290" t="s">
        <v>783</v>
      </c>
      <c r="G290" t="s">
        <v>266</v>
      </c>
      <c r="H290" s="5">
        <v>45588</v>
      </c>
      <c r="I290" s="5">
        <v>45628</v>
      </c>
      <c r="J290" t="s">
        <v>784</v>
      </c>
      <c r="K290" t="s">
        <v>268</v>
      </c>
      <c r="L290">
        <v>2</v>
      </c>
      <c r="M290" t="s">
        <v>785</v>
      </c>
      <c r="N290" t="s">
        <v>237</v>
      </c>
      <c r="O290">
        <v>0</v>
      </c>
      <c r="P290" s="6" t="str">
        <f>VLOOKUP(J290,'Store lookup'!A:C,2,0)</f>
        <v>HS2057</v>
      </c>
      <c r="Q290" s="6" t="str">
        <f>VLOOKUP(J290,'Store lookup'!A:C,3,0)</f>
        <v>Harris Scarfe DC</v>
      </c>
      <c r="R290" s="6" t="str">
        <f t="shared" si="4"/>
        <v>Harris Scarfe</v>
      </c>
      <c r="S290" s="6" t="str">
        <f>VLOOKUP(I290,'FIN CAL LOOKUP'!A:J,7,1)</f>
        <v>DEC, FY25</v>
      </c>
      <c r="T290" s="6" t="str">
        <f>VLOOKUP(I290,'FIN CAL LOOKUP'!A:J,10,1)</f>
        <v>Q2, FY25</v>
      </c>
    </row>
    <row r="291" spans="1:20" x14ac:dyDescent="0.25">
      <c r="A291">
        <v>320578</v>
      </c>
      <c r="B291" t="s">
        <v>781</v>
      </c>
      <c r="C291" t="s">
        <v>782</v>
      </c>
      <c r="D291" t="s">
        <v>542</v>
      </c>
      <c r="E291" t="s">
        <v>264</v>
      </c>
      <c r="F291" t="s">
        <v>783</v>
      </c>
      <c r="G291" t="s">
        <v>266</v>
      </c>
      <c r="H291" s="5">
        <v>45588</v>
      </c>
      <c r="I291" s="5">
        <v>45621</v>
      </c>
      <c r="J291" t="s">
        <v>784</v>
      </c>
      <c r="K291" t="s">
        <v>268</v>
      </c>
      <c r="L291">
        <v>1</v>
      </c>
      <c r="M291" t="s">
        <v>785</v>
      </c>
      <c r="N291" t="s">
        <v>237</v>
      </c>
      <c r="O291">
        <v>1</v>
      </c>
      <c r="P291" s="6" t="str">
        <f>VLOOKUP(J291,'Store lookup'!A:C,2,0)</f>
        <v>HS2057</v>
      </c>
      <c r="Q291" s="6" t="str">
        <f>VLOOKUP(J291,'Store lookup'!A:C,3,0)</f>
        <v>Harris Scarfe DC</v>
      </c>
      <c r="R291" s="6" t="str">
        <f t="shared" si="4"/>
        <v>Harris Scarfe</v>
      </c>
      <c r="S291" s="6" t="str">
        <f>VLOOKUP(I291,'FIN CAL LOOKUP'!A:J,7,1)</f>
        <v>NOV, FY25</v>
      </c>
      <c r="T291" s="6" t="str">
        <f>VLOOKUP(I291,'FIN CAL LOOKUP'!A:J,10,1)</f>
        <v>Q2, FY25</v>
      </c>
    </row>
    <row r="292" spans="1:20" x14ac:dyDescent="0.25">
      <c r="A292">
        <v>333614</v>
      </c>
      <c r="B292" t="s">
        <v>672</v>
      </c>
      <c r="C292" t="s">
        <v>790</v>
      </c>
      <c r="D292" t="s">
        <v>272</v>
      </c>
      <c r="E292" t="s">
        <v>264</v>
      </c>
      <c r="F292" t="s">
        <v>791</v>
      </c>
      <c r="G292" t="s">
        <v>266</v>
      </c>
      <c r="H292" s="5">
        <v>45576</v>
      </c>
      <c r="I292" s="5">
        <v>45596</v>
      </c>
      <c r="J292" t="s">
        <v>792</v>
      </c>
      <c r="K292" t="s">
        <v>268</v>
      </c>
      <c r="L292">
        <v>1</v>
      </c>
      <c r="M292" t="s">
        <v>620</v>
      </c>
      <c r="N292" t="s">
        <v>237</v>
      </c>
      <c r="O292">
        <v>1</v>
      </c>
      <c r="P292" s="6" t="str">
        <f>VLOOKUP(J292,'Store lookup'!A:C,2,0)</f>
        <v>HS2045</v>
      </c>
      <c r="Q292" s="6" t="str">
        <f>VLOOKUP(J292,'Store lookup'!A:C,3,0)</f>
        <v>Harris Scarfe Frankston</v>
      </c>
      <c r="R292" s="6" t="str">
        <f t="shared" si="4"/>
        <v>Harris Scarfe</v>
      </c>
      <c r="S292" s="6" t="str">
        <f>VLOOKUP(I292,'FIN CAL LOOKUP'!A:J,7,1)</f>
        <v>NOV, FY25</v>
      </c>
      <c r="T292" s="6" t="str">
        <f>VLOOKUP(I292,'FIN CAL LOOKUP'!A:J,10,1)</f>
        <v>Q2, FY25</v>
      </c>
    </row>
    <row r="293" spans="1:20" x14ac:dyDescent="0.25">
      <c r="A293">
        <v>323469</v>
      </c>
      <c r="B293" t="s">
        <v>793</v>
      </c>
      <c r="C293" t="s">
        <v>794</v>
      </c>
      <c r="D293" t="s">
        <v>272</v>
      </c>
      <c r="E293" t="s">
        <v>264</v>
      </c>
      <c r="F293" t="s">
        <v>722</v>
      </c>
      <c r="G293" t="s">
        <v>266</v>
      </c>
      <c r="H293" s="5">
        <v>45547</v>
      </c>
      <c r="I293" s="5">
        <v>45575</v>
      </c>
      <c r="J293" t="s">
        <v>723</v>
      </c>
      <c r="K293" t="s">
        <v>268</v>
      </c>
      <c r="L293">
        <v>1</v>
      </c>
      <c r="M293" t="s">
        <v>338</v>
      </c>
      <c r="N293" t="s">
        <v>237</v>
      </c>
      <c r="O293">
        <v>1</v>
      </c>
      <c r="P293" s="6" t="str">
        <f>VLOOKUP(J293,'Store lookup'!A:C,2,0)</f>
        <v>HS2024</v>
      </c>
      <c r="Q293" s="6" t="str">
        <f>VLOOKUP(J293,'Store lookup'!A:C,3,0)</f>
        <v>Harris Scarfe Highpoint</v>
      </c>
      <c r="R293" s="6" t="str">
        <f t="shared" si="4"/>
        <v>Harris Scarfe</v>
      </c>
      <c r="S293" s="6" t="str">
        <f>VLOOKUP(I293,'FIN CAL LOOKUP'!A:J,7,1)</f>
        <v>OCT, FY25</v>
      </c>
      <c r="T293" s="6" t="str">
        <f>VLOOKUP(I293,'FIN CAL LOOKUP'!A:J,10,1)</f>
        <v>Q2, FY25</v>
      </c>
    </row>
    <row r="294" spans="1:20" x14ac:dyDescent="0.25">
      <c r="A294">
        <v>329837</v>
      </c>
      <c r="B294" t="s">
        <v>562</v>
      </c>
      <c r="C294" t="s">
        <v>563</v>
      </c>
      <c r="D294" t="s">
        <v>278</v>
      </c>
      <c r="E294" t="s">
        <v>264</v>
      </c>
      <c r="F294" t="s">
        <v>771</v>
      </c>
      <c r="G294" t="s">
        <v>266</v>
      </c>
      <c r="H294" s="5">
        <v>45538</v>
      </c>
      <c r="I294" s="5">
        <v>45575</v>
      </c>
      <c r="J294" t="s">
        <v>772</v>
      </c>
      <c r="K294" t="s">
        <v>268</v>
      </c>
      <c r="L294">
        <v>1</v>
      </c>
      <c r="M294" t="s">
        <v>773</v>
      </c>
      <c r="N294" t="s">
        <v>237</v>
      </c>
      <c r="O294">
        <v>1</v>
      </c>
      <c r="P294" s="6" t="str">
        <f>VLOOKUP(J294,'Store lookup'!A:C,2,0)</f>
        <v>HS2048</v>
      </c>
      <c r="Q294" s="6" t="str">
        <f>VLOOKUP(J294,'Store lookup'!A:C,3,0)</f>
        <v>Harris Scarfe Tarneit</v>
      </c>
      <c r="R294" s="6" t="str">
        <f t="shared" si="4"/>
        <v>Harris Scarfe</v>
      </c>
      <c r="S294" s="6" t="str">
        <f>VLOOKUP(I294,'FIN CAL LOOKUP'!A:J,7,1)</f>
        <v>OCT, FY25</v>
      </c>
      <c r="T294" s="6" t="str">
        <f>VLOOKUP(I294,'FIN CAL LOOKUP'!A:J,10,1)</f>
        <v>Q2, FY25</v>
      </c>
    </row>
    <row r="295" spans="1:20" x14ac:dyDescent="0.25">
      <c r="A295">
        <v>323017</v>
      </c>
      <c r="B295" t="s">
        <v>795</v>
      </c>
      <c r="C295" t="s">
        <v>796</v>
      </c>
      <c r="D295" t="s">
        <v>278</v>
      </c>
      <c r="E295" t="s">
        <v>264</v>
      </c>
      <c r="F295" t="s">
        <v>768</v>
      </c>
      <c r="G295" t="s">
        <v>266</v>
      </c>
      <c r="H295" s="5">
        <v>45532</v>
      </c>
      <c r="I295" s="5">
        <v>45575</v>
      </c>
      <c r="J295" t="s">
        <v>769</v>
      </c>
      <c r="K295" t="s">
        <v>268</v>
      </c>
      <c r="L295">
        <v>1</v>
      </c>
      <c r="M295" t="s">
        <v>770</v>
      </c>
      <c r="N295" t="s">
        <v>237</v>
      </c>
      <c r="O295">
        <v>1</v>
      </c>
      <c r="P295" s="6" t="str">
        <f>VLOOKUP(J295,'Store lookup'!A:C,2,0)</f>
        <v>HS2017</v>
      </c>
      <c r="Q295" s="6" t="str">
        <f>VLOOKUP(J295,'Store lookup'!A:C,3,0)</f>
        <v>Harris Scarfe Woodgrove</v>
      </c>
      <c r="R295" s="6" t="str">
        <f t="shared" si="4"/>
        <v>Harris Scarfe</v>
      </c>
      <c r="S295" s="6" t="str">
        <f>VLOOKUP(I295,'FIN CAL LOOKUP'!A:J,7,1)</f>
        <v>OCT, FY25</v>
      </c>
      <c r="T295" s="6" t="str">
        <f>VLOOKUP(I295,'FIN CAL LOOKUP'!A:J,10,1)</f>
        <v>Q2, FY25</v>
      </c>
    </row>
    <row r="296" spans="1:20" x14ac:dyDescent="0.25">
      <c r="A296">
        <v>201015</v>
      </c>
      <c r="B296" t="s">
        <v>764</v>
      </c>
      <c r="C296" t="s">
        <v>765</v>
      </c>
      <c r="D296" t="s">
        <v>333</v>
      </c>
      <c r="E296" t="s">
        <v>264</v>
      </c>
      <c r="F296" t="s">
        <v>749</v>
      </c>
      <c r="G296" t="s">
        <v>266</v>
      </c>
      <c r="H296" s="5">
        <v>45530</v>
      </c>
      <c r="I296" s="5">
        <v>45561</v>
      </c>
      <c r="J296" t="s">
        <v>750</v>
      </c>
      <c r="K296" t="s">
        <v>268</v>
      </c>
      <c r="L296">
        <v>2</v>
      </c>
      <c r="M296" t="s">
        <v>751</v>
      </c>
      <c r="N296" t="s">
        <v>237</v>
      </c>
      <c r="O296">
        <v>0</v>
      </c>
      <c r="P296" s="6" t="str">
        <f>VLOOKUP(J296,'Store lookup'!A:C,2,0)</f>
        <v>HS2027</v>
      </c>
      <c r="Q296" s="6" t="str">
        <f>VLOOKUP(J296,'Store lookup'!A:C,3,0)</f>
        <v>Harris Scarfe Airport West</v>
      </c>
      <c r="R296" s="6" t="str">
        <f t="shared" si="4"/>
        <v>Harris Scarfe</v>
      </c>
      <c r="S296" s="6" t="str">
        <f>VLOOKUP(I296,'FIN CAL LOOKUP'!A:J,7,1)</f>
        <v>SEP, FY25</v>
      </c>
      <c r="T296" s="6" t="str">
        <f>VLOOKUP(I296,'FIN CAL LOOKUP'!A:J,10,1)</f>
        <v>Q1, FY25</v>
      </c>
    </row>
    <row r="297" spans="1:20" x14ac:dyDescent="0.25">
      <c r="A297">
        <v>205870</v>
      </c>
      <c r="B297" t="s">
        <v>774</v>
      </c>
      <c r="C297" t="s">
        <v>775</v>
      </c>
      <c r="D297" t="s">
        <v>333</v>
      </c>
      <c r="E297" t="s">
        <v>264</v>
      </c>
      <c r="F297" t="s">
        <v>749</v>
      </c>
      <c r="G297" t="s">
        <v>266</v>
      </c>
      <c r="H297" s="5">
        <v>45530</v>
      </c>
      <c r="I297" s="5">
        <v>45561</v>
      </c>
      <c r="J297" t="s">
        <v>750</v>
      </c>
      <c r="K297" t="s">
        <v>268</v>
      </c>
      <c r="L297">
        <v>2</v>
      </c>
      <c r="M297" t="s">
        <v>751</v>
      </c>
      <c r="N297" t="s">
        <v>237</v>
      </c>
      <c r="O297">
        <v>0</v>
      </c>
      <c r="P297" s="6" t="str">
        <f>VLOOKUP(J297,'Store lookup'!A:C,2,0)</f>
        <v>HS2027</v>
      </c>
      <c r="Q297" s="6" t="str">
        <f>VLOOKUP(J297,'Store lookup'!A:C,3,0)</f>
        <v>Harris Scarfe Airport West</v>
      </c>
      <c r="R297" s="6" t="str">
        <f t="shared" si="4"/>
        <v>Harris Scarfe</v>
      </c>
      <c r="S297" s="6" t="str">
        <f>VLOOKUP(I297,'FIN CAL LOOKUP'!A:J,7,1)</f>
        <v>SEP, FY25</v>
      </c>
      <c r="T297" s="6" t="str">
        <f>VLOOKUP(I297,'FIN CAL LOOKUP'!A:J,10,1)</f>
        <v>Q1, FY25</v>
      </c>
    </row>
    <row r="298" spans="1:20" x14ac:dyDescent="0.25">
      <c r="A298">
        <v>240591</v>
      </c>
      <c r="B298" t="s">
        <v>797</v>
      </c>
      <c r="C298" t="s">
        <v>798</v>
      </c>
      <c r="D298" t="s">
        <v>263</v>
      </c>
      <c r="E298" t="s">
        <v>264</v>
      </c>
      <c r="F298" t="s">
        <v>768</v>
      </c>
      <c r="G298" t="s">
        <v>266</v>
      </c>
      <c r="H298" s="5">
        <v>45519</v>
      </c>
      <c r="I298" s="5">
        <v>45526</v>
      </c>
      <c r="J298" t="s">
        <v>769</v>
      </c>
      <c r="K298" t="s">
        <v>268</v>
      </c>
      <c r="L298">
        <v>1</v>
      </c>
      <c r="M298" t="s">
        <v>770</v>
      </c>
      <c r="N298" t="s">
        <v>237</v>
      </c>
      <c r="O298">
        <v>1</v>
      </c>
      <c r="P298" s="6" t="str">
        <f>VLOOKUP(J298,'Store lookup'!A:C,2,0)</f>
        <v>HS2017</v>
      </c>
      <c r="Q298" s="6" t="str">
        <f>VLOOKUP(J298,'Store lookup'!A:C,3,0)</f>
        <v>Harris Scarfe Woodgrove</v>
      </c>
      <c r="R298" s="6" t="str">
        <f t="shared" si="4"/>
        <v>Harris Scarfe</v>
      </c>
      <c r="S298" s="6" t="str">
        <f>VLOOKUP(I298,'FIN CAL LOOKUP'!A:J,7,1)</f>
        <v>AUG, FY25</v>
      </c>
      <c r="T298" s="6" t="str">
        <f>VLOOKUP(I298,'FIN CAL LOOKUP'!A:J,10,1)</f>
        <v>Q1, FY25</v>
      </c>
    </row>
    <row r="299" spans="1:20" x14ac:dyDescent="0.25">
      <c r="A299">
        <v>335130</v>
      </c>
      <c r="B299" t="s">
        <v>474</v>
      </c>
      <c r="C299" t="s">
        <v>475</v>
      </c>
      <c r="D299" t="s">
        <v>307</v>
      </c>
      <c r="E299" t="s">
        <v>264</v>
      </c>
      <c r="F299" t="s">
        <v>771</v>
      </c>
      <c r="G299" t="s">
        <v>266</v>
      </c>
      <c r="H299" s="5">
        <v>45506</v>
      </c>
      <c r="I299" s="5">
        <v>45518</v>
      </c>
      <c r="J299" t="s">
        <v>772</v>
      </c>
      <c r="K299" t="s">
        <v>268</v>
      </c>
      <c r="L299">
        <v>1</v>
      </c>
      <c r="M299" t="s">
        <v>773</v>
      </c>
      <c r="N299" t="s">
        <v>237</v>
      </c>
      <c r="O299">
        <v>1</v>
      </c>
      <c r="P299" s="6" t="str">
        <f>VLOOKUP(J299,'Store lookup'!A:C,2,0)</f>
        <v>HS2048</v>
      </c>
      <c r="Q299" s="6" t="str">
        <f>VLOOKUP(J299,'Store lookup'!A:C,3,0)</f>
        <v>Harris Scarfe Tarneit</v>
      </c>
      <c r="R299" s="6" t="str">
        <f t="shared" si="4"/>
        <v>Harris Scarfe</v>
      </c>
      <c r="S299" s="6" t="str">
        <f>VLOOKUP(I299,'FIN CAL LOOKUP'!A:J,7,1)</f>
        <v>AUG, FY25</v>
      </c>
      <c r="T299" s="6" t="str">
        <f>VLOOKUP(I299,'FIN CAL LOOKUP'!A:J,10,1)</f>
        <v>Q1, FY25</v>
      </c>
    </row>
    <row r="300" spans="1:20" x14ac:dyDescent="0.25">
      <c r="A300">
        <v>305409</v>
      </c>
      <c r="B300" t="s">
        <v>517</v>
      </c>
      <c r="C300" t="s">
        <v>518</v>
      </c>
      <c r="D300" t="s">
        <v>278</v>
      </c>
      <c r="E300" t="s">
        <v>264</v>
      </c>
      <c r="F300" t="s">
        <v>771</v>
      </c>
      <c r="G300" t="s">
        <v>266</v>
      </c>
      <c r="H300" s="5">
        <v>45474</v>
      </c>
      <c r="I300" s="5">
        <v>45475</v>
      </c>
      <c r="J300" t="s">
        <v>772</v>
      </c>
      <c r="K300" t="s">
        <v>268</v>
      </c>
      <c r="L300">
        <v>1</v>
      </c>
      <c r="M300" t="s">
        <v>773</v>
      </c>
      <c r="N300" t="s">
        <v>237</v>
      </c>
      <c r="O300">
        <v>1</v>
      </c>
      <c r="P300" s="6" t="str">
        <f>VLOOKUP(J300,'Store lookup'!A:C,2,0)</f>
        <v>HS2048</v>
      </c>
      <c r="Q300" s="6" t="str">
        <f>VLOOKUP(J300,'Store lookup'!A:C,3,0)</f>
        <v>Harris Scarfe Tarneit</v>
      </c>
      <c r="R300" s="6" t="str">
        <f t="shared" si="4"/>
        <v>Harris Scarfe</v>
      </c>
      <c r="S300" s="6" t="str">
        <f>VLOOKUP(I300,'FIN CAL LOOKUP'!A:J,7,1)</f>
        <v>JUL, FY25</v>
      </c>
      <c r="T300" s="6" t="str">
        <f>VLOOKUP(I300,'FIN CAL LOOKUP'!A:J,10,1)</f>
        <v>Q1, FY25</v>
      </c>
    </row>
    <row r="301" spans="1:20" x14ac:dyDescent="0.25">
      <c r="A301">
        <v>203082</v>
      </c>
      <c r="B301" t="s">
        <v>481</v>
      </c>
      <c r="C301" t="s">
        <v>482</v>
      </c>
      <c r="D301" t="s">
        <v>333</v>
      </c>
      <c r="E301" t="s">
        <v>264</v>
      </c>
      <c r="F301" t="s">
        <v>771</v>
      </c>
      <c r="G301" t="s">
        <v>266</v>
      </c>
      <c r="H301" s="5">
        <v>45460</v>
      </c>
      <c r="I301" s="5">
        <v>45566</v>
      </c>
      <c r="J301" t="s">
        <v>772</v>
      </c>
      <c r="K301" t="s">
        <v>268</v>
      </c>
      <c r="L301">
        <v>1</v>
      </c>
      <c r="M301" t="s">
        <v>773</v>
      </c>
      <c r="N301" t="s">
        <v>237</v>
      </c>
      <c r="O301">
        <v>1</v>
      </c>
      <c r="P301" s="6" t="str">
        <f>VLOOKUP(J301,'Store lookup'!A:C,2,0)</f>
        <v>HS2048</v>
      </c>
      <c r="Q301" s="6" t="str">
        <f>VLOOKUP(J301,'Store lookup'!A:C,3,0)</f>
        <v>Harris Scarfe Tarneit</v>
      </c>
      <c r="R301" s="6" t="str">
        <f t="shared" si="4"/>
        <v>Harris Scarfe</v>
      </c>
      <c r="S301" s="6" t="str">
        <f>VLOOKUP(I301,'FIN CAL LOOKUP'!A:J,7,1)</f>
        <v>OCT, FY25</v>
      </c>
      <c r="T301" s="6" t="str">
        <f>VLOOKUP(I301,'FIN CAL LOOKUP'!A:J,10,1)</f>
        <v>Q2, FY25</v>
      </c>
    </row>
    <row r="302" spans="1:20" x14ac:dyDescent="0.25">
      <c r="A302">
        <v>230709</v>
      </c>
      <c r="B302" t="s">
        <v>799</v>
      </c>
      <c r="C302" t="s">
        <v>800</v>
      </c>
      <c r="D302" t="s">
        <v>278</v>
      </c>
      <c r="E302" t="s">
        <v>264</v>
      </c>
      <c r="F302" t="s">
        <v>771</v>
      </c>
      <c r="G302" t="s">
        <v>266</v>
      </c>
      <c r="H302" s="5">
        <v>45455</v>
      </c>
      <c r="I302" s="5">
        <v>45456</v>
      </c>
      <c r="J302" t="s">
        <v>772</v>
      </c>
      <c r="K302" t="s">
        <v>268</v>
      </c>
      <c r="L302">
        <v>1</v>
      </c>
      <c r="M302" t="s">
        <v>773</v>
      </c>
      <c r="N302" t="s">
        <v>237</v>
      </c>
      <c r="O302">
        <v>1</v>
      </c>
      <c r="P302" s="6" t="str">
        <f>VLOOKUP(J302,'Store lookup'!A:C,2,0)</f>
        <v>HS2048</v>
      </c>
      <c r="Q302" s="6" t="str">
        <f>VLOOKUP(J302,'Store lookup'!A:C,3,0)</f>
        <v>Harris Scarfe Tarneit</v>
      </c>
      <c r="R302" s="6" t="str">
        <f t="shared" si="4"/>
        <v>Harris Scarfe</v>
      </c>
      <c r="S302" s="6" t="str">
        <f>VLOOKUP(I302,'FIN CAL LOOKUP'!A:J,7,1)</f>
        <v>JUN, FY24</v>
      </c>
      <c r="T302" s="6" t="str">
        <f>VLOOKUP(I302,'FIN CAL LOOKUP'!A:J,10,1)</f>
        <v>Q4, FY24</v>
      </c>
    </row>
    <row r="303" spans="1:20" x14ac:dyDescent="0.25">
      <c r="A303">
        <v>239689</v>
      </c>
      <c r="B303" t="s">
        <v>629</v>
      </c>
      <c r="C303" t="s">
        <v>630</v>
      </c>
      <c r="D303" t="s">
        <v>278</v>
      </c>
      <c r="E303" t="s">
        <v>264</v>
      </c>
      <c r="F303" t="s">
        <v>801</v>
      </c>
      <c r="G303" t="s">
        <v>266</v>
      </c>
      <c r="H303" s="5">
        <v>45449</v>
      </c>
      <c r="I303" s="5">
        <v>45454</v>
      </c>
      <c r="J303" t="s">
        <v>802</v>
      </c>
      <c r="K303" t="s">
        <v>268</v>
      </c>
      <c r="L303">
        <v>1</v>
      </c>
      <c r="M303" t="s">
        <v>355</v>
      </c>
      <c r="N303" t="s">
        <v>237</v>
      </c>
      <c r="O303">
        <v>1</v>
      </c>
      <c r="P303" s="6" t="str">
        <f>VLOOKUP(J303,'Store lookup'!A:C,2,0)</f>
        <v>HS2039</v>
      </c>
      <c r="Q303" s="6" t="str">
        <f>VLOOKUP(J303,'Store lookup'!A:C,3,0)</f>
        <v>Harris Scarfe Fountain Gate</v>
      </c>
      <c r="R303" s="6" t="str">
        <f t="shared" si="4"/>
        <v>Harris Scarfe</v>
      </c>
      <c r="S303" s="6" t="str">
        <f>VLOOKUP(I303,'FIN CAL LOOKUP'!A:J,7,1)</f>
        <v>JUN, FY24</v>
      </c>
      <c r="T303" s="6" t="str">
        <f>VLOOKUP(I303,'FIN CAL LOOKUP'!A:J,10,1)</f>
        <v>Q4, FY24</v>
      </c>
    </row>
    <row r="304" spans="1:20" x14ac:dyDescent="0.25">
      <c r="A304">
        <v>317563</v>
      </c>
      <c r="B304" t="s">
        <v>381</v>
      </c>
      <c r="C304" t="s">
        <v>803</v>
      </c>
      <c r="D304" t="s">
        <v>278</v>
      </c>
      <c r="E304" t="s">
        <v>264</v>
      </c>
      <c r="F304" t="s">
        <v>722</v>
      </c>
      <c r="G304" t="s">
        <v>266</v>
      </c>
      <c r="H304" s="5">
        <v>45448</v>
      </c>
      <c r="I304" s="5">
        <v>45449</v>
      </c>
      <c r="J304" t="s">
        <v>723</v>
      </c>
      <c r="K304" t="s">
        <v>268</v>
      </c>
      <c r="L304">
        <v>1</v>
      </c>
      <c r="M304" t="s">
        <v>338</v>
      </c>
      <c r="N304" t="s">
        <v>237</v>
      </c>
      <c r="O304">
        <v>1</v>
      </c>
      <c r="P304" s="6" t="str">
        <f>VLOOKUP(J304,'Store lookup'!A:C,2,0)</f>
        <v>HS2024</v>
      </c>
      <c r="Q304" s="6" t="str">
        <f>VLOOKUP(J304,'Store lookup'!A:C,3,0)</f>
        <v>Harris Scarfe Highpoint</v>
      </c>
      <c r="R304" s="6" t="str">
        <f t="shared" si="4"/>
        <v>Harris Scarfe</v>
      </c>
      <c r="S304" s="6" t="str">
        <f>VLOOKUP(I304,'FIN CAL LOOKUP'!A:J,7,1)</f>
        <v>JUN, FY24</v>
      </c>
      <c r="T304" s="6" t="str">
        <f>VLOOKUP(I304,'FIN CAL LOOKUP'!A:J,10,1)</f>
        <v>Q4, FY24</v>
      </c>
    </row>
    <row r="305" spans="1:20" x14ac:dyDescent="0.25">
      <c r="A305">
        <v>298244</v>
      </c>
      <c r="B305" t="s">
        <v>804</v>
      </c>
      <c r="C305" t="s">
        <v>805</v>
      </c>
      <c r="D305" t="s">
        <v>278</v>
      </c>
      <c r="E305" t="s">
        <v>264</v>
      </c>
      <c r="F305" t="s">
        <v>735</v>
      </c>
      <c r="G305" t="s">
        <v>266</v>
      </c>
      <c r="H305" s="5">
        <v>45439</v>
      </c>
      <c r="I305" s="5">
        <v>45461</v>
      </c>
      <c r="J305" t="s">
        <v>736</v>
      </c>
      <c r="K305" t="s">
        <v>268</v>
      </c>
      <c r="L305">
        <v>2</v>
      </c>
      <c r="M305" t="s">
        <v>737</v>
      </c>
      <c r="N305" t="s">
        <v>237</v>
      </c>
      <c r="O305">
        <v>0</v>
      </c>
      <c r="P305" s="6" t="str">
        <f>VLOOKUP(J305,'Store lookup'!A:C,2,0)</f>
        <v>HS2031</v>
      </c>
      <c r="Q305" s="6" t="str">
        <f>VLOOKUP(J305,'Store lookup'!A:C,3,0)</f>
        <v>Harris Scarfe Sunbury</v>
      </c>
      <c r="R305" s="6" t="str">
        <f t="shared" si="4"/>
        <v>Harris Scarfe</v>
      </c>
      <c r="S305" s="6" t="str">
        <f>VLOOKUP(I305,'FIN CAL LOOKUP'!A:J,7,1)</f>
        <v>JUN, FY24</v>
      </c>
      <c r="T305" s="6" t="str">
        <f>VLOOKUP(I305,'FIN CAL LOOKUP'!A:J,10,1)</f>
        <v>Q4, FY24</v>
      </c>
    </row>
    <row r="306" spans="1:20" x14ac:dyDescent="0.25">
      <c r="A306">
        <v>331287</v>
      </c>
      <c r="B306" t="s">
        <v>806</v>
      </c>
      <c r="C306" t="s">
        <v>807</v>
      </c>
      <c r="D306" t="s">
        <v>278</v>
      </c>
      <c r="E306" t="s">
        <v>264</v>
      </c>
      <c r="F306" t="s">
        <v>735</v>
      </c>
      <c r="G306" t="s">
        <v>266</v>
      </c>
      <c r="H306" s="5">
        <v>45439</v>
      </c>
      <c r="I306" s="5">
        <v>45461</v>
      </c>
      <c r="J306" t="s">
        <v>736</v>
      </c>
      <c r="K306" t="s">
        <v>268</v>
      </c>
      <c r="L306">
        <v>2</v>
      </c>
      <c r="M306" t="s">
        <v>737</v>
      </c>
      <c r="N306" t="s">
        <v>237</v>
      </c>
      <c r="O306">
        <v>0</v>
      </c>
      <c r="P306" s="6" t="str">
        <f>VLOOKUP(J306,'Store lookup'!A:C,2,0)</f>
        <v>HS2031</v>
      </c>
      <c r="Q306" s="6" t="str">
        <f>VLOOKUP(J306,'Store lookup'!A:C,3,0)</f>
        <v>Harris Scarfe Sunbury</v>
      </c>
      <c r="R306" s="6" t="str">
        <f t="shared" si="4"/>
        <v>Harris Scarfe</v>
      </c>
      <c r="S306" s="6" t="str">
        <f>VLOOKUP(I306,'FIN CAL LOOKUP'!A:J,7,1)</f>
        <v>JUN, FY24</v>
      </c>
      <c r="T306" s="6" t="str">
        <f>VLOOKUP(I306,'FIN CAL LOOKUP'!A:J,10,1)</f>
        <v>Q4, FY24</v>
      </c>
    </row>
    <row r="307" spans="1:20" x14ac:dyDescent="0.25">
      <c r="A307">
        <v>208565</v>
      </c>
      <c r="B307" t="s">
        <v>487</v>
      </c>
      <c r="C307" t="s">
        <v>488</v>
      </c>
      <c r="D307" t="s">
        <v>333</v>
      </c>
      <c r="E307" t="s">
        <v>264</v>
      </c>
      <c r="F307" t="s">
        <v>727</v>
      </c>
      <c r="G307" t="s">
        <v>266</v>
      </c>
      <c r="H307" s="5">
        <v>45419</v>
      </c>
      <c r="I307" s="5">
        <v>45608</v>
      </c>
      <c r="J307" t="s">
        <v>728</v>
      </c>
      <c r="K307" t="s">
        <v>268</v>
      </c>
      <c r="L307">
        <v>1</v>
      </c>
      <c r="M307" t="s">
        <v>729</v>
      </c>
      <c r="N307" t="s">
        <v>237</v>
      </c>
      <c r="O307">
        <v>1</v>
      </c>
      <c r="P307" s="6" t="str">
        <f>VLOOKUP(J307,'Store lookup'!A:C,2,0)</f>
        <v>HS2016</v>
      </c>
      <c r="Q307" s="6" t="str">
        <f>VLOOKUP(J307,'Store lookup'!A:C,3,0)</f>
        <v>Harris Scarfe Spencer Outlet</v>
      </c>
      <c r="R307" s="6" t="str">
        <f t="shared" si="4"/>
        <v>Harris Scarfe</v>
      </c>
      <c r="S307" s="6" t="str">
        <f>VLOOKUP(I307,'FIN CAL LOOKUP'!A:J,7,1)</f>
        <v>NOV, FY25</v>
      </c>
      <c r="T307" s="6" t="str">
        <f>VLOOKUP(I307,'FIN CAL LOOKUP'!A:J,10,1)</f>
        <v>Q2, FY25</v>
      </c>
    </row>
    <row r="308" spans="1:20" x14ac:dyDescent="0.25">
      <c r="A308">
        <v>201015</v>
      </c>
      <c r="B308" t="s">
        <v>764</v>
      </c>
      <c r="C308" t="s">
        <v>765</v>
      </c>
      <c r="D308" t="s">
        <v>333</v>
      </c>
      <c r="E308" t="s">
        <v>264</v>
      </c>
      <c r="F308" t="s">
        <v>722</v>
      </c>
      <c r="G308" t="s">
        <v>266</v>
      </c>
      <c r="H308" s="5">
        <v>45418</v>
      </c>
      <c r="I308" s="5">
        <v>45622</v>
      </c>
      <c r="J308" t="s">
        <v>723</v>
      </c>
      <c r="K308" t="s">
        <v>268</v>
      </c>
      <c r="L308">
        <v>2</v>
      </c>
      <c r="M308" t="s">
        <v>338</v>
      </c>
      <c r="N308" t="s">
        <v>237</v>
      </c>
      <c r="O308">
        <v>0</v>
      </c>
      <c r="P308" s="6" t="str">
        <f>VLOOKUP(J308,'Store lookup'!A:C,2,0)</f>
        <v>HS2024</v>
      </c>
      <c r="Q308" s="6" t="str">
        <f>VLOOKUP(J308,'Store lookup'!A:C,3,0)</f>
        <v>Harris Scarfe Highpoint</v>
      </c>
      <c r="R308" s="6" t="str">
        <f t="shared" si="4"/>
        <v>Harris Scarfe</v>
      </c>
      <c r="S308" s="6" t="str">
        <f>VLOOKUP(I308,'FIN CAL LOOKUP'!A:J,7,1)</f>
        <v>NOV, FY25</v>
      </c>
      <c r="T308" s="6" t="str">
        <f>VLOOKUP(I308,'FIN CAL LOOKUP'!A:J,10,1)</f>
        <v>Q2, FY25</v>
      </c>
    </row>
    <row r="309" spans="1:20" x14ac:dyDescent="0.25">
      <c r="A309">
        <v>205870</v>
      </c>
      <c r="B309" t="s">
        <v>774</v>
      </c>
      <c r="C309" t="s">
        <v>775</v>
      </c>
      <c r="D309" t="s">
        <v>333</v>
      </c>
      <c r="E309" t="s">
        <v>264</v>
      </c>
      <c r="F309" t="s">
        <v>722</v>
      </c>
      <c r="G309" t="s">
        <v>266</v>
      </c>
      <c r="H309" s="5">
        <v>45418</v>
      </c>
      <c r="I309" s="5">
        <v>45622</v>
      </c>
      <c r="J309" t="s">
        <v>723</v>
      </c>
      <c r="K309" t="s">
        <v>268</v>
      </c>
      <c r="L309">
        <v>2</v>
      </c>
      <c r="M309" t="s">
        <v>338</v>
      </c>
      <c r="N309" t="s">
        <v>237</v>
      </c>
      <c r="O309">
        <v>0</v>
      </c>
      <c r="P309" s="6" t="str">
        <f>VLOOKUP(J309,'Store lookup'!A:C,2,0)</f>
        <v>HS2024</v>
      </c>
      <c r="Q309" s="6" t="str">
        <f>VLOOKUP(J309,'Store lookup'!A:C,3,0)</f>
        <v>Harris Scarfe Highpoint</v>
      </c>
      <c r="R309" s="6" t="str">
        <f t="shared" si="4"/>
        <v>Harris Scarfe</v>
      </c>
      <c r="S309" s="6" t="str">
        <f>VLOOKUP(I309,'FIN CAL LOOKUP'!A:J,7,1)</f>
        <v>NOV, FY25</v>
      </c>
      <c r="T309" s="6" t="str">
        <f>VLOOKUP(I309,'FIN CAL LOOKUP'!A:J,10,1)</f>
        <v>Q2, FY25</v>
      </c>
    </row>
    <row r="310" spans="1:20" x14ac:dyDescent="0.25">
      <c r="A310">
        <v>325114</v>
      </c>
      <c r="B310" t="s">
        <v>581</v>
      </c>
      <c r="C310" t="s">
        <v>582</v>
      </c>
      <c r="D310" t="s">
        <v>333</v>
      </c>
      <c r="E310" t="s">
        <v>264</v>
      </c>
      <c r="F310" t="s">
        <v>722</v>
      </c>
      <c r="G310" t="s">
        <v>266</v>
      </c>
      <c r="H310" s="5">
        <v>45418</v>
      </c>
      <c r="I310" s="5">
        <v>45597</v>
      </c>
      <c r="J310" t="s">
        <v>723</v>
      </c>
      <c r="K310" t="s">
        <v>268</v>
      </c>
      <c r="L310">
        <v>1</v>
      </c>
      <c r="M310" t="s">
        <v>338</v>
      </c>
      <c r="N310" t="s">
        <v>237</v>
      </c>
      <c r="O310">
        <v>1</v>
      </c>
      <c r="P310" s="6" t="str">
        <f>VLOOKUP(J310,'Store lookup'!A:C,2,0)</f>
        <v>HS2024</v>
      </c>
      <c r="Q310" s="6" t="str">
        <f>VLOOKUP(J310,'Store lookup'!A:C,3,0)</f>
        <v>Harris Scarfe Highpoint</v>
      </c>
      <c r="R310" s="6" t="str">
        <f t="shared" si="4"/>
        <v>Harris Scarfe</v>
      </c>
      <c r="S310" s="6" t="str">
        <f>VLOOKUP(I310,'FIN CAL LOOKUP'!A:J,7,1)</f>
        <v>NOV, FY25</v>
      </c>
      <c r="T310" s="6" t="str">
        <f>VLOOKUP(I310,'FIN CAL LOOKUP'!A:J,10,1)</f>
        <v>Q2, FY25</v>
      </c>
    </row>
    <row r="311" spans="1:20" x14ac:dyDescent="0.25">
      <c r="A311">
        <v>325114</v>
      </c>
      <c r="B311" t="s">
        <v>581</v>
      </c>
      <c r="C311" t="s">
        <v>582</v>
      </c>
      <c r="D311" t="s">
        <v>333</v>
      </c>
      <c r="E311" t="s">
        <v>264</v>
      </c>
      <c r="F311" t="s">
        <v>771</v>
      </c>
      <c r="G311" t="s">
        <v>266</v>
      </c>
      <c r="H311" s="5">
        <v>45418</v>
      </c>
      <c r="I311" s="5">
        <v>45541</v>
      </c>
      <c r="J311" t="s">
        <v>772</v>
      </c>
      <c r="K311" t="s">
        <v>268</v>
      </c>
      <c r="L311">
        <v>1</v>
      </c>
      <c r="M311" t="s">
        <v>773</v>
      </c>
      <c r="N311" t="s">
        <v>237</v>
      </c>
      <c r="O311">
        <v>1</v>
      </c>
      <c r="P311" s="6" t="str">
        <f>VLOOKUP(J311,'Store lookup'!A:C,2,0)</f>
        <v>HS2048</v>
      </c>
      <c r="Q311" s="6" t="str">
        <f>VLOOKUP(J311,'Store lookup'!A:C,3,0)</f>
        <v>Harris Scarfe Tarneit</v>
      </c>
      <c r="R311" s="6" t="str">
        <f t="shared" si="4"/>
        <v>Harris Scarfe</v>
      </c>
      <c r="S311" s="6" t="str">
        <f>VLOOKUP(I311,'FIN CAL LOOKUP'!A:J,7,1)</f>
        <v>SEP, FY25</v>
      </c>
      <c r="T311" s="6" t="str">
        <f>VLOOKUP(I311,'FIN CAL LOOKUP'!A:J,10,1)</f>
        <v>Q1, FY25</v>
      </c>
    </row>
    <row r="312" spans="1:20" x14ac:dyDescent="0.25">
      <c r="A312">
        <v>302779</v>
      </c>
      <c r="B312" t="s">
        <v>583</v>
      </c>
      <c r="C312" t="s">
        <v>584</v>
      </c>
      <c r="D312" t="s">
        <v>333</v>
      </c>
      <c r="E312" t="s">
        <v>264</v>
      </c>
      <c r="F312" t="s">
        <v>771</v>
      </c>
      <c r="G312" t="s">
        <v>266</v>
      </c>
      <c r="H312" s="5">
        <v>45413</v>
      </c>
      <c r="I312" s="5">
        <v>45526</v>
      </c>
      <c r="J312" t="s">
        <v>772</v>
      </c>
      <c r="K312" t="s">
        <v>268</v>
      </c>
      <c r="L312">
        <v>1</v>
      </c>
      <c r="M312" t="s">
        <v>773</v>
      </c>
      <c r="N312" t="s">
        <v>237</v>
      </c>
      <c r="O312">
        <v>1</v>
      </c>
      <c r="P312" s="6" t="str">
        <f>VLOOKUP(J312,'Store lookup'!A:C,2,0)</f>
        <v>HS2048</v>
      </c>
      <c r="Q312" s="6" t="str">
        <f>VLOOKUP(J312,'Store lookup'!A:C,3,0)</f>
        <v>Harris Scarfe Tarneit</v>
      </c>
      <c r="R312" s="6" t="str">
        <f t="shared" si="4"/>
        <v>Harris Scarfe</v>
      </c>
      <c r="S312" s="6" t="str">
        <f>VLOOKUP(I312,'FIN CAL LOOKUP'!A:J,7,1)</f>
        <v>AUG, FY25</v>
      </c>
      <c r="T312" s="6" t="str">
        <f>VLOOKUP(I312,'FIN CAL LOOKUP'!A:J,10,1)</f>
        <v>Q1, FY25</v>
      </c>
    </row>
    <row r="313" spans="1:20" x14ac:dyDescent="0.25">
      <c r="A313">
        <v>235543</v>
      </c>
      <c r="B313" t="s">
        <v>738</v>
      </c>
      <c r="C313" t="s">
        <v>739</v>
      </c>
      <c r="D313" t="s">
        <v>263</v>
      </c>
      <c r="E313" t="s">
        <v>264</v>
      </c>
      <c r="F313" t="s">
        <v>727</v>
      </c>
      <c r="G313" t="s">
        <v>266</v>
      </c>
      <c r="H313" s="5">
        <v>45384</v>
      </c>
      <c r="I313" s="5">
        <v>45415</v>
      </c>
      <c r="J313" t="s">
        <v>728</v>
      </c>
      <c r="K313" t="s">
        <v>268</v>
      </c>
      <c r="L313">
        <v>2</v>
      </c>
      <c r="M313" t="s">
        <v>729</v>
      </c>
      <c r="N313" t="s">
        <v>237</v>
      </c>
      <c r="O313">
        <v>0</v>
      </c>
      <c r="P313" s="6" t="str">
        <f>VLOOKUP(J313,'Store lookup'!A:C,2,0)</f>
        <v>HS2016</v>
      </c>
      <c r="Q313" s="6" t="str">
        <f>VLOOKUP(J313,'Store lookup'!A:C,3,0)</f>
        <v>Harris Scarfe Spencer Outlet</v>
      </c>
      <c r="R313" s="6" t="str">
        <f t="shared" si="4"/>
        <v>Harris Scarfe</v>
      </c>
      <c r="S313" s="6" t="str">
        <f>VLOOKUP(I313,'FIN CAL LOOKUP'!A:J,7,1)</f>
        <v>MAY, FY24</v>
      </c>
      <c r="T313" s="6" t="str">
        <f>VLOOKUP(I313,'FIN CAL LOOKUP'!A:J,10,1)</f>
        <v>Q4, FY24</v>
      </c>
    </row>
    <row r="314" spans="1:20" x14ac:dyDescent="0.25">
      <c r="A314">
        <v>307502</v>
      </c>
      <c r="B314" t="s">
        <v>740</v>
      </c>
      <c r="C314" t="s">
        <v>741</v>
      </c>
      <c r="D314" t="s">
        <v>263</v>
      </c>
      <c r="E314" t="s">
        <v>264</v>
      </c>
      <c r="F314" t="s">
        <v>727</v>
      </c>
      <c r="G314" t="s">
        <v>266</v>
      </c>
      <c r="H314" s="5">
        <v>45384</v>
      </c>
      <c r="I314" s="5">
        <v>45415</v>
      </c>
      <c r="J314" t="s">
        <v>728</v>
      </c>
      <c r="K314" t="s">
        <v>268</v>
      </c>
      <c r="L314">
        <v>2</v>
      </c>
      <c r="M314" t="s">
        <v>729</v>
      </c>
      <c r="N314" t="s">
        <v>237</v>
      </c>
      <c r="O314">
        <v>0</v>
      </c>
      <c r="P314" s="6" t="str">
        <f>VLOOKUP(J314,'Store lookup'!A:C,2,0)</f>
        <v>HS2016</v>
      </c>
      <c r="Q314" s="6" t="str">
        <f>VLOOKUP(J314,'Store lookup'!A:C,3,0)</f>
        <v>Harris Scarfe Spencer Outlet</v>
      </c>
      <c r="R314" s="6" t="str">
        <f t="shared" si="4"/>
        <v>Harris Scarfe</v>
      </c>
      <c r="S314" s="6" t="str">
        <f>VLOOKUP(I314,'FIN CAL LOOKUP'!A:J,7,1)</f>
        <v>MAY, FY24</v>
      </c>
      <c r="T314" s="6" t="str">
        <f>VLOOKUP(I314,'FIN CAL LOOKUP'!A:J,10,1)</f>
        <v>Q4, FY24</v>
      </c>
    </row>
    <row r="315" spans="1:20" x14ac:dyDescent="0.25">
      <c r="A315">
        <v>297887</v>
      </c>
      <c r="B315" t="s">
        <v>489</v>
      </c>
      <c r="C315" t="s">
        <v>490</v>
      </c>
      <c r="D315" t="s">
        <v>272</v>
      </c>
      <c r="E315" t="s">
        <v>264</v>
      </c>
      <c r="F315" t="s">
        <v>727</v>
      </c>
      <c r="G315" t="s">
        <v>266</v>
      </c>
      <c r="H315" s="5">
        <v>45377</v>
      </c>
      <c r="I315" s="5">
        <v>45490</v>
      </c>
      <c r="J315" t="s">
        <v>728</v>
      </c>
      <c r="K315" t="s">
        <v>268</v>
      </c>
      <c r="L315">
        <v>1</v>
      </c>
      <c r="M315" t="s">
        <v>729</v>
      </c>
      <c r="N315" t="s">
        <v>237</v>
      </c>
      <c r="O315">
        <v>1</v>
      </c>
      <c r="P315" s="6" t="str">
        <f>VLOOKUP(J315,'Store lookup'!A:C,2,0)</f>
        <v>HS2016</v>
      </c>
      <c r="Q315" s="6" t="str">
        <f>VLOOKUP(J315,'Store lookup'!A:C,3,0)</f>
        <v>Harris Scarfe Spencer Outlet</v>
      </c>
      <c r="R315" s="6" t="str">
        <f t="shared" si="4"/>
        <v>Harris Scarfe</v>
      </c>
      <c r="S315" s="6" t="str">
        <f>VLOOKUP(I315,'FIN CAL LOOKUP'!A:J,7,1)</f>
        <v>JUL, FY25</v>
      </c>
      <c r="T315" s="6" t="str">
        <f>VLOOKUP(I315,'FIN CAL LOOKUP'!A:J,10,1)</f>
        <v>Q1, FY25</v>
      </c>
    </row>
    <row r="316" spans="1:20" x14ac:dyDescent="0.25">
      <c r="A316">
        <v>327843</v>
      </c>
      <c r="B316" t="s">
        <v>808</v>
      </c>
      <c r="C316" t="s">
        <v>809</v>
      </c>
      <c r="D316" t="s">
        <v>263</v>
      </c>
      <c r="E316" t="s">
        <v>264</v>
      </c>
      <c r="F316" t="s">
        <v>771</v>
      </c>
      <c r="G316" t="s">
        <v>266</v>
      </c>
      <c r="H316" s="5">
        <v>45366</v>
      </c>
      <c r="I316" s="5">
        <v>45615</v>
      </c>
      <c r="J316" t="s">
        <v>772</v>
      </c>
      <c r="K316" t="s">
        <v>268</v>
      </c>
      <c r="L316">
        <v>1</v>
      </c>
      <c r="M316" t="s">
        <v>773</v>
      </c>
      <c r="N316" t="s">
        <v>237</v>
      </c>
      <c r="O316">
        <v>1</v>
      </c>
      <c r="P316" s="6" t="str">
        <f>VLOOKUP(J316,'Store lookup'!A:C,2,0)</f>
        <v>HS2048</v>
      </c>
      <c r="Q316" s="6" t="str">
        <f>VLOOKUP(J316,'Store lookup'!A:C,3,0)</f>
        <v>Harris Scarfe Tarneit</v>
      </c>
      <c r="R316" s="6" t="str">
        <f t="shared" si="4"/>
        <v>Harris Scarfe</v>
      </c>
      <c r="S316" s="6" t="str">
        <f>VLOOKUP(I316,'FIN CAL LOOKUP'!A:J,7,1)</f>
        <v>NOV, FY25</v>
      </c>
      <c r="T316" s="6" t="str">
        <f>VLOOKUP(I316,'FIN CAL LOOKUP'!A:J,10,1)</f>
        <v>Q2, FY25</v>
      </c>
    </row>
    <row r="317" spans="1:20" x14ac:dyDescent="0.25">
      <c r="A317">
        <v>231954</v>
      </c>
      <c r="B317" t="s">
        <v>810</v>
      </c>
      <c r="C317" t="s">
        <v>811</v>
      </c>
      <c r="D317" t="s">
        <v>272</v>
      </c>
      <c r="E317" t="s">
        <v>264</v>
      </c>
      <c r="F317" t="s">
        <v>749</v>
      </c>
      <c r="G317" t="s">
        <v>266</v>
      </c>
      <c r="H317" s="5">
        <v>45358</v>
      </c>
      <c r="I317" s="5">
        <v>45364</v>
      </c>
      <c r="J317" t="s">
        <v>750</v>
      </c>
      <c r="K317" t="s">
        <v>268</v>
      </c>
      <c r="L317">
        <v>1</v>
      </c>
      <c r="M317" t="s">
        <v>751</v>
      </c>
      <c r="N317" t="s">
        <v>237</v>
      </c>
      <c r="O317">
        <v>1</v>
      </c>
      <c r="P317" s="6" t="str">
        <f>VLOOKUP(J317,'Store lookup'!A:C,2,0)</f>
        <v>HS2027</v>
      </c>
      <c r="Q317" s="6" t="str">
        <f>VLOOKUP(J317,'Store lookup'!A:C,3,0)</f>
        <v>Harris Scarfe Airport West</v>
      </c>
      <c r="R317" s="6" t="str">
        <f t="shared" si="4"/>
        <v>Harris Scarfe</v>
      </c>
      <c r="S317" s="6" t="str">
        <f>VLOOKUP(I317,'FIN CAL LOOKUP'!A:J,7,1)</f>
        <v>MAR, FY24</v>
      </c>
      <c r="T317" s="6" t="str">
        <f>VLOOKUP(I317,'FIN CAL LOOKUP'!A:J,10,1)</f>
        <v>Q3, FY24</v>
      </c>
    </row>
    <row r="318" spans="1:20" x14ac:dyDescent="0.25">
      <c r="A318">
        <v>305326</v>
      </c>
      <c r="B318" t="s">
        <v>653</v>
      </c>
      <c r="C318" t="s">
        <v>654</v>
      </c>
      <c r="D318" t="s">
        <v>263</v>
      </c>
      <c r="E318" t="s">
        <v>264</v>
      </c>
      <c r="F318" t="s">
        <v>722</v>
      </c>
      <c r="G318" t="s">
        <v>266</v>
      </c>
      <c r="H318" s="5">
        <v>45357</v>
      </c>
      <c r="I318" s="5">
        <v>45386</v>
      </c>
      <c r="J318" t="s">
        <v>723</v>
      </c>
      <c r="K318" t="s">
        <v>268</v>
      </c>
      <c r="L318">
        <v>1</v>
      </c>
      <c r="M318" t="s">
        <v>338</v>
      </c>
      <c r="N318" t="s">
        <v>237</v>
      </c>
      <c r="O318">
        <v>1</v>
      </c>
      <c r="P318" s="6" t="str">
        <f>VLOOKUP(J318,'Store lookup'!A:C,2,0)</f>
        <v>HS2024</v>
      </c>
      <c r="Q318" s="6" t="str">
        <f>VLOOKUP(J318,'Store lookup'!A:C,3,0)</f>
        <v>Harris Scarfe Highpoint</v>
      </c>
      <c r="R318" s="6" t="str">
        <f t="shared" si="4"/>
        <v>Harris Scarfe</v>
      </c>
      <c r="S318" s="6" t="str">
        <f>VLOOKUP(I318,'FIN CAL LOOKUP'!A:J,7,1)</f>
        <v>APR, FY24</v>
      </c>
      <c r="T318" s="6" t="str">
        <f>VLOOKUP(I318,'FIN CAL LOOKUP'!A:J,10,1)</f>
        <v>Q4, FY24</v>
      </c>
    </row>
    <row r="319" spans="1:20" x14ac:dyDescent="0.25">
      <c r="A319">
        <v>325564</v>
      </c>
      <c r="B319" t="s">
        <v>681</v>
      </c>
      <c r="C319" t="s">
        <v>682</v>
      </c>
      <c r="D319" t="s">
        <v>263</v>
      </c>
      <c r="E319" t="s">
        <v>264</v>
      </c>
      <c r="F319" t="s">
        <v>771</v>
      </c>
      <c r="G319" t="s">
        <v>266</v>
      </c>
      <c r="H319" s="5">
        <v>45349</v>
      </c>
      <c r="I319" s="5">
        <v>45492</v>
      </c>
      <c r="J319" t="s">
        <v>772</v>
      </c>
      <c r="K319" t="s">
        <v>268</v>
      </c>
      <c r="L319">
        <v>1</v>
      </c>
      <c r="M319" t="s">
        <v>773</v>
      </c>
      <c r="N319" t="s">
        <v>237</v>
      </c>
      <c r="O319">
        <v>1</v>
      </c>
      <c r="P319" s="6" t="str">
        <f>VLOOKUP(J319,'Store lookup'!A:C,2,0)</f>
        <v>HS2048</v>
      </c>
      <c r="Q319" s="6" t="str">
        <f>VLOOKUP(J319,'Store lookup'!A:C,3,0)</f>
        <v>Harris Scarfe Tarneit</v>
      </c>
      <c r="R319" s="6" t="str">
        <f t="shared" si="4"/>
        <v>Harris Scarfe</v>
      </c>
      <c r="S319" s="6" t="str">
        <f>VLOOKUP(I319,'FIN CAL LOOKUP'!A:J,7,1)</f>
        <v>JUL, FY25</v>
      </c>
      <c r="T319" s="6" t="str">
        <f>VLOOKUP(I319,'FIN CAL LOOKUP'!A:J,10,1)</f>
        <v>Q1, FY25</v>
      </c>
    </row>
    <row r="320" spans="1:20" x14ac:dyDescent="0.25">
      <c r="A320">
        <v>232850</v>
      </c>
      <c r="B320" t="s">
        <v>552</v>
      </c>
      <c r="C320" t="s">
        <v>742</v>
      </c>
      <c r="D320" t="s">
        <v>263</v>
      </c>
      <c r="E320" t="s">
        <v>264</v>
      </c>
      <c r="F320" t="s">
        <v>727</v>
      </c>
      <c r="G320" t="s">
        <v>266</v>
      </c>
      <c r="H320" s="5">
        <v>45348</v>
      </c>
      <c r="I320" s="5">
        <v>45363</v>
      </c>
      <c r="J320" t="s">
        <v>728</v>
      </c>
      <c r="K320" t="s">
        <v>268</v>
      </c>
      <c r="L320">
        <v>2</v>
      </c>
      <c r="M320" t="s">
        <v>729</v>
      </c>
      <c r="N320" t="s">
        <v>237</v>
      </c>
      <c r="O320">
        <v>0</v>
      </c>
      <c r="P320" s="6" t="str">
        <f>VLOOKUP(J320,'Store lookup'!A:C,2,0)</f>
        <v>HS2016</v>
      </c>
      <c r="Q320" s="6" t="str">
        <f>VLOOKUP(J320,'Store lookup'!A:C,3,0)</f>
        <v>Harris Scarfe Spencer Outlet</v>
      </c>
      <c r="R320" s="6" t="str">
        <f t="shared" si="4"/>
        <v>Harris Scarfe</v>
      </c>
      <c r="S320" s="6" t="str">
        <f>VLOOKUP(I320,'FIN CAL LOOKUP'!A:J,7,1)</f>
        <v>MAR, FY24</v>
      </c>
      <c r="T320" s="6" t="str">
        <f>VLOOKUP(I320,'FIN CAL LOOKUP'!A:J,10,1)</f>
        <v>Q3, FY24</v>
      </c>
    </row>
    <row r="321" spans="1:20" x14ac:dyDescent="0.25">
      <c r="A321">
        <v>238720</v>
      </c>
      <c r="B321" t="s">
        <v>743</v>
      </c>
      <c r="C321" t="s">
        <v>744</v>
      </c>
      <c r="D321" t="s">
        <v>263</v>
      </c>
      <c r="E321" t="s">
        <v>264</v>
      </c>
      <c r="F321" t="s">
        <v>727</v>
      </c>
      <c r="G321" t="s">
        <v>266</v>
      </c>
      <c r="H321" s="5">
        <v>45348</v>
      </c>
      <c r="I321" s="5">
        <v>45363</v>
      </c>
      <c r="J321" t="s">
        <v>728</v>
      </c>
      <c r="K321" t="s">
        <v>268</v>
      </c>
      <c r="L321">
        <v>2</v>
      </c>
      <c r="M321" t="s">
        <v>729</v>
      </c>
      <c r="N321" t="s">
        <v>237</v>
      </c>
      <c r="O321">
        <v>0</v>
      </c>
      <c r="P321" s="6" t="str">
        <f>VLOOKUP(J321,'Store lookup'!A:C,2,0)</f>
        <v>HS2016</v>
      </c>
      <c r="Q321" s="6" t="str">
        <f>VLOOKUP(J321,'Store lookup'!A:C,3,0)</f>
        <v>Harris Scarfe Spencer Outlet</v>
      </c>
      <c r="R321" s="6" t="str">
        <f t="shared" si="4"/>
        <v>Harris Scarfe</v>
      </c>
      <c r="S321" s="6" t="str">
        <f>VLOOKUP(I321,'FIN CAL LOOKUP'!A:J,7,1)</f>
        <v>MAR, FY24</v>
      </c>
      <c r="T321" s="6" t="str">
        <f>VLOOKUP(I321,'FIN CAL LOOKUP'!A:J,10,1)</f>
        <v>Q3, FY24</v>
      </c>
    </row>
    <row r="322" spans="1:20" x14ac:dyDescent="0.25">
      <c r="A322">
        <v>321626</v>
      </c>
      <c r="B322" t="s">
        <v>672</v>
      </c>
      <c r="C322" t="s">
        <v>673</v>
      </c>
      <c r="D322" t="s">
        <v>263</v>
      </c>
      <c r="E322" t="s">
        <v>264</v>
      </c>
      <c r="F322" t="s">
        <v>812</v>
      </c>
      <c r="G322" t="s">
        <v>266</v>
      </c>
      <c r="H322" s="5">
        <v>45342</v>
      </c>
      <c r="I322" s="5">
        <v>45478</v>
      </c>
      <c r="J322" t="s">
        <v>813</v>
      </c>
      <c r="K322" t="s">
        <v>268</v>
      </c>
      <c r="L322">
        <v>1</v>
      </c>
      <c r="M322" t="s">
        <v>814</v>
      </c>
      <c r="N322" t="s">
        <v>237</v>
      </c>
      <c r="O322">
        <v>1</v>
      </c>
      <c r="P322" s="6" t="str">
        <f>VLOOKUP(J322,'Store lookup'!A:C,2,0)</f>
        <v>HS2025</v>
      </c>
      <c r="Q322" s="6" t="str">
        <f>VLOOKUP(J322,'Store lookup'!A:C,3,0)</f>
        <v>Harris Scarfe Southland</v>
      </c>
      <c r="R322" s="6" t="str">
        <f t="shared" ref="R322:R385" si="5">IF(LEFT(Q322,1)="A","Ananconda",IF(LEFT(Q322,1)="H","Harris Scarfe",IF(LEFT(Q322,1)="S","Spotlight","Exempt")))</f>
        <v>Harris Scarfe</v>
      </c>
      <c r="S322" s="6" t="str">
        <f>VLOOKUP(I322,'FIN CAL LOOKUP'!A:J,7,1)</f>
        <v>JUL, FY25</v>
      </c>
      <c r="T322" s="6" t="str">
        <f>VLOOKUP(I322,'FIN CAL LOOKUP'!A:J,10,1)</f>
        <v>Q1, FY25</v>
      </c>
    </row>
    <row r="323" spans="1:20" x14ac:dyDescent="0.25">
      <c r="A323">
        <v>321626</v>
      </c>
      <c r="B323" t="s">
        <v>672</v>
      </c>
      <c r="C323" t="s">
        <v>673</v>
      </c>
      <c r="D323" t="s">
        <v>263</v>
      </c>
      <c r="E323" t="s">
        <v>264</v>
      </c>
      <c r="F323" t="s">
        <v>801</v>
      </c>
      <c r="G323" t="s">
        <v>266</v>
      </c>
      <c r="H323" s="5">
        <v>45342</v>
      </c>
      <c r="I323" s="5">
        <v>45422</v>
      </c>
      <c r="J323" t="s">
        <v>802</v>
      </c>
      <c r="K323" t="s">
        <v>268</v>
      </c>
      <c r="L323">
        <v>1</v>
      </c>
      <c r="M323" t="s">
        <v>355</v>
      </c>
      <c r="N323" t="s">
        <v>237</v>
      </c>
      <c r="O323">
        <v>1</v>
      </c>
      <c r="P323" s="6" t="str">
        <f>VLOOKUP(J323,'Store lookup'!A:C,2,0)</f>
        <v>HS2039</v>
      </c>
      <c r="Q323" s="6" t="str">
        <f>VLOOKUP(J323,'Store lookup'!A:C,3,0)</f>
        <v>Harris Scarfe Fountain Gate</v>
      </c>
      <c r="R323" s="6" t="str">
        <f t="shared" si="5"/>
        <v>Harris Scarfe</v>
      </c>
      <c r="S323" s="6" t="str">
        <f>VLOOKUP(I323,'FIN CAL LOOKUP'!A:J,7,1)</f>
        <v>MAY, FY24</v>
      </c>
      <c r="T323" s="6" t="str">
        <f>VLOOKUP(I323,'FIN CAL LOOKUP'!A:J,10,1)</f>
        <v>Q4, FY24</v>
      </c>
    </row>
    <row r="324" spans="1:20" x14ac:dyDescent="0.25">
      <c r="A324">
        <v>299399</v>
      </c>
      <c r="B324" t="s">
        <v>261</v>
      </c>
      <c r="C324" t="s">
        <v>262</v>
      </c>
      <c r="D324" t="s">
        <v>263</v>
      </c>
      <c r="E324" t="s">
        <v>264</v>
      </c>
      <c r="F324" t="s">
        <v>757</v>
      </c>
      <c r="G324" t="s">
        <v>266</v>
      </c>
      <c r="H324" s="5">
        <v>45342</v>
      </c>
      <c r="I324" s="5">
        <v>45351</v>
      </c>
      <c r="J324" t="s">
        <v>758</v>
      </c>
      <c r="K324" t="s">
        <v>268</v>
      </c>
      <c r="L324">
        <v>1</v>
      </c>
      <c r="M324" t="s">
        <v>318</v>
      </c>
      <c r="N324" t="s">
        <v>237</v>
      </c>
      <c r="O324">
        <v>1</v>
      </c>
      <c r="P324" s="6" t="str">
        <f>VLOOKUP(J324,'Store lookup'!A:C,2,0)</f>
        <v>HS2023</v>
      </c>
      <c r="Q324" s="6" t="str">
        <f>VLOOKUP(J324,'Store lookup'!A:C,3,0)</f>
        <v>Harris Scarfe Epping</v>
      </c>
      <c r="R324" s="6" t="str">
        <f t="shared" si="5"/>
        <v>Harris Scarfe</v>
      </c>
      <c r="S324" s="6" t="str">
        <f>VLOOKUP(I324,'FIN CAL LOOKUP'!A:J,7,1)</f>
        <v>MAR, FY24</v>
      </c>
      <c r="T324" s="6" t="str">
        <f>VLOOKUP(I324,'FIN CAL LOOKUP'!A:J,10,1)</f>
        <v>Q3, FY24</v>
      </c>
    </row>
    <row r="325" spans="1:20" x14ac:dyDescent="0.25">
      <c r="A325">
        <v>314295</v>
      </c>
      <c r="B325" t="s">
        <v>815</v>
      </c>
      <c r="C325" t="s">
        <v>816</v>
      </c>
      <c r="D325" t="s">
        <v>307</v>
      </c>
      <c r="E325" t="s">
        <v>264</v>
      </c>
      <c r="F325" t="s">
        <v>724</v>
      </c>
      <c r="G325" t="s">
        <v>266</v>
      </c>
      <c r="H325" s="5">
        <v>45334</v>
      </c>
      <c r="I325" s="5">
        <v>45345</v>
      </c>
      <c r="J325" t="s">
        <v>725</v>
      </c>
      <c r="K325" t="s">
        <v>268</v>
      </c>
      <c r="L325">
        <v>2</v>
      </c>
      <c r="M325" t="s">
        <v>726</v>
      </c>
      <c r="N325" t="s">
        <v>237</v>
      </c>
      <c r="O325">
        <v>0</v>
      </c>
      <c r="P325" s="6" t="str">
        <f>VLOOKUP(J325,'Store lookup'!A:C,2,0)</f>
        <v>HS2022</v>
      </c>
      <c r="Q325" s="6" t="str">
        <f>VLOOKUP(J325,'Store lookup'!A:C,3,0)</f>
        <v>Harris Scarfe Knox</v>
      </c>
      <c r="R325" s="6" t="str">
        <f t="shared" si="5"/>
        <v>Harris Scarfe</v>
      </c>
      <c r="S325" s="6" t="str">
        <f>VLOOKUP(I325,'FIN CAL LOOKUP'!A:J,7,1)</f>
        <v>FEB, FY24</v>
      </c>
      <c r="T325" s="6" t="str">
        <f>VLOOKUP(I325,'FIN CAL LOOKUP'!A:J,10,1)</f>
        <v>Q3, FY24</v>
      </c>
    </row>
    <row r="326" spans="1:20" x14ac:dyDescent="0.25">
      <c r="A326">
        <v>320135</v>
      </c>
      <c r="B326" t="s">
        <v>817</v>
      </c>
      <c r="C326" t="s">
        <v>818</v>
      </c>
      <c r="D326" t="s">
        <v>307</v>
      </c>
      <c r="E326" t="s">
        <v>264</v>
      </c>
      <c r="F326" t="s">
        <v>724</v>
      </c>
      <c r="G326" t="s">
        <v>266</v>
      </c>
      <c r="H326" s="5">
        <v>45334</v>
      </c>
      <c r="I326" s="5">
        <v>45345</v>
      </c>
      <c r="J326" t="s">
        <v>725</v>
      </c>
      <c r="K326" t="s">
        <v>268</v>
      </c>
      <c r="L326">
        <v>2</v>
      </c>
      <c r="M326" t="s">
        <v>726</v>
      </c>
      <c r="N326" t="s">
        <v>237</v>
      </c>
      <c r="O326">
        <v>0</v>
      </c>
      <c r="P326" s="6" t="str">
        <f>VLOOKUP(J326,'Store lookup'!A:C,2,0)</f>
        <v>HS2022</v>
      </c>
      <c r="Q326" s="6" t="str">
        <f>VLOOKUP(J326,'Store lookup'!A:C,3,0)</f>
        <v>Harris Scarfe Knox</v>
      </c>
      <c r="R326" s="6" t="str">
        <f t="shared" si="5"/>
        <v>Harris Scarfe</v>
      </c>
      <c r="S326" s="6" t="str">
        <f>VLOOKUP(I326,'FIN CAL LOOKUP'!A:J,7,1)</f>
        <v>FEB, FY24</v>
      </c>
      <c r="T326" s="6" t="str">
        <f>VLOOKUP(I326,'FIN CAL LOOKUP'!A:J,10,1)</f>
        <v>Q3, FY24</v>
      </c>
    </row>
    <row r="327" spans="1:20" x14ac:dyDescent="0.25">
      <c r="A327">
        <v>231599</v>
      </c>
      <c r="B327" t="s">
        <v>819</v>
      </c>
      <c r="C327" t="s">
        <v>820</v>
      </c>
      <c r="D327" t="s">
        <v>263</v>
      </c>
      <c r="E327" t="s">
        <v>264</v>
      </c>
      <c r="F327" t="s">
        <v>727</v>
      </c>
      <c r="G327" t="s">
        <v>266</v>
      </c>
      <c r="H327" s="5">
        <v>45330</v>
      </c>
      <c r="I327" s="5">
        <v>45335</v>
      </c>
      <c r="J327" t="s">
        <v>728</v>
      </c>
      <c r="K327" t="s">
        <v>268</v>
      </c>
      <c r="L327">
        <v>1</v>
      </c>
      <c r="M327" t="s">
        <v>729</v>
      </c>
      <c r="N327" t="s">
        <v>237</v>
      </c>
      <c r="O327">
        <v>1</v>
      </c>
      <c r="P327" s="6" t="str">
        <f>VLOOKUP(J327,'Store lookup'!A:C,2,0)</f>
        <v>HS2016</v>
      </c>
      <c r="Q327" s="6" t="str">
        <f>VLOOKUP(J327,'Store lookup'!A:C,3,0)</f>
        <v>Harris Scarfe Spencer Outlet</v>
      </c>
      <c r="R327" s="6" t="str">
        <f t="shared" si="5"/>
        <v>Harris Scarfe</v>
      </c>
      <c r="S327" s="6" t="str">
        <f>VLOOKUP(I327,'FIN CAL LOOKUP'!A:J,7,1)</f>
        <v>FEB, FY24</v>
      </c>
      <c r="T327" s="6" t="str">
        <f>VLOOKUP(I327,'FIN CAL LOOKUP'!A:J,10,1)</f>
        <v>Q3, FY24</v>
      </c>
    </row>
    <row r="328" spans="1:20" x14ac:dyDescent="0.25">
      <c r="A328">
        <v>327314</v>
      </c>
      <c r="B328" t="s">
        <v>621</v>
      </c>
      <c r="C328" t="s">
        <v>622</v>
      </c>
      <c r="D328" t="s">
        <v>263</v>
      </c>
      <c r="E328" t="s">
        <v>264</v>
      </c>
      <c r="F328" t="s">
        <v>771</v>
      </c>
      <c r="G328" t="s">
        <v>266</v>
      </c>
      <c r="H328" s="5">
        <v>45329</v>
      </c>
      <c r="I328" s="5">
        <v>45365</v>
      </c>
      <c r="J328" t="s">
        <v>772</v>
      </c>
      <c r="K328" t="s">
        <v>268</v>
      </c>
      <c r="L328">
        <v>1</v>
      </c>
      <c r="M328" t="s">
        <v>773</v>
      </c>
      <c r="N328" t="s">
        <v>237</v>
      </c>
      <c r="O328">
        <v>1</v>
      </c>
      <c r="P328" s="6" t="str">
        <f>VLOOKUP(J328,'Store lookup'!A:C,2,0)</f>
        <v>HS2048</v>
      </c>
      <c r="Q328" s="6" t="str">
        <f>VLOOKUP(J328,'Store lookup'!A:C,3,0)</f>
        <v>Harris Scarfe Tarneit</v>
      </c>
      <c r="R328" s="6" t="str">
        <f t="shared" si="5"/>
        <v>Harris Scarfe</v>
      </c>
      <c r="S328" s="6" t="str">
        <f>VLOOKUP(I328,'FIN CAL LOOKUP'!A:J,7,1)</f>
        <v>MAR, FY24</v>
      </c>
      <c r="T328" s="6" t="str">
        <f>VLOOKUP(I328,'FIN CAL LOOKUP'!A:J,10,1)</f>
        <v>Q3, FY24</v>
      </c>
    </row>
    <row r="329" spans="1:20" x14ac:dyDescent="0.25">
      <c r="A329">
        <v>325608</v>
      </c>
      <c r="B329" t="s">
        <v>730</v>
      </c>
      <c r="C329" t="s">
        <v>731</v>
      </c>
      <c r="D329" t="s">
        <v>263</v>
      </c>
      <c r="E329" t="s">
        <v>264</v>
      </c>
      <c r="F329" t="s">
        <v>727</v>
      </c>
      <c r="G329" t="s">
        <v>266</v>
      </c>
      <c r="H329" s="5">
        <v>45328</v>
      </c>
      <c r="I329" s="5">
        <v>45372</v>
      </c>
      <c r="J329" t="s">
        <v>728</v>
      </c>
      <c r="K329" t="s">
        <v>268</v>
      </c>
      <c r="L329">
        <v>1</v>
      </c>
      <c r="M329" t="s">
        <v>729</v>
      </c>
      <c r="N329" t="s">
        <v>237</v>
      </c>
      <c r="O329">
        <v>1</v>
      </c>
      <c r="P329" s="6" t="str">
        <f>VLOOKUP(J329,'Store lookup'!A:C,2,0)</f>
        <v>HS2016</v>
      </c>
      <c r="Q329" s="6" t="str">
        <f>VLOOKUP(J329,'Store lookup'!A:C,3,0)</f>
        <v>Harris Scarfe Spencer Outlet</v>
      </c>
      <c r="R329" s="6" t="str">
        <f t="shared" si="5"/>
        <v>Harris Scarfe</v>
      </c>
      <c r="S329" s="6" t="str">
        <f>VLOOKUP(I329,'FIN CAL LOOKUP'!A:J,7,1)</f>
        <v>MAR, FY24</v>
      </c>
      <c r="T329" s="6" t="str">
        <f>VLOOKUP(I329,'FIN CAL LOOKUP'!A:J,10,1)</f>
        <v>Q3, FY24</v>
      </c>
    </row>
    <row r="330" spans="1:20" x14ac:dyDescent="0.25">
      <c r="A330">
        <v>332963</v>
      </c>
      <c r="B330" t="s">
        <v>311</v>
      </c>
      <c r="C330" t="s">
        <v>312</v>
      </c>
      <c r="D330" t="s">
        <v>307</v>
      </c>
      <c r="E330" t="s">
        <v>264</v>
      </c>
      <c r="F330" t="s">
        <v>727</v>
      </c>
      <c r="G330" t="s">
        <v>266</v>
      </c>
      <c r="H330" s="5">
        <v>45328</v>
      </c>
      <c r="I330" s="5">
        <v>45349</v>
      </c>
      <c r="J330" t="s">
        <v>728</v>
      </c>
      <c r="K330" t="s">
        <v>268</v>
      </c>
      <c r="L330">
        <v>1</v>
      </c>
      <c r="M330" t="s">
        <v>729</v>
      </c>
      <c r="N330" t="s">
        <v>237</v>
      </c>
      <c r="O330">
        <v>1</v>
      </c>
      <c r="P330" s="6" t="str">
        <f>VLOOKUP(J330,'Store lookup'!A:C,2,0)</f>
        <v>HS2016</v>
      </c>
      <c r="Q330" s="6" t="str">
        <f>VLOOKUP(J330,'Store lookup'!A:C,3,0)</f>
        <v>Harris Scarfe Spencer Outlet</v>
      </c>
      <c r="R330" s="6" t="str">
        <f t="shared" si="5"/>
        <v>Harris Scarfe</v>
      </c>
      <c r="S330" s="6" t="str">
        <f>VLOOKUP(I330,'FIN CAL LOOKUP'!A:J,7,1)</f>
        <v>MAR, FY24</v>
      </c>
      <c r="T330" s="6" t="str">
        <f>VLOOKUP(I330,'FIN CAL LOOKUP'!A:J,10,1)</f>
        <v>Q3, FY24</v>
      </c>
    </row>
    <row r="331" spans="1:20" x14ac:dyDescent="0.25">
      <c r="A331">
        <v>324195</v>
      </c>
      <c r="B331" t="s">
        <v>637</v>
      </c>
      <c r="C331" t="s">
        <v>638</v>
      </c>
      <c r="D331" t="s">
        <v>272</v>
      </c>
      <c r="E331" t="s">
        <v>264</v>
      </c>
      <c r="F331" t="s">
        <v>771</v>
      </c>
      <c r="G331" t="s">
        <v>266</v>
      </c>
      <c r="H331" s="5">
        <v>45328</v>
      </c>
      <c r="I331" s="5">
        <v>45344</v>
      </c>
      <c r="J331" t="s">
        <v>772</v>
      </c>
      <c r="K331" t="s">
        <v>268</v>
      </c>
      <c r="L331">
        <v>1</v>
      </c>
      <c r="M331" t="s">
        <v>773</v>
      </c>
      <c r="N331" t="s">
        <v>237</v>
      </c>
      <c r="O331">
        <v>1</v>
      </c>
      <c r="P331" s="6" t="str">
        <f>VLOOKUP(J331,'Store lookup'!A:C,2,0)</f>
        <v>HS2048</v>
      </c>
      <c r="Q331" s="6" t="str">
        <f>VLOOKUP(J331,'Store lookup'!A:C,3,0)</f>
        <v>Harris Scarfe Tarneit</v>
      </c>
      <c r="R331" s="6" t="str">
        <f t="shared" si="5"/>
        <v>Harris Scarfe</v>
      </c>
      <c r="S331" s="6" t="str">
        <f>VLOOKUP(I331,'FIN CAL LOOKUP'!A:J,7,1)</f>
        <v>FEB, FY24</v>
      </c>
      <c r="T331" s="6" t="str">
        <f>VLOOKUP(I331,'FIN CAL LOOKUP'!A:J,10,1)</f>
        <v>Q3, FY24</v>
      </c>
    </row>
    <row r="332" spans="1:20" x14ac:dyDescent="0.25">
      <c r="A332">
        <v>232850</v>
      </c>
      <c r="B332" t="s">
        <v>552</v>
      </c>
      <c r="C332" t="s">
        <v>742</v>
      </c>
      <c r="D332" t="s">
        <v>263</v>
      </c>
      <c r="E332" t="s">
        <v>264</v>
      </c>
      <c r="F332" t="s">
        <v>727</v>
      </c>
      <c r="G332" t="s">
        <v>266</v>
      </c>
      <c r="H332" s="5">
        <v>45328</v>
      </c>
      <c r="I332" s="5">
        <v>45343</v>
      </c>
      <c r="J332" t="s">
        <v>728</v>
      </c>
      <c r="K332" t="s">
        <v>268</v>
      </c>
      <c r="L332">
        <v>2</v>
      </c>
      <c r="M332" t="s">
        <v>729</v>
      </c>
      <c r="N332" t="s">
        <v>237</v>
      </c>
      <c r="O332">
        <v>0</v>
      </c>
      <c r="P332" s="6" t="str">
        <f>VLOOKUP(J332,'Store lookup'!A:C,2,0)</f>
        <v>HS2016</v>
      </c>
      <c r="Q332" s="6" t="str">
        <f>VLOOKUP(J332,'Store lookup'!A:C,3,0)</f>
        <v>Harris Scarfe Spencer Outlet</v>
      </c>
      <c r="R332" s="6" t="str">
        <f t="shared" si="5"/>
        <v>Harris Scarfe</v>
      </c>
      <c r="S332" s="6" t="str">
        <f>VLOOKUP(I332,'FIN CAL LOOKUP'!A:J,7,1)</f>
        <v>FEB, FY24</v>
      </c>
      <c r="T332" s="6" t="str">
        <f>VLOOKUP(I332,'FIN CAL LOOKUP'!A:J,10,1)</f>
        <v>Q3, FY24</v>
      </c>
    </row>
    <row r="333" spans="1:20" x14ac:dyDescent="0.25">
      <c r="A333">
        <v>238720</v>
      </c>
      <c r="B333" t="s">
        <v>743</v>
      </c>
      <c r="C333" t="s">
        <v>744</v>
      </c>
      <c r="D333" t="s">
        <v>263</v>
      </c>
      <c r="E333" t="s">
        <v>264</v>
      </c>
      <c r="F333" t="s">
        <v>727</v>
      </c>
      <c r="G333" t="s">
        <v>266</v>
      </c>
      <c r="H333" s="5">
        <v>45328</v>
      </c>
      <c r="I333" s="5">
        <v>45343</v>
      </c>
      <c r="J333" t="s">
        <v>728</v>
      </c>
      <c r="K333" t="s">
        <v>268</v>
      </c>
      <c r="L333">
        <v>2</v>
      </c>
      <c r="M333" t="s">
        <v>729</v>
      </c>
      <c r="N333" t="s">
        <v>237</v>
      </c>
      <c r="O333">
        <v>0</v>
      </c>
      <c r="P333" s="6" t="str">
        <f>VLOOKUP(J333,'Store lookup'!A:C,2,0)</f>
        <v>HS2016</v>
      </c>
      <c r="Q333" s="6" t="str">
        <f>VLOOKUP(J333,'Store lookup'!A:C,3,0)</f>
        <v>Harris Scarfe Spencer Outlet</v>
      </c>
      <c r="R333" s="6" t="str">
        <f t="shared" si="5"/>
        <v>Harris Scarfe</v>
      </c>
      <c r="S333" s="6" t="str">
        <f>VLOOKUP(I333,'FIN CAL LOOKUP'!A:J,7,1)</f>
        <v>FEB, FY24</v>
      </c>
      <c r="T333" s="6" t="str">
        <f>VLOOKUP(I333,'FIN CAL LOOKUP'!A:J,10,1)</f>
        <v>Q3, FY24</v>
      </c>
    </row>
    <row r="334" spans="1:20" x14ac:dyDescent="0.25">
      <c r="A334">
        <v>325030</v>
      </c>
      <c r="B334" t="s">
        <v>483</v>
      </c>
      <c r="C334" t="s">
        <v>484</v>
      </c>
      <c r="D334" t="s">
        <v>307</v>
      </c>
      <c r="E334" t="s">
        <v>264</v>
      </c>
      <c r="F334" t="s">
        <v>752</v>
      </c>
      <c r="G334" t="s">
        <v>266</v>
      </c>
      <c r="H334" s="5">
        <v>45322</v>
      </c>
      <c r="I334" s="5">
        <v>45456</v>
      </c>
      <c r="J334" t="s">
        <v>753</v>
      </c>
      <c r="K334" t="s">
        <v>268</v>
      </c>
      <c r="L334">
        <v>1</v>
      </c>
      <c r="M334" t="s">
        <v>754</v>
      </c>
      <c r="N334" t="s">
        <v>237</v>
      </c>
      <c r="O334">
        <v>1</v>
      </c>
      <c r="P334" s="6" t="str">
        <f>VLOOKUP(J334,'Store lookup'!A:C,2,0)</f>
        <v>HS2054</v>
      </c>
      <c r="Q334" s="6" t="str">
        <f>VLOOKUP(J334,'Store lookup'!A:C,3,0)</f>
        <v>Harris Scarfe Chirnside Park</v>
      </c>
      <c r="R334" s="6" t="str">
        <f t="shared" si="5"/>
        <v>Harris Scarfe</v>
      </c>
      <c r="S334" s="6" t="str">
        <f>VLOOKUP(I334,'FIN CAL LOOKUP'!A:J,7,1)</f>
        <v>JUN, FY24</v>
      </c>
      <c r="T334" s="6" t="str">
        <f>VLOOKUP(I334,'FIN CAL LOOKUP'!A:J,10,1)</f>
        <v>Q4, FY24</v>
      </c>
    </row>
    <row r="335" spans="1:20" x14ac:dyDescent="0.25">
      <c r="A335">
        <v>321839</v>
      </c>
      <c r="B335" t="s">
        <v>270</v>
      </c>
      <c r="C335" t="s">
        <v>271</v>
      </c>
      <c r="D335" t="s">
        <v>272</v>
      </c>
      <c r="E335" t="s">
        <v>264</v>
      </c>
      <c r="F335" t="s">
        <v>786</v>
      </c>
      <c r="G335" t="s">
        <v>266</v>
      </c>
      <c r="H335" s="5">
        <v>45321</v>
      </c>
      <c r="I335" s="5">
        <v>45352</v>
      </c>
      <c r="J335" t="s">
        <v>787</v>
      </c>
      <c r="K335" t="s">
        <v>268</v>
      </c>
      <c r="L335">
        <v>1</v>
      </c>
      <c r="M335" t="s">
        <v>788</v>
      </c>
      <c r="N335" t="s">
        <v>237</v>
      </c>
      <c r="O335">
        <v>1</v>
      </c>
      <c r="P335" s="6" t="str">
        <f>VLOOKUP(J335,'Store lookup'!A:C,2,0)</f>
        <v>HS2020</v>
      </c>
      <c r="Q335" s="6" t="str">
        <f>VLOOKUP(J335,'Store lookup'!A:C,3,0)</f>
        <v>Harris Scarfe Forest Hill</v>
      </c>
      <c r="R335" s="6" t="str">
        <f t="shared" si="5"/>
        <v>Harris Scarfe</v>
      </c>
      <c r="S335" s="6" t="str">
        <f>VLOOKUP(I335,'FIN CAL LOOKUP'!A:J,7,1)</f>
        <v>MAR, FY24</v>
      </c>
      <c r="T335" s="6" t="str">
        <f>VLOOKUP(I335,'FIN CAL LOOKUP'!A:J,10,1)</f>
        <v>Q3, FY24</v>
      </c>
    </row>
    <row r="336" spans="1:20" x14ac:dyDescent="0.25">
      <c r="A336">
        <v>317967</v>
      </c>
      <c r="B336" t="s">
        <v>821</v>
      </c>
      <c r="C336" t="s">
        <v>822</v>
      </c>
      <c r="D336" t="s">
        <v>272</v>
      </c>
      <c r="E336" t="s">
        <v>264</v>
      </c>
      <c r="F336" t="s">
        <v>749</v>
      </c>
      <c r="G336" t="s">
        <v>266</v>
      </c>
      <c r="H336" s="5">
        <v>45313</v>
      </c>
      <c r="I336" s="5">
        <v>45400</v>
      </c>
      <c r="J336" t="s">
        <v>750</v>
      </c>
      <c r="K336" t="s">
        <v>268</v>
      </c>
      <c r="L336">
        <v>1</v>
      </c>
      <c r="M336" t="s">
        <v>751</v>
      </c>
      <c r="N336" t="s">
        <v>237</v>
      </c>
      <c r="O336">
        <v>1</v>
      </c>
      <c r="P336" s="6" t="str">
        <f>VLOOKUP(J336,'Store lookup'!A:C,2,0)</f>
        <v>HS2027</v>
      </c>
      <c r="Q336" s="6" t="str">
        <f>VLOOKUP(J336,'Store lookup'!A:C,3,0)</f>
        <v>Harris Scarfe Airport West</v>
      </c>
      <c r="R336" s="6" t="str">
        <f t="shared" si="5"/>
        <v>Harris Scarfe</v>
      </c>
      <c r="S336" s="6" t="str">
        <f>VLOOKUP(I336,'FIN CAL LOOKUP'!A:J,7,1)</f>
        <v>APR, FY24</v>
      </c>
      <c r="T336" s="6" t="str">
        <f>VLOOKUP(I336,'FIN CAL LOOKUP'!A:J,10,1)</f>
        <v>Q4, FY24</v>
      </c>
    </row>
    <row r="337" spans="1:20" x14ac:dyDescent="0.25">
      <c r="A337">
        <v>231957</v>
      </c>
      <c r="B337" t="s">
        <v>456</v>
      </c>
      <c r="C337" t="s">
        <v>457</v>
      </c>
      <c r="D337" t="s">
        <v>278</v>
      </c>
      <c r="E337" t="s">
        <v>264</v>
      </c>
      <c r="F337" t="s">
        <v>722</v>
      </c>
      <c r="G337" t="s">
        <v>266</v>
      </c>
      <c r="H337" s="5">
        <v>45307</v>
      </c>
      <c r="I337" s="5">
        <v>45358</v>
      </c>
      <c r="J337" t="s">
        <v>723</v>
      </c>
      <c r="K337" t="s">
        <v>268</v>
      </c>
      <c r="L337">
        <v>2</v>
      </c>
      <c r="M337" t="s">
        <v>338</v>
      </c>
      <c r="N337" t="s">
        <v>237</v>
      </c>
      <c r="O337">
        <v>0</v>
      </c>
      <c r="P337" s="6" t="str">
        <f>VLOOKUP(J337,'Store lookup'!A:C,2,0)</f>
        <v>HS2024</v>
      </c>
      <c r="Q337" s="6" t="str">
        <f>VLOOKUP(J337,'Store lookup'!A:C,3,0)</f>
        <v>Harris Scarfe Highpoint</v>
      </c>
      <c r="R337" s="6" t="str">
        <f t="shared" si="5"/>
        <v>Harris Scarfe</v>
      </c>
      <c r="S337" s="6" t="str">
        <f>VLOOKUP(I337,'FIN CAL LOOKUP'!A:J,7,1)</f>
        <v>MAR, FY24</v>
      </c>
      <c r="T337" s="6" t="str">
        <f>VLOOKUP(I337,'FIN CAL LOOKUP'!A:J,10,1)</f>
        <v>Q3, FY24</v>
      </c>
    </row>
    <row r="338" spans="1:20" x14ac:dyDescent="0.25">
      <c r="A338">
        <v>240305</v>
      </c>
      <c r="B338" t="s">
        <v>458</v>
      </c>
      <c r="C338" t="s">
        <v>392</v>
      </c>
      <c r="D338" t="s">
        <v>278</v>
      </c>
      <c r="E338" t="s">
        <v>264</v>
      </c>
      <c r="F338" t="s">
        <v>722</v>
      </c>
      <c r="G338" t="s">
        <v>266</v>
      </c>
      <c r="H338" s="5">
        <v>45307</v>
      </c>
      <c r="I338" s="5">
        <v>45358</v>
      </c>
      <c r="J338" t="s">
        <v>723</v>
      </c>
      <c r="K338" t="s">
        <v>268</v>
      </c>
      <c r="L338">
        <v>2</v>
      </c>
      <c r="M338" t="s">
        <v>338</v>
      </c>
      <c r="N338" t="s">
        <v>237</v>
      </c>
      <c r="O338">
        <v>0</v>
      </c>
      <c r="P338" s="6" t="str">
        <f>VLOOKUP(J338,'Store lookup'!A:C,2,0)</f>
        <v>HS2024</v>
      </c>
      <c r="Q338" s="6" t="str">
        <f>VLOOKUP(J338,'Store lookup'!A:C,3,0)</f>
        <v>Harris Scarfe Highpoint</v>
      </c>
      <c r="R338" s="6" t="str">
        <f t="shared" si="5"/>
        <v>Harris Scarfe</v>
      </c>
      <c r="S338" s="6" t="str">
        <f>VLOOKUP(I338,'FIN CAL LOOKUP'!A:J,7,1)</f>
        <v>MAR, FY24</v>
      </c>
      <c r="T338" s="6" t="str">
        <f>VLOOKUP(I338,'FIN CAL LOOKUP'!A:J,10,1)</f>
        <v>Q3, FY24</v>
      </c>
    </row>
    <row r="339" spans="1:20" x14ac:dyDescent="0.25">
      <c r="A339">
        <v>230701</v>
      </c>
      <c r="B339" t="s">
        <v>823</v>
      </c>
      <c r="C339" t="s">
        <v>824</v>
      </c>
      <c r="D339" t="s">
        <v>278</v>
      </c>
      <c r="E339" t="s">
        <v>264</v>
      </c>
      <c r="F339" t="s">
        <v>727</v>
      </c>
      <c r="G339" t="s">
        <v>266</v>
      </c>
      <c r="H339" s="5">
        <v>45306</v>
      </c>
      <c r="I339" s="5">
        <v>45351</v>
      </c>
      <c r="J339" t="s">
        <v>728</v>
      </c>
      <c r="K339" t="s">
        <v>268</v>
      </c>
      <c r="L339">
        <v>1</v>
      </c>
      <c r="M339" t="s">
        <v>729</v>
      </c>
      <c r="N339" t="s">
        <v>237</v>
      </c>
      <c r="O339">
        <v>1</v>
      </c>
      <c r="P339" s="6" t="str">
        <f>VLOOKUP(J339,'Store lookup'!A:C,2,0)</f>
        <v>HS2016</v>
      </c>
      <c r="Q339" s="6" t="str">
        <f>VLOOKUP(J339,'Store lookup'!A:C,3,0)</f>
        <v>Harris Scarfe Spencer Outlet</v>
      </c>
      <c r="R339" s="6" t="str">
        <f t="shared" si="5"/>
        <v>Harris Scarfe</v>
      </c>
      <c r="S339" s="6" t="str">
        <f>VLOOKUP(I339,'FIN CAL LOOKUP'!A:J,7,1)</f>
        <v>MAR, FY24</v>
      </c>
      <c r="T339" s="6" t="str">
        <f>VLOOKUP(I339,'FIN CAL LOOKUP'!A:J,10,1)</f>
        <v>Q3, FY24</v>
      </c>
    </row>
    <row r="340" spans="1:20" x14ac:dyDescent="0.25">
      <c r="A340">
        <v>325420</v>
      </c>
      <c r="B340" t="s">
        <v>530</v>
      </c>
      <c r="C340" t="s">
        <v>531</v>
      </c>
      <c r="D340" t="s">
        <v>278</v>
      </c>
      <c r="E340" t="s">
        <v>264</v>
      </c>
      <c r="F340" t="s">
        <v>727</v>
      </c>
      <c r="G340" t="s">
        <v>266</v>
      </c>
      <c r="H340" s="5">
        <v>45299</v>
      </c>
      <c r="I340" s="5">
        <v>45344</v>
      </c>
      <c r="J340" t="s">
        <v>728</v>
      </c>
      <c r="K340" t="s">
        <v>268</v>
      </c>
      <c r="L340">
        <v>1</v>
      </c>
      <c r="M340" t="s">
        <v>729</v>
      </c>
      <c r="N340" t="s">
        <v>237</v>
      </c>
      <c r="O340">
        <v>1</v>
      </c>
      <c r="P340" s="6" t="str">
        <f>VLOOKUP(J340,'Store lookup'!A:C,2,0)</f>
        <v>HS2016</v>
      </c>
      <c r="Q340" s="6" t="str">
        <f>VLOOKUP(J340,'Store lookup'!A:C,3,0)</f>
        <v>Harris Scarfe Spencer Outlet</v>
      </c>
      <c r="R340" s="6" t="str">
        <f t="shared" si="5"/>
        <v>Harris Scarfe</v>
      </c>
      <c r="S340" s="6" t="str">
        <f>VLOOKUP(I340,'FIN CAL LOOKUP'!A:J,7,1)</f>
        <v>FEB, FY24</v>
      </c>
      <c r="T340" s="6" t="str">
        <f>VLOOKUP(I340,'FIN CAL LOOKUP'!A:J,10,1)</f>
        <v>Q3, FY24</v>
      </c>
    </row>
    <row r="341" spans="1:20" hidden="1" x14ac:dyDescent="0.25">
      <c r="A341">
        <v>298668</v>
      </c>
      <c r="B341" t="s">
        <v>566</v>
      </c>
      <c r="C341" t="s">
        <v>567</v>
      </c>
      <c r="D341" t="s">
        <v>333</v>
      </c>
      <c r="E341" t="s">
        <v>264</v>
      </c>
      <c r="F341" t="s">
        <v>789</v>
      </c>
      <c r="G341" t="s">
        <v>266</v>
      </c>
      <c r="H341" s="5">
        <v>45275</v>
      </c>
      <c r="I341" s="5">
        <v>45279</v>
      </c>
      <c r="J341" t="s">
        <v>789</v>
      </c>
      <c r="K341" t="s">
        <v>268</v>
      </c>
      <c r="L341">
        <v>1</v>
      </c>
      <c r="N341" t="s">
        <v>237</v>
      </c>
      <c r="O341">
        <v>1</v>
      </c>
      <c r="P341" s="6" t="str">
        <f>VLOOKUP(J341,'Store lookup'!A:C,2,0)</f>
        <v>HS1011</v>
      </c>
      <c r="Q341" s="6" t="str">
        <f>VLOOKUP(J341,'Store lookup'!A:C,3,0)</f>
        <v>Harris Scarfe Marion</v>
      </c>
      <c r="R341" s="6" t="str">
        <f t="shared" si="5"/>
        <v>Harris Scarfe</v>
      </c>
      <c r="S341" s="6" t="str">
        <f>VLOOKUP(I341,'FIN CAL LOOKUP'!A:J,7,1)</f>
        <v>DEC, FY24</v>
      </c>
      <c r="T341" s="6" t="str">
        <f>VLOOKUP(I341,'FIN CAL LOOKUP'!A:J,10,1)</f>
        <v>Q2, FY24</v>
      </c>
    </row>
    <row r="342" spans="1:20" hidden="1" x14ac:dyDescent="0.25">
      <c r="A342">
        <v>329419</v>
      </c>
      <c r="B342" t="s">
        <v>547</v>
      </c>
      <c r="C342" t="s">
        <v>548</v>
      </c>
      <c r="D342" t="s">
        <v>307</v>
      </c>
      <c r="E342" t="s">
        <v>264</v>
      </c>
      <c r="F342" t="s">
        <v>749</v>
      </c>
      <c r="G342" t="s">
        <v>266</v>
      </c>
      <c r="H342" s="5">
        <v>45251</v>
      </c>
      <c r="I342" s="5">
        <v>45275</v>
      </c>
      <c r="J342" t="s">
        <v>750</v>
      </c>
      <c r="K342" t="s">
        <v>268</v>
      </c>
      <c r="L342">
        <v>1</v>
      </c>
      <c r="M342" t="s">
        <v>751</v>
      </c>
      <c r="N342" t="s">
        <v>237</v>
      </c>
      <c r="O342">
        <v>1</v>
      </c>
      <c r="P342" s="6" t="str">
        <f>VLOOKUP(J342,'Store lookup'!A:C,2,0)</f>
        <v>HS2027</v>
      </c>
      <c r="Q342" s="6" t="str">
        <f>VLOOKUP(J342,'Store lookup'!A:C,3,0)</f>
        <v>Harris Scarfe Airport West</v>
      </c>
      <c r="R342" s="6" t="str">
        <f t="shared" si="5"/>
        <v>Harris Scarfe</v>
      </c>
      <c r="S342" s="6" t="str">
        <f>VLOOKUP(I342,'FIN CAL LOOKUP'!A:J,7,1)</f>
        <v>DEC, FY24</v>
      </c>
      <c r="T342" s="6" t="str">
        <f>VLOOKUP(I342,'FIN CAL LOOKUP'!A:J,10,1)</f>
        <v>Q2, FY24</v>
      </c>
    </row>
    <row r="343" spans="1:20" hidden="1" x14ac:dyDescent="0.25">
      <c r="A343">
        <v>322133</v>
      </c>
      <c r="B343" t="s">
        <v>825</v>
      </c>
      <c r="C343" t="s">
        <v>826</v>
      </c>
      <c r="D343" t="s">
        <v>278</v>
      </c>
      <c r="E343" t="s">
        <v>264</v>
      </c>
      <c r="F343" t="s">
        <v>771</v>
      </c>
      <c r="G343" t="s">
        <v>266</v>
      </c>
      <c r="H343" s="5">
        <v>45229</v>
      </c>
      <c r="I343" s="5">
        <v>45238</v>
      </c>
      <c r="J343" t="s">
        <v>772</v>
      </c>
      <c r="K343" t="s">
        <v>268</v>
      </c>
      <c r="L343">
        <v>1</v>
      </c>
      <c r="M343" t="s">
        <v>773</v>
      </c>
      <c r="N343" t="s">
        <v>237</v>
      </c>
      <c r="O343">
        <v>1</v>
      </c>
      <c r="P343" s="6" t="str">
        <f>VLOOKUP(J343,'Store lookup'!A:C,2,0)</f>
        <v>HS2048</v>
      </c>
      <c r="Q343" s="6" t="str">
        <f>VLOOKUP(J343,'Store lookup'!A:C,3,0)</f>
        <v>Harris Scarfe Tarneit</v>
      </c>
      <c r="R343" s="6" t="str">
        <f t="shared" si="5"/>
        <v>Harris Scarfe</v>
      </c>
      <c r="S343" s="6" t="str">
        <f>VLOOKUP(I343,'FIN CAL LOOKUP'!A:J,7,1)</f>
        <v>NOV, FY24</v>
      </c>
      <c r="T343" s="6" t="str">
        <f>VLOOKUP(I343,'FIN CAL LOOKUP'!A:J,10,1)</f>
        <v>Q2, FY24</v>
      </c>
    </row>
    <row r="344" spans="1:20" hidden="1" x14ac:dyDescent="0.25">
      <c r="A344">
        <v>329907</v>
      </c>
      <c r="B344" t="s">
        <v>827</v>
      </c>
      <c r="C344" t="s">
        <v>828</v>
      </c>
      <c r="D344" t="s">
        <v>272</v>
      </c>
      <c r="E344" t="s">
        <v>264</v>
      </c>
      <c r="F344" t="s">
        <v>812</v>
      </c>
      <c r="G344" t="s">
        <v>266</v>
      </c>
      <c r="H344" s="5">
        <v>45222</v>
      </c>
      <c r="I344" s="5">
        <v>45232</v>
      </c>
      <c r="J344" t="s">
        <v>813</v>
      </c>
      <c r="K344" t="s">
        <v>268</v>
      </c>
      <c r="L344">
        <v>1</v>
      </c>
      <c r="M344" t="s">
        <v>814</v>
      </c>
      <c r="N344" t="s">
        <v>237</v>
      </c>
      <c r="O344">
        <v>1</v>
      </c>
      <c r="P344" s="6" t="str">
        <f>VLOOKUP(J344,'Store lookup'!A:C,2,0)</f>
        <v>HS2025</v>
      </c>
      <c r="Q344" s="6" t="str">
        <f>VLOOKUP(J344,'Store lookup'!A:C,3,0)</f>
        <v>Harris Scarfe Southland</v>
      </c>
      <c r="R344" s="6" t="str">
        <f t="shared" si="5"/>
        <v>Harris Scarfe</v>
      </c>
      <c r="S344" s="6" t="str">
        <f>VLOOKUP(I344,'FIN CAL LOOKUP'!A:J,7,1)</f>
        <v>NOV, FY24</v>
      </c>
      <c r="T344" s="6" t="str">
        <f>VLOOKUP(I344,'FIN CAL LOOKUP'!A:J,10,1)</f>
        <v>Q2, FY24</v>
      </c>
    </row>
    <row r="345" spans="1:20" hidden="1" x14ac:dyDescent="0.25">
      <c r="A345">
        <v>312091</v>
      </c>
      <c r="B345" t="s">
        <v>577</v>
      </c>
      <c r="C345" t="s">
        <v>578</v>
      </c>
      <c r="D345" t="s">
        <v>272</v>
      </c>
      <c r="E345" t="s">
        <v>264</v>
      </c>
      <c r="F345" t="s">
        <v>752</v>
      </c>
      <c r="G345" t="s">
        <v>266</v>
      </c>
      <c r="H345" s="5">
        <v>45218</v>
      </c>
      <c r="I345" s="5">
        <v>45268</v>
      </c>
      <c r="J345" t="s">
        <v>753</v>
      </c>
      <c r="K345" t="s">
        <v>268</v>
      </c>
      <c r="L345">
        <v>1</v>
      </c>
      <c r="M345" t="s">
        <v>754</v>
      </c>
      <c r="N345" t="s">
        <v>237</v>
      </c>
      <c r="O345">
        <v>1</v>
      </c>
      <c r="P345" s="6" t="str">
        <f>VLOOKUP(J345,'Store lookup'!A:C,2,0)</f>
        <v>HS2054</v>
      </c>
      <c r="Q345" s="6" t="str">
        <f>VLOOKUP(J345,'Store lookup'!A:C,3,0)</f>
        <v>Harris Scarfe Chirnside Park</v>
      </c>
      <c r="R345" s="6" t="str">
        <f t="shared" si="5"/>
        <v>Harris Scarfe</v>
      </c>
      <c r="S345" s="6" t="str">
        <f>VLOOKUP(I345,'FIN CAL LOOKUP'!A:J,7,1)</f>
        <v>DEC, FY24</v>
      </c>
      <c r="T345" s="6" t="str">
        <f>VLOOKUP(I345,'FIN CAL LOOKUP'!A:J,10,1)</f>
        <v>Q2, FY24</v>
      </c>
    </row>
    <row r="346" spans="1:20" hidden="1" x14ac:dyDescent="0.25">
      <c r="A346">
        <v>323983</v>
      </c>
      <c r="B346" t="s">
        <v>641</v>
      </c>
      <c r="C346" t="s">
        <v>642</v>
      </c>
      <c r="D346" t="s">
        <v>272</v>
      </c>
      <c r="E346" t="s">
        <v>264</v>
      </c>
      <c r="F346" t="s">
        <v>727</v>
      </c>
      <c r="G346" t="s">
        <v>266</v>
      </c>
      <c r="H346" s="5">
        <v>45218</v>
      </c>
      <c r="I346" s="5">
        <v>45231</v>
      </c>
      <c r="J346" t="s">
        <v>728</v>
      </c>
      <c r="K346" t="s">
        <v>268</v>
      </c>
      <c r="L346">
        <v>2</v>
      </c>
      <c r="M346" t="s">
        <v>729</v>
      </c>
      <c r="N346" t="s">
        <v>237</v>
      </c>
      <c r="O346">
        <v>0</v>
      </c>
      <c r="P346" s="6" t="str">
        <f>VLOOKUP(J346,'Store lookup'!A:C,2,0)</f>
        <v>HS2016</v>
      </c>
      <c r="Q346" s="6" t="str">
        <f>VLOOKUP(J346,'Store lookup'!A:C,3,0)</f>
        <v>Harris Scarfe Spencer Outlet</v>
      </c>
      <c r="R346" s="6" t="str">
        <f t="shared" si="5"/>
        <v>Harris Scarfe</v>
      </c>
      <c r="S346" s="6" t="str">
        <f>VLOOKUP(I346,'FIN CAL LOOKUP'!A:J,7,1)</f>
        <v>NOV, FY24</v>
      </c>
      <c r="T346" s="6" t="str">
        <f>VLOOKUP(I346,'FIN CAL LOOKUP'!A:J,10,1)</f>
        <v>Q2, FY24</v>
      </c>
    </row>
    <row r="347" spans="1:20" hidden="1" x14ac:dyDescent="0.25">
      <c r="A347">
        <v>329993</v>
      </c>
      <c r="B347" t="s">
        <v>444</v>
      </c>
      <c r="C347" t="s">
        <v>445</v>
      </c>
      <c r="D347" t="s">
        <v>272</v>
      </c>
      <c r="E347" t="s">
        <v>264</v>
      </c>
      <c r="F347" t="s">
        <v>727</v>
      </c>
      <c r="G347" t="s">
        <v>266</v>
      </c>
      <c r="H347" s="5">
        <v>45217</v>
      </c>
      <c r="I347" s="5">
        <v>45224</v>
      </c>
      <c r="J347" t="s">
        <v>728</v>
      </c>
      <c r="K347" t="s">
        <v>268</v>
      </c>
      <c r="L347">
        <v>1</v>
      </c>
      <c r="M347" t="s">
        <v>729</v>
      </c>
      <c r="N347" t="s">
        <v>237</v>
      </c>
      <c r="O347">
        <v>1</v>
      </c>
      <c r="P347" s="6" t="str">
        <f>VLOOKUP(J347,'Store lookup'!A:C,2,0)</f>
        <v>HS2016</v>
      </c>
      <c r="Q347" s="6" t="str">
        <f>VLOOKUP(J347,'Store lookup'!A:C,3,0)</f>
        <v>Harris Scarfe Spencer Outlet</v>
      </c>
      <c r="R347" s="6" t="str">
        <f t="shared" si="5"/>
        <v>Harris Scarfe</v>
      </c>
      <c r="S347" s="6" t="str">
        <f>VLOOKUP(I347,'FIN CAL LOOKUP'!A:J,7,1)</f>
        <v>NOV, FY24</v>
      </c>
      <c r="T347" s="6" t="str">
        <f>VLOOKUP(I347,'FIN CAL LOOKUP'!A:J,10,1)</f>
        <v>Q2, FY24</v>
      </c>
    </row>
    <row r="348" spans="1:20" hidden="1" x14ac:dyDescent="0.25">
      <c r="A348">
        <v>297887</v>
      </c>
      <c r="B348" t="s">
        <v>489</v>
      </c>
      <c r="C348" t="s">
        <v>490</v>
      </c>
      <c r="D348" t="s">
        <v>272</v>
      </c>
      <c r="E348" t="s">
        <v>264</v>
      </c>
      <c r="F348" t="s">
        <v>829</v>
      </c>
      <c r="G348" t="s">
        <v>266</v>
      </c>
      <c r="H348" s="5">
        <v>45216</v>
      </c>
      <c r="I348" s="5">
        <v>45232</v>
      </c>
      <c r="J348" t="s">
        <v>830</v>
      </c>
      <c r="K348" t="s">
        <v>268</v>
      </c>
      <c r="L348">
        <v>1</v>
      </c>
      <c r="N348" t="s">
        <v>237</v>
      </c>
      <c r="O348">
        <v>1</v>
      </c>
      <c r="P348" s="6" t="str">
        <f>VLOOKUP(J348,'Store lookup'!A:C,2,0)</f>
        <v>HS2059</v>
      </c>
      <c r="Q348" s="6" t="str">
        <f>VLOOKUP(J348,'Store lookup'!A:C,3,0)</f>
        <v>Harris Scarfe Bairnsdale</v>
      </c>
      <c r="R348" s="6" t="str">
        <f t="shared" si="5"/>
        <v>Harris Scarfe</v>
      </c>
      <c r="S348" s="6" t="str">
        <f>VLOOKUP(I348,'FIN CAL LOOKUP'!A:J,7,1)</f>
        <v>NOV, FY24</v>
      </c>
      <c r="T348" s="6" t="str">
        <f>VLOOKUP(I348,'FIN CAL LOOKUP'!A:J,10,1)</f>
        <v>Q2, FY24</v>
      </c>
    </row>
    <row r="349" spans="1:20" hidden="1" x14ac:dyDescent="0.25">
      <c r="A349">
        <v>312818</v>
      </c>
      <c r="B349" t="s">
        <v>566</v>
      </c>
      <c r="C349" t="s">
        <v>604</v>
      </c>
      <c r="D349" t="s">
        <v>272</v>
      </c>
      <c r="E349" t="s">
        <v>264</v>
      </c>
      <c r="F349" t="s">
        <v>727</v>
      </c>
      <c r="G349" t="s">
        <v>266</v>
      </c>
      <c r="H349" s="5">
        <v>45212</v>
      </c>
      <c r="I349" s="5">
        <v>45217</v>
      </c>
      <c r="J349" t="s">
        <v>728</v>
      </c>
      <c r="K349" t="s">
        <v>268</v>
      </c>
      <c r="L349">
        <v>1</v>
      </c>
      <c r="M349" t="s">
        <v>729</v>
      </c>
      <c r="N349" t="s">
        <v>237</v>
      </c>
      <c r="O349">
        <v>1</v>
      </c>
      <c r="P349" s="6" t="str">
        <f>VLOOKUP(J349,'Store lookup'!A:C,2,0)</f>
        <v>HS2016</v>
      </c>
      <c r="Q349" s="6" t="str">
        <f>VLOOKUP(J349,'Store lookup'!A:C,3,0)</f>
        <v>Harris Scarfe Spencer Outlet</v>
      </c>
      <c r="R349" s="6" t="str">
        <f t="shared" si="5"/>
        <v>Harris Scarfe</v>
      </c>
      <c r="S349" s="6" t="str">
        <f>VLOOKUP(I349,'FIN CAL LOOKUP'!A:J,7,1)</f>
        <v>OCT, FY24</v>
      </c>
      <c r="T349" s="6" t="str">
        <f>VLOOKUP(I349,'FIN CAL LOOKUP'!A:J,10,1)</f>
        <v>Q2, FY24</v>
      </c>
    </row>
    <row r="350" spans="1:20" hidden="1" x14ac:dyDescent="0.25">
      <c r="A350">
        <v>329850</v>
      </c>
      <c r="B350" t="s">
        <v>831</v>
      </c>
      <c r="C350" t="s">
        <v>832</v>
      </c>
      <c r="D350" t="s">
        <v>272</v>
      </c>
      <c r="E350" t="s">
        <v>264</v>
      </c>
      <c r="F350" t="s">
        <v>727</v>
      </c>
      <c r="G350" t="s">
        <v>266</v>
      </c>
      <c r="H350" s="5">
        <v>45209</v>
      </c>
      <c r="I350" s="5">
        <v>45239</v>
      </c>
      <c r="J350" t="s">
        <v>728</v>
      </c>
      <c r="K350" t="s">
        <v>268</v>
      </c>
      <c r="L350">
        <v>1</v>
      </c>
      <c r="M350" t="s">
        <v>729</v>
      </c>
      <c r="N350" t="s">
        <v>237</v>
      </c>
      <c r="O350">
        <v>1</v>
      </c>
      <c r="P350" s="6" t="str">
        <f>VLOOKUP(J350,'Store lookup'!A:C,2,0)</f>
        <v>HS2016</v>
      </c>
      <c r="Q350" s="6" t="str">
        <f>VLOOKUP(J350,'Store lookup'!A:C,3,0)</f>
        <v>Harris Scarfe Spencer Outlet</v>
      </c>
      <c r="R350" s="6" t="str">
        <f t="shared" si="5"/>
        <v>Harris Scarfe</v>
      </c>
      <c r="S350" s="6" t="str">
        <f>VLOOKUP(I350,'FIN CAL LOOKUP'!A:J,7,1)</f>
        <v>NOV, FY24</v>
      </c>
      <c r="T350" s="6" t="str">
        <f>VLOOKUP(I350,'FIN CAL LOOKUP'!A:J,10,1)</f>
        <v>Q2, FY24</v>
      </c>
    </row>
    <row r="351" spans="1:20" hidden="1" x14ac:dyDescent="0.25">
      <c r="A351" t="s">
        <v>833</v>
      </c>
      <c r="B351" t="s">
        <v>834</v>
      </c>
      <c r="C351" t="s">
        <v>835</v>
      </c>
      <c r="D351" t="s">
        <v>240</v>
      </c>
      <c r="E351" t="s">
        <v>264</v>
      </c>
      <c r="F351" t="s">
        <v>722</v>
      </c>
      <c r="G351" t="s">
        <v>266</v>
      </c>
      <c r="H351" s="5">
        <v>45208</v>
      </c>
      <c r="I351" s="5">
        <v>45219</v>
      </c>
      <c r="J351" t="s">
        <v>723</v>
      </c>
      <c r="K351" t="s">
        <v>268</v>
      </c>
      <c r="L351">
        <v>1</v>
      </c>
      <c r="M351" t="s">
        <v>338</v>
      </c>
      <c r="N351" t="s">
        <v>836</v>
      </c>
      <c r="O351">
        <v>1</v>
      </c>
      <c r="P351" s="6" t="str">
        <f>VLOOKUP(J351,'Store lookup'!A:C,2,0)</f>
        <v>HS2024</v>
      </c>
      <c r="Q351" s="6" t="str">
        <f>VLOOKUP(J351,'Store lookup'!A:C,3,0)</f>
        <v>Harris Scarfe Highpoint</v>
      </c>
      <c r="R351" s="6" t="str">
        <f t="shared" si="5"/>
        <v>Harris Scarfe</v>
      </c>
      <c r="S351" s="6" t="str">
        <f>VLOOKUP(I351,'FIN CAL LOOKUP'!A:J,7,1)</f>
        <v>OCT, FY24</v>
      </c>
      <c r="T351" s="6" t="str">
        <f>VLOOKUP(I351,'FIN CAL LOOKUP'!A:J,10,1)</f>
        <v>Q2, FY24</v>
      </c>
    </row>
    <row r="352" spans="1:20" hidden="1" x14ac:dyDescent="0.25">
      <c r="A352">
        <v>317999</v>
      </c>
      <c r="B352" t="s">
        <v>564</v>
      </c>
      <c r="C352" t="s">
        <v>565</v>
      </c>
      <c r="D352" t="s">
        <v>272</v>
      </c>
      <c r="E352" t="s">
        <v>264</v>
      </c>
      <c r="F352" t="s">
        <v>727</v>
      </c>
      <c r="G352" t="s">
        <v>266</v>
      </c>
      <c r="H352" s="5">
        <v>45203</v>
      </c>
      <c r="I352" s="5">
        <v>45232</v>
      </c>
      <c r="J352" t="s">
        <v>728</v>
      </c>
      <c r="K352" t="s">
        <v>268</v>
      </c>
      <c r="L352">
        <v>1</v>
      </c>
      <c r="M352" t="s">
        <v>729</v>
      </c>
      <c r="N352" t="s">
        <v>237</v>
      </c>
      <c r="O352">
        <v>1</v>
      </c>
      <c r="P352" s="6" t="str">
        <f>VLOOKUP(J352,'Store lookup'!A:C,2,0)</f>
        <v>HS2016</v>
      </c>
      <c r="Q352" s="6" t="str">
        <f>VLOOKUP(J352,'Store lookup'!A:C,3,0)</f>
        <v>Harris Scarfe Spencer Outlet</v>
      </c>
      <c r="R352" s="6" t="str">
        <f t="shared" si="5"/>
        <v>Harris Scarfe</v>
      </c>
      <c r="S352" s="6" t="str">
        <f>VLOOKUP(I352,'FIN CAL LOOKUP'!A:J,7,1)</f>
        <v>NOV, FY24</v>
      </c>
      <c r="T352" s="6" t="str">
        <f>VLOOKUP(I352,'FIN CAL LOOKUP'!A:J,10,1)</f>
        <v>Q2, FY24</v>
      </c>
    </row>
    <row r="353" spans="1:20" hidden="1" x14ac:dyDescent="0.25">
      <c r="A353">
        <v>302779</v>
      </c>
      <c r="B353" t="s">
        <v>583</v>
      </c>
      <c r="C353" t="s">
        <v>584</v>
      </c>
      <c r="D353" t="s">
        <v>333</v>
      </c>
      <c r="E353" t="s">
        <v>264</v>
      </c>
      <c r="F353" t="s">
        <v>771</v>
      </c>
      <c r="G353" t="s">
        <v>266</v>
      </c>
      <c r="H353" s="5">
        <v>45194</v>
      </c>
      <c r="I353" s="5">
        <v>45247</v>
      </c>
      <c r="J353" t="s">
        <v>772</v>
      </c>
      <c r="K353" t="s">
        <v>268</v>
      </c>
      <c r="L353">
        <v>1</v>
      </c>
      <c r="M353" t="s">
        <v>773</v>
      </c>
      <c r="N353" t="s">
        <v>237</v>
      </c>
      <c r="O353">
        <v>1</v>
      </c>
      <c r="P353" s="6" t="str">
        <f>VLOOKUP(J353,'Store lookup'!A:C,2,0)</f>
        <v>HS2048</v>
      </c>
      <c r="Q353" s="6" t="str">
        <f>VLOOKUP(J353,'Store lookup'!A:C,3,0)</f>
        <v>Harris Scarfe Tarneit</v>
      </c>
      <c r="R353" s="6" t="str">
        <f t="shared" si="5"/>
        <v>Harris Scarfe</v>
      </c>
      <c r="S353" s="6" t="str">
        <f>VLOOKUP(I353,'FIN CAL LOOKUP'!A:J,7,1)</f>
        <v>NOV, FY24</v>
      </c>
      <c r="T353" s="6" t="str">
        <f>VLOOKUP(I353,'FIN CAL LOOKUP'!A:J,10,1)</f>
        <v>Q2, FY24</v>
      </c>
    </row>
    <row r="354" spans="1:20" hidden="1" x14ac:dyDescent="0.25">
      <c r="A354">
        <v>330016</v>
      </c>
      <c r="B354" t="s">
        <v>837</v>
      </c>
      <c r="C354" t="s">
        <v>838</v>
      </c>
      <c r="D354" t="s">
        <v>272</v>
      </c>
      <c r="E354" t="s">
        <v>264</v>
      </c>
      <c r="F354" t="s">
        <v>722</v>
      </c>
      <c r="G354" t="s">
        <v>266</v>
      </c>
      <c r="H354" s="5">
        <v>45191</v>
      </c>
      <c r="I354" s="5">
        <v>45219</v>
      </c>
      <c r="J354" t="s">
        <v>723</v>
      </c>
      <c r="K354" t="s">
        <v>268</v>
      </c>
      <c r="L354">
        <v>1</v>
      </c>
      <c r="M354" t="s">
        <v>338</v>
      </c>
      <c r="N354" t="s">
        <v>237</v>
      </c>
      <c r="O354">
        <v>1</v>
      </c>
      <c r="P354" s="6" t="str">
        <f>VLOOKUP(J354,'Store lookup'!A:C,2,0)</f>
        <v>HS2024</v>
      </c>
      <c r="Q354" s="6" t="str">
        <f>VLOOKUP(J354,'Store lookup'!A:C,3,0)</f>
        <v>Harris Scarfe Highpoint</v>
      </c>
      <c r="R354" s="6" t="str">
        <f t="shared" si="5"/>
        <v>Harris Scarfe</v>
      </c>
      <c r="S354" s="6" t="str">
        <f>VLOOKUP(I354,'FIN CAL LOOKUP'!A:J,7,1)</f>
        <v>OCT, FY24</v>
      </c>
      <c r="T354" s="6" t="str">
        <f>VLOOKUP(I354,'FIN CAL LOOKUP'!A:J,10,1)</f>
        <v>Q2, FY24</v>
      </c>
    </row>
    <row r="355" spans="1:20" hidden="1" x14ac:dyDescent="0.25">
      <c r="A355">
        <v>311842</v>
      </c>
      <c r="B355" t="s">
        <v>607</v>
      </c>
      <c r="C355" t="s">
        <v>608</v>
      </c>
      <c r="D355" t="s">
        <v>278</v>
      </c>
      <c r="E355" t="s">
        <v>264</v>
      </c>
      <c r="F355" t="s">
        <v>771</v>
      </c>
      <c r="G355" t="s">
        <v>266</v>
      </c>
      <c r="H355" s="5">
        <v>45189</v>
      </c>
      <c r="I355" s="5">
        <v>45197</v>
      </c>
      <c r="J355" t="s">
        <v>772</v>
      </c>
      <c r="K355" t="s">
        <v>268</v>
      </c>
      <c r="L355">
        <v>1</v>
      </c>
      <c r="M355" t="s">
        <v>773</v>
      </c>
      <c r="N355" t="s">
        <v>237</v>
      </c>
      <c r="O355">
        <v>1</v>
      </c>
      <c r="P355" s="6" t="str">
        <f>VLOOKUP(J355,'Store lookup'!A:C,2,0)</f>
        <v>HS2048</v>
      </c>
      <c r="Q355" s="6" t="str">
        <f>VLOOKUP(J355,'Store lookup'!A:C,3,0)</f>
        <v>Harris Scarfe Tarneit</v>
      </c>
      <c r="R355" s="6" t="str">
        <f t="shared" si="5"/>
        <v>Harris Scarfe</v>
      </c>
      <c r="S355" s="6" t="str">
        <f>VLOOKUP(I355,'FIN CAL LOOKUP'!A:J,7,1)</f>
        <v>OCT, FY24</v>
      </c>
      <c r="T355" s="6" t="str">
        <f>VLOOKUP(I355,'FIN CAL LOOKUP'!A:J,10,1)</f>
        <v>Q2, FY24</v>
      </c>
    </row>
    <row r="356" spans="1:20" hidden="1" x14ac:dyDescent="0.25">
      <c r="A356">
        <v>209435</v>
      </c>
      <c r="B356" t="s">
        <v>839</v>
      </c>
      <c r="C356" t="s">
        <v>811</v>
      </c>
      <c r="D356" t="s">
        <v>278</v>
      </c>
      <c r="E356" t="s">
        <v>264</v>
      </c>
      <c r="F356" t="s">
        <v>747</v>
      </c>
      <c r="G356" t="s">
        <v>266</v>
      </c>
      <c r="H356" s="5">
        <v>45188</v>
      </c>
      <c r="I356" s="5">
        <v>45244</v>
      </c>
      <c r="J356" t="s">
        <v>748</v>
      </c>
      <c r="K356" t="s">
        <v>268</v>
      </c>
      <c r="L356">
        <v>1</v>
      </c>
      <c r="M356" t="s">
        <v>304</v>
      </c>
      <c r="N356" t="s">
        <v>237</v>
      </c>
      <c r="O356">
        <v>1</v>
      </c>
      <c r="P356" s="6" t="str">
        <f>VLOOKUP(J356,'Store lookup'!A:C,2,0)</f>
        <v>HS2040</v>
      </c>
      <c r="Q356" s="6" t="str">
        <f>VLOOKUP(J356,'Store lookup'!A:C,3,0)</f>
        <v>Harris Scarfe Preston</v>
      </c>
      <c r="R356" s="6" t="str">
        <f t="shared" si="5"/>
        <v>Harris Scarfe</v>
      </c>
      <c r="S356" s="6" t="str">
        <f>VLOOKUP(I356,'FIN CAL LOOKUP'!A:J,7,1)</f>
        <v>NOV, FY24</v>
      </c>
      <c r="T356" s="6" t="str">
        <f>VLOOKUP(I356,'FIN CAL LOOKUP'!A:J,10,1)</f>
        <v>Q2, FY24</v>
      </c>
    </row>
    <row r="357" spans="1:20" hidden="1" x14ac:dyDescent="0.25">
      <c r="A357">
        <v>323469</v>
      </c>
      <c r="B357" t="s">
        <v>793</v>
      </c>
      <c r="C357" t="s">
        <v>794</v>
      </c>
      <c r="D357" t="s">
        <v>272</v>
      </c>
      <c r="E357" t="s">
        <v>264</v>
      </c>
      <c r="F357" t="s">
        <v>727</v>
      </c>
      <c r="G357" t="s">
        <v>266</v>
      </c>
      <c r="H357" s="5">
        <v>45188</v>
      </c>
      <c r="I357" s="5">
        <v>45211</v>
      </c>
      <c r="J357" t="s">
        <v>728</v>
      </c>
      <c r="K357" t="s">
        <v>268</v>
      </c>
      <c r="L357">
        <v>1</v>
      </c>
      <c r="M357" t="s">
        <v>729</v>
      </c>
      <c r="N357" t="s">
        <v>237</v>
      </c>
      <c r="O357">
        <v>1</v>
      </c>
      <c r="P357" s="6" t="str">
        <f>VLOOKUP(J357,'Store lookup'!A:C,2,0)</f>
        <v>HS2016</v>
      </c>
      <c r="Q357" s="6" t="str">
        <f>VLOOKUP(J357,'Store lookup'!A:C,3,0)</f>
        <v>Harris Scarfe Spencer Outlet</v>
      </c>
      <c r="R357" s="6" t="str">
        <f t="shared" si="5"/>
        <v>Harris Scarfe</v>
      </c>
      <c r="S357" s="6" t="str">
        <f>VLOOKUP(I357,'FIN CAL LOOKUP'!A:J,7,1)</f>
        <v>OCT, FY24</v>
      </c>
      <c r="T357" s="6" t="str">
        <f>VLOOKUP(I357,'FIN CAL LOOKUP'!A:J,10,1)</f>
        <v>Q2, FY24</v>
      </c>
    </row>
    <row r="358" spans="1:20" hidden="1" x14ac:dyDescent="0.25">
      <c r="A358">
        <v>322987</v>
      </c>
      <c r="B358" t="s">
        <v>631</v>
      </c>
      <c r="C358" t="s">
        <v>632</v>
      </c>
      <c r="D358" t="s">
        <v>272</v>
      </c>
      <c r="E358" t="s">
        <v>264</v>
      </c>
      <c r="F358" t="s">
        <v>727</v>
      </c>
      <c r="G358" t="s">
        <v>266</v>
      </c>
      <c r="H358" s="5">
        <v>45188</v>
      </c>
      <c r="I358" s="5">
        <v>45209</v>
      </c>
      <c r="J358" t="s">
        <v>728</v>
      </c>
      <c r="K358" t="s">
        <v>268</v>
      </c>
      <c r="L358">
        <v>2</v>
      </c>
      <c r="M358" t="s">
        <v>729</v>
      </c>
      <c r="N358" t="s">
        <v>237</v>
      </c>
      <c r="O358">
        <v>0</v>
      </c>
      <c r="P358" s="6" t="str">
        <f>VLOOKUP(J358,'Store lookup'!A:C,2,0)</f>
        <v>HS2016</v>
      </c>
      <c r="Q358" s="6" t="str">
        <f>VLOOKUP(J358,'Store lookup'!A:C,3,0)</f>
        <v>Harris Scarfe Spencer Outlet</v>
      </c>
      <c r="R358" s="6" t="str">
        <f t="shared" si="5"/>
        <v>Harris Scarfe</v>
      </c>
      <c r="S358" s="6" t="str">
        <f>VLOOKUP(I358,'FIN CAL LOOKUP'!A:J,7,1)</f>
        <v>OCT, FY24</v>
      </c>
      <c r="T358" s="6" t="str">
        <f>VLOOKUP(I358,'FIN CAL LOOKUP'!A:J,10,1)</f>
        <v>Q2, FY24</v>
      </c>
    </row>
    <row r="359" spans="1:20" hidden="1" x14ac:dyDescent="0.25">
      <c r="A359">
        <v>323016</v>
      </c>
      <c r="B359" t="s">
        <v>627</v>
      </c>
      <c r="C359" t="s">
        <v>628</v>
      </c>
      <c r="D359" t="s">
        <v>272</v>
      </c>
      <c r="E359" t="s">
        <v>264</v>
      </c>
      <c r="F359" t="s">
        <v>727</v>
      </c>
      <c r="G359" t="s">
        <v>266</v>
      </c>
      <c r="H359" s="5">
        <v>45188</v>
      </c>
      <c r="I359" s="5">
        <v>45209</v>
      </c>
      <c r="J359" t="s">
        <v>728</v>
      </c>
      <c r="K359" t="s">
        <v>268</v>
      </c>
      <c r="L359">
        <v>2</v>
      </c>
      <c r="M359" t="s">
        <v>729</v>
      </c>
      <c r="N359" t="s">
        <v>237</v>
      </c>
      <c r="O359">
        <v>0</v>
      </c>
      <c r="P359" s="6" t="str">
        <f>VLOOKUP(J359,'Store lookup'!A:C,2,0)</f>
        <v>HS2016</v>
      </c>
      <c r="Q359" s="6" t="str">
        <f>VLOOKUP(J359,'Store lookup'!A:C,3,0)</f>
        <v>Harris Scarfe Spencer Outlet</v>
      </c>
      <c r="R359" s="6" t="str">
        <f t="shared" si="5"/>
        <v>Harris Scarfe</v>
      </c>
      <c r="S359" s="6" t="str">
        <f>VLOOKUP(I359,'FIN CAL LOOKUP'!A:J,7,1)</f>
        <v>OCT, FY24</v>
      </c>
      <c r="T359" s="6" t="str">
        <f>VLOOKUP(I359,'FIN CAL LOOKUP'!A:J,10,1)</f>
        <v>Q2, FY24</v>
      </c>
    </row>
    <row r="360" spans="1:20" hidden="1" x14ac:dyDescent="0.25">
      <c r="A360">
        <v>298313</v>
      </c>
      <c r="B360" t="s">
        <v>540</v>
      </c>
      <c r="C360" t="s">
        <v>541</v>
      </c>
      <c r="D360" t="s">
        <v>542</v>
      </c>
      <c r="E360" t="s">
        <v>264</v>
      </c>
      <c r="F360" t="s">
        <v>786</v>
      </c>
      <c r="G360" t="s">
        <v>266</v>
      </c>
      <c r="H360" s="5">
        <v>45187</v>
      </c>
      <c r="I360" s="5">
        <v>45226</v>
      </c>
      <c r="J360" t="s">
        <v>787</v>
      </c>
      <c r="K360" t="s">
        <v>268</v>
      </c>
      <c r="L360">
        <v>2</v>
      </c>
      <c r="M360" t="s">
        <v>788</v>
      </c>
      <c r="N360" t="s">
        <v>237</v>
      </c>
      <c r="O360">
        <v>0</v>
      </c>
      <c r="P360" s="6" t="str">
        <f>VLOOKUP(J360,'Store lookup'!A:C,2,0)</f>
        <v>HS2020</v>
      </c>
      <c r="Q360" s="6" t="str">
        <f>VLOOKUP(J360,'Store lookup'!A:C,3,0)</f>
        <v>Harris Scarfe Forest Hill</v>
      </c>
      <c r="R360" s="6" t="str">
        <f t="shared" si="5"/>
        <v>Harris Scarfe</v>
      </c>
      <c r="S360" s="6" t="str">
        <f>VLOOKUP(I360,'FIN CAL LOOKUP'!A:J,7,1)</f>
        <v>NOV, FY24</v>
      </c>
      <c r="T360" s="6" t="str">
        <f>VLOOKUP(I360,'FIN CAL LOOKUP'!A:J,10,1)</f>
        <v>Q2, FY24</v>
      </c>
    </row>
    <row r="361" spans="1:20" hidden="1" x14ac:dyDescent="0.25">
      <c r="A361">
        <v>230709</v>
      </c>
      <c r="B361" t="s">
        <v>799</v>
      </c>
      <c r="C361" t="s">
        <v>800</v>
      </c>
      <c r="D361" t="s">
        <v>278</v>
      </c>
      <c r="E361" t="s">
        <v>264</v>
      </c>
      <c r="F361" t="s">
        <v>747</v>
      </c>
      <c r="G361" t="s">
        <v>266</v>
      </c>
      <c r="H361" s="5">
        <v>45187</v>
      </c>
      <c r="I361" s="5">
        <v>45189</v>
      </c>
      <c r="J361" t="s">
        <v>748</v>
      </c>
      <c r="K361" t="s">
        <v>268</v>
      </c>
      <c r="L361">
        <v>1</v>
      </c>
      <c r="M361" t="s">
        <v>304</v>
      </c>
      <c r="N361" t="s">
        <v>237</v>
      </c>
      <c r="O361">
        <v>1</v>
      </c>
      <c r="P361" s="6" t="str">
        <f>VLOOKUP(J361,'Store lookup'!A:C,2,0)</f>
        <v>HS2040</v>
      </c>
      <c r="Q361" s="6" t="str">
        <f>VLOOKUP(J361,'Store lookup'!A:C,3,0)</f>
        <v>Harris Scarfe Preston</v>
      </c>
      <c r="R361" s="6" t="str">
        <f t="shared" si="5"/>
        <v>Harris Scarfe</v>
      </c>
      <c r="S361" s="6" t="str">
        <f>VLOOKUP(I361,'FIN CAL LOOKUP'!A:J,7,1)</f>
        <v>SEP, FY24</v>
      </c>
      <c r="T361" s="6" t="str">
        <f>VLOOKUP(I361,'FIN CAL LOOKUP'!A:J,10,1)</f>
        <v>Q1, FY24</v>
      </c>
    </row>
    <row r="362" spans="1:20" hidden="1" x14ac:dyDescent="0.25">
      <c r="A362">
        <v>326975</v>
      </c>
      <c r="B362" t="s">
        <v>840</v>
      </c>
      <c r="C362" t="s">
        <v>841</v>
      </c>
      <c r="D362" t="s">
        <v>284</v>
      </c>
      <c r="E362" t="s">
        <v>264</v>
      </c>
      <c r="F362" t="s">
        <v>757</v>
      </c>
      <c r="G362" t="s">
        <v>266</v>
      </c>
      <c r="H362" s="5">
        <v>45181</v>
      </c>
      <c r="I362" s="5">
        <v>45205</v>
      </c>
      <c r="J362" t="s">
        <v>758</v>
      </c>
      <c r="K362" t="s">
        <v>268</v>
      </c>
      <c r="L362">
        <v>1</v>
      </c>
      <c r="M362" t="s">
        <v>318</v>
      </c>
      <c r="N362" t="s">
        <v>237</v>
      </c>
      <c r="O362">
        <v>1</v>
      </c>
      <c r="P362" s="6" t="str">
        <f>VLOOKUP(J362,'Store lookup'!A:C,2,0)</f>
        <v>HS2023</v>
      </c>
      <c r="Q362" s="6" t="str">
        <f>VLOOKUP(J362,'Store lookup'!A:C,3,0)</f>
        <v>Harris Scarfe Epping</v>
      </c>
      <c r="R362" s="6" t="str">
        <f t="shared" si="5"/>
        <v>Harris Scarfe</v>
      </c>
      <c r="S362" s="6" t="str">
        <f>VLOOKUP(I362,'FIN CAL LOOKUP'!A:J,7,1)</f>
        <v>OCT, FY24</v>
      </c>
      <c r="T362" s="6" t="str">
        <f>VLOOKUP(I362,'FIN CAL LOOKUP'!A:J,10,1)</f>
        <v>Q2, FY24</v>
      </c>
    </row>
    <row r="363" spans="1:20" hidden="1" x14ac:dyDescent="0.25">
      <c r="A363">
        <v>240305</v>
      </c>
      <c r="B363" t="s">
        <v>458</v>
      </c>
      <c r="C363" t="s">
        <v>392</v>
      </c>
      <c r="D363" t="s">
        <v>278</v>
      </c>
      <c r="E363" t="s">
        <v>264</v>
      </c>
      <c r="F363" t="s">
        <v>749</v>
      </c>
      <c r="G363" t="s">
        <v>266</v>
      </c>
      <c r="H363" s="5">
        <v>45181</v>
      </c>
      <c r="I363" s="5">
        <v>45190</v>
      </c>
      <c r="J363" t="s">
        <v>750</v>
      </c>
      <c r="K363" t="s">
        <v>268</v>
      </c>
      <c r="L363">
        <v>1</v>
      </c>
      <c r="M363" t="s">
        <v>751</v>
      </c>
      <c r="N363" t="s">
        <v>237</v>
      </c>
      <c r="O363">
        <v>1</v>
      </c>
      <c r="P363" s="6" t="str">
        <f>VLOOKUP(J363,'Store lookup'!A:C,2,0)</f>
        <v>HS2027</v>
      </c>
      <c r="Q363" s="6" t="str">
        <f>VLOOKUP(J363,'Store lookup'!A:C,3,0)</f>
        <v>Harris Scarfe Airport West</v>
      </c>
      <c r="R363" s="6" t="str">
        <f t="shared" si="5"/>
        <v>Harris Scarfe</v>
      </c>
      <c r="S363" s="6" t="str">
        <f>VLOOKUP(I363,'FIN CAL LOOKUP'!A:J,7,1)</f>
        <v>SEP, FY24</v>
      </c>
      <c r="T363" s="6" t="str">
        <f>VLOOKUP(I363,'FIN CAL LOOKUP'!A:J,10,1)</f>
        <v>Q1, FY24</v>
      </c>
    </row>
    <row r="364" spans="1:20" hidden="1" x14ac:dyDescent="0.25">
      <c r="A364">
        <v>298748</v>
      </c>
      <c r="B364" t="s">
        <v>341</v>
      </c>
      <c r="C364" t="s">
        <v>342</v>
      </c>
      <c r="D364" t="s">
        <v>333</v>
      </c>
      <c r="E364" t="s">
        <v>264</v>
      </c>
      <c r="F364" t="s">
        <v>727</v>
      </c>
      <c r="G364" t="s">
        <v>266</v>
      </c>
      <c r="H364" s="5">
        <v>45181</v>
      </c>
      <c r="I364" s="5">
        <v>45190</v>
      </c>
      <c r="J364" t="s">
        <v>728</v>
      </c>
      <c r="K364" t="s">
        <v>268</v>
      </c>
      <c r="L364">
        <v>1</v>
      </c>
      <c r="M364" t="s">
        <v>729</v>
      </c>
      <c r="N364" t="s">
        <v>237</v>
      </c>
      <c r="O364">
        <v>1</v>
      </c>
      <c r="P364" s="6" t="str">
        <f>VLOOKUP(J364,'Store lookup'!A:C,2,0)</f>
        <v>HS2016</v>
      </c>
      <c r="Q364" s="6" t="str">
        <f>VLOOKUP(J364,'Store lookup'!A:C,3,0)</f>
        <v>Harris Scarfe Spencer Outlet</v>
      </c>
      <c r="R364" s="6" t="str">
        <f t="shared" si="5"/>
        <v>Harris Scarfe</v>
      </c>
      <c r="S364" s="6" t="str">
        <f>VLOOKUP(I364,'FIN CAL LOOKUP'!A:J,7,1)</f>
        <v>SEP, FY24</v>
      </c>
      <c r="T364" s="6" t="str">
        <f>VLOOKUP(I364,'FIN CAL LOOKUP'!A:J,10,1)</f>
        <v>Q1, FY24</v>
      </c>
    </row>
    <row r="365" spans="1:20" hidden="1" x14ac:dyDescent="0.25">
      <c r="A365">
        <v>324258</v>
      </c>
      <c r="B365" t="s">
        <v>616</v>
      </c>
      <c r="C365" t="s">
        <v>617</v>
      </c>
      <c r="D365" t="s">
        <v>284</v>
      </c>
      <c r="E365" t="s">
        <v>264</v>
      </c>
      <c r="F365" t="s">
        <v>842</v>
      </c>
      <c r="G365" t="s">
        <v>266</v>
      </c>
      <c r="H365" s="5">
        <v>45181</v>
      </c>
      <c r="I365" s="5">
        <v>45189</v>
      </c>
      <c r="J365" t="s">
        <v>843</v>
      </c>
      <c r="K365" t="s">
        <v>268</v>
      </c>
      <c r="L365">
        <v>1</v>
      </c>
      <c r="M365" t="s">
        <v>844</v>
      </c>
      <c r="N365" t="s">
        <v>237</v>
      </c>
      <c r="O365">
        <v>1</v>
      </c>
      <c r="P365" s="6" t="str">
        <f>VLOOKUP(J365,'Store lookup'!A:C,2,0)</f>
        <v>HS2014</v>
      </c>
      <c r="Q365" s="6" t="str">
        <f>VLOOKUP(J365,'Store lookup'!A:C,3,0)</f>
        <v>Harris Scarfe Mornington</v>
      </c>
      <c r="R365" s="6" t="str">
        <f t="shared" si="5"/>
        <v>Harris Scarfe</v>
      </c>
      <c r="S365" s="6" t="str">
        <f>VLOOKUP(I365,'FIN CAL LOOKUP'!A:J,7,1)</f>
        <v>SEP, FY24</v>
      </c>
      <c r="T365" s="6" t="str">
        <f>VLOOKUP(I365,'FIN CAL LOOKUP'!A:J,10,1)</f>
        <v>Q1, FY24</v>
      </c>
    </row>
    <row r="366" spans="1:20" hidden="1" x14ac:dyDescent="0.25">
      <c r="A366">
        <v>298244</v>
      </c>
      <c r="B366" t="s">
        <v>804</v>
      </c>
      <c r="C366" t="s">
        <v>805</v>
      </c>
      <c r="D366" t="s">
        <v>278</v>
      </c>
      <c r="E366" t="s">
        <v>264</v>
      </c>
      <c r="F366" t="s">
        <v>735</v>
      </c>
      <c r="G366" t="s">
        <v>266</v>
      </c>
      <c r="H366" s="5">
        <v>45177</v>
      </c>
      <c r="I366" s="5">
        <v>45189</v>
      </c>
      <c r="J366" t="s">
        <v>736</v>
      </c>
      <c r="K366" t="s">
        <v>268</v>
      </c>
      <c r="L366">
        <v>1</v>
      </c>
      <c r="M366" t="s">
        <v>737</v>
      </c>
      <c r="N366" t="s">
        <v>237</v>
      </c>
      <c r="O366">
        <v>1</v>
      </c>
      <c r="P366" s="6" t="str">
        <f>VLOOKUP(J366,'Store lookup'!A:C,2,0)</f>
        <v>HS2031</v>
      </c>
      <c r="Q366" s="6" t="str">
        <f>VLOOKUP(J366,'Store lookup'!A:C,3,0)</f>
        <v>Harris Scarfe Sunbury</v>
      </c>
      <c r="R366" s="6" t="str">
        <f t="shared" si="5"/>
        <v>Harris Scarfe</v>
      </c>
      <c r="S366" s="6" t="str">
        <f>VLOOKUP(I366,'FIN CAL LOOKUP'!A:J,7,1)</f>
        <v>SEP, FY24</v>
      </c>
      <c r="T366" s="6" t="str">
        <f>VLOOKUP(I366,'FIN CAL LOOKUP'!A:J,10,1)</f>
        <v>Q1, FY24</v>
      </c>
    </row>
    <row r="367" spans="1:20" hidden="1" x14ac:dyDescent="0.25">
      <c r="A367">
        <v>316728</v>
      </c>
      <c r="B367" t="s">
        <v>845</v>
      </c>
      <c r="C367" t="s">
        <v>846</v>
      </c>
      <c r="D367" t="s">
        <v>272</v>
      </c>
      <c r="E367" t="s">
        <v>264</v>
      </c>
      <c r="F367" t="s">
        <v>786</v>
      </c>
      <c r="G367" t="s">
        <v>266</v>
      </c>
      <c r="H367" s="5">
        <v>45176</v>
      </c>
      <c r="I367" s="5">
        <v>45226</v>
      </c>
      <c r="J367" t="s">
        <v>787</v>
      </c>
      <c r="K367" t="s">
        <v>268</v>
      </c>
      <c r="L367">
        <v>2</v>
      </c>
      <c r="M367" t="s">
        <v>788</v>
      </c>
      <c r="N367" t="s">
        <v>237</v>
      </c>
      <c r="O367">
        <v>0</v>
      </c>
      <c r="P367" s="6" t="str">
        <f>VLOOKUP(J367,'Store lookup'!A:C,2,0)</f>
        <v>HS2020</v>
      </c>
      <c r="Q367" s="6" t="str">
        <f>VLOOKUP(J367,'Store lookup'!A:C,3,0)</f>
        <v>Harris Scarfe Forest Hill</v>
      </c>
      <c r="R367" s="6" t="str">
        <f t="shared" si="5"/>
        <v>Harris Scarfe</v>
      </c>
      <c r="S367" s="6" t="str">
        <f>VLOOKUP(I367,'FIN CAL LOOKUP'!A:J,7,1)</f>
        <v>NOV, FY24</v>
      </c>
      <c r="T367" s="6" t="str">
        <f>VLOOKUP(I367,'FIN CAL LOOKUP'!A:J,10,1)</f>
        <v>Q2, FY24</v>
      </c>
    </row>
    <row r="368" spans="1:20" hidden="1" x14ac:dyDescent="0.25">
      <c r="A368">
        <v>327843</v>
      </c>
      <c r="B368" t="s">
        <v>808</v>
      </c>
      <c r="C368" t="s">
        <v>809</v>
      </c>
      <c r="D368" t="s">
        <v>263</v>
      </c>
      <c r="E368" t="s">
        <v>264</v>
      </c>
      <c r="F368" t="s">
        <v>771</v>
      </c>
      <c r="G368" t="s">
        <v>266</v>
      </c>
      <c r="H368" s="5">
        <v>45175</v>
      </c>
      <c r="I368" s="5">
        <v>45216</v>
      </c>
      <c r="J368" t="s">
        <v>772</v>
      </c>
      <c r="K368" t="s">
        <v>268</v>
      </c>
      <c r="L368">
        <v>1</v>
      </c>
      <c r="M368" t="s">
        <v>773</v>
      </c>
      <c r="N368" t="s">
        <v>237</v>
      </c>
      <c r="O368">
        <v>1</v>
      </c>
      <c r="P368" s="6" t="str">
        <f>VLOOKUP(J368,'Store lookup'!A:C,2,0)</f>
        <v>HS2048</v>
      </c>
      <c r="Q368" s="6" t="str">
        <f>VLOOKUP(J368,'Store lookup'!A:C,3,0)</f>
        <v>Harris Scarfe Tarneit</v>
      </c>
      <c r="R368" s="6" t="str">
        <f t="shared" si="5"/>
        <v>Harris Scarfe</v>
      </c>
      <c r="S368" s="6" t="str">
        <f>VLOOKUP(I368,'FIN CAL LOOKUP'!A:J,7,1)</f>
        <v>OCT, FY24</v>
      </c>
      <c r="T368" s="6" t="str">
        <f>VLOOKUP(I368,'FIN CAL LOOKUP'!A:J,10,1)</f>
        <v>Q2, FY24</v>
      </c>
    </row>
    <row r="369" spans="1:20" hidden="1" x14ac:dyDescent="0.25">
      <c r="A369">
        <v>312552</v>
      </c>
      <c r="B369" t="s">
        <v>431</v>
      </c>
      <c r="C369" t="s">
        <v>603</v>
      </c>
      <c r="D369" t="s">
        <v>284</v>
      </c>
      <c r="E369" t="s">
        <v>264</v>
      </c>
      <c r="F369" t="s">
        <v>847</v>
      </c>
      <c r="G369" t="s">
        <v>266</v>
      </c>
      <c r="H369" s="5">
        <v>45175</v>
      </c>
      <c r="I369" s="5">
        <v>45190</v>
      </c>
      <c r="J369" t="s">
        <v>848</v>
      </c>
      <c r="K369" t="s">
        <v>268</v>
      </c>
      <c r="L369">
        <v>1</v>
      </c>
      <c r="M369" t="s">
        <v>849</v>
      </c>
      <c r="N369" t="s">
        <v>237</v>
      </c>
      <c r="O369">
        <v>1</v>
      </c>
      <c r="P369" s="6" t="str">
        <f>VLOOKUP(J369,'Store lookup'!A:C,2,0)</f>
        <v>HS2033</v>
      </c>
      <c r="Q369" s="6" t="str">
        <f>VLOOKUP(J369,'Store lookup'!A:C,3,0)</f>
        <v>Harris Scarfe Eastland</v>
      </c>
      <c r="R369" s="6" t="str">
        <f t="shared" si="5"/>
        <v>Harris Scarfe</v>
      </c>
      <c r="S369" s="6" t="str">
        <f>VLOOKUP(I369,'FIN CAL LOOKUP'!A:J,7,1)</f>
        <v>SEP, FY24</v>
      </c>
      <c r="T369" s="6" t="str">
        <f>VLOOKUP(I369,'FIN CAL LOOKUP'!A:J,10,1)</f>
        <v>Q1, FY24</v>
      </c>
    </row>
    <row r="370" spans="1:20" hidden="1" x14ac:dyDescent="0.25">
      <c r="A370">
        <v>298254</v>
      </c>
      <c r="B370" t="s">
        <v>566</v>
      </c>
      <c r="C370" t="s">
        <v>277</v>
      </c>
      <c r="D370" t="s">
        <v>263</v>
      </c>
      <c r="E370" t="s">
        <v>264</v>
      </c>
      <c r="F370" t="s">
        <v>850</v>
      </c>
      <c r="G370" t="s">
        <v>266</v>
      </c>
      <c r="H370" s="5">
        <v>45174</v>
      </c>
      <c r="I370" s="5">
        <v>45243</v>
      </c>
      <c r="J370" t="s">
        <v>851</v>
      </c>
      <c r="K370" t="s">
        <v>268</v>
      </c>
      <c r="L370">
        <v>1</v>
      </c>
      <c r="M370" t="s">
        <v>852</v>
      </c>
      <c r="N370" t="s">
        <v>237</v>
      </c>
      <c r="O370">
        <v>1</v>
      </c>
      <c r="P370" s="6" t="str">
        <f>VLOOKUP(J370,'Store lookup'!A:C,2,0)</f>
        <v>HS1006</v>
      </c>
      <c r="Q370" s="6" t="str">
        <f>VLOOKUP(J370,'Store lookup'!A:C,3,0)</f>
        <v>Harris Scarfe West Lakes</v>
      </c>
      <c r="R370" s="6" t="str">
        <f t="shared" si="5"/>
        <v>Harris Scarfe</v>
      </c>
      <c r="S370" s="6" t="str">
        <f>VLOOKUP(I370,'FIN CAL LOOKUP'!A:J,7,1)</f>
        <v>NOV, FY24</v>
      </c>
      <c r="T370" s="6" t="str">
        <f>VLOOKUP(I370,'FIN CAL LOOKUP'!A:J,10,1)</f>
        <v>Q2, FY24</v>
      </c>
    </row>
    <row r="371" spans="1:20" hidden="1" x14ac:dyDescent="0.25">
      <c r="A371">
        <v>235543</v>
      </c>
      <c r="B371" t="s">
        <v>738</v>
      </c>
      <c r="C371" t="s">
        <v>739</v>
      </c>
      <c r="D371" t="s">
        <v>263</v>
      </c>
      <c r="E371" t="s">
        <v>264</v>
      </c>
      <c r="F371" t="s">
        <v>727</v>
      </c>
      <c r="G371" t="s">
        <v>266</v>
      </c>
      <c r="H371" s="5">
        <v>45174</v>
      </c>
      <c r="I371" s="5">
        <v>45184</v>
      </c>
      <c r="J371" t="s">
        <v>728</v>
      </c>
      <c r="K371" t="s">
        <v>268</v>
      </c>
      <c r="L371">
        <v>1</v>
      </c>
      <c r="M371" t="s">
        <v>729</v>
      </c>
      <c r="N371" t="s">
        <v>237</v>
      </c>
      <c r="O371">
        <v>1</v>
      </c>
      <c r="P371" s="6" t="str">
        <f>VLOOKUP(J371,'Store lookup'!A:C,2,0)</f>
        <v>HS2016</v>
      </c>
      <c r="Q371" s="6" t="str">
        <f>VLOOKUP(J371,'Store lookup'!A:C,3,0)</f>
        <v>Harris Scarfe Spencer Outlet</v>
      </c>
      <c r="R371" s="6" t="str">
        <f t="shared" si="5"/>
        <v>Harris Scarfe</v>
      </c>
      <c r="S371" s="6" t="str">
        <f>VLOOKUP(I371,'FIN CAL LOOKUP'!A:J,7,1)</f>
        <v>SEP, FY24</v>
      </c>
      <c r="T371" s="6" t="str">
        <f>VLOOKUP(I371,'FIN CAL LOOKUP'!A:J,10,1)</f>
        <v>Q1, FY24</v>
      </c>
    </row>
    <row r="372" spans="1:20" hidden="1" x14ac:dyDescent="0.25">
      <c r="A372">
        <v>323732</v>
      </c>
      <c r="B372" t="s">
        <v>853</v>
      </c>
      <c r="C372" t="s">
        <v>854</v>
      </c>
      <c r="D372" t="s">
        <v>272</v>
      </c>
      <c r="E372" t="s">
        <v>264</v>
      </c>
      <c r="F372" t="s">
        <v>749</v>
      </c>
      <c r="G372" t="s">
        <v>266</v>
      </c>
      <c r="H372" s="5">
        <v>45174</v>
      </c>
      <c r="I372" s="5">
        <v>45175</v>
      </c>
      <c r="J372" t="s">
        <v>750</v>
      </c>
      <c r="K372" t="s">
        <v>268</v>
      </c>
      <c r="L372">
        <v>1</v>
      </c>
      <c r="M372" t="s">
        <v>751</v>
      </c>
      <c r="N372" t="s">
        <v>237</v>
      </c>
      <c r="O372">
        <v>1</v>
      </c>
      <c r="P372" s="6" t="str">
        <f>VLOOKUP(J372,'Store lookup'!A:C,2,0)</f>
        <v>HS2027</v>
      </c>
      <c r="Q372" s="6" t="str">
        <f>VLOOKUP(J372,'Store lookup'!A:C,3,0)</f>
        <v>Harris Scarfe Airport West</v>
      </c>
      <c r="R372" s="6" t="str">
        <f t="shared" si="5"/>
        <v>Harris Scarfe</v>
      </c>
      <c r="S372" s="6" t="str">
        <f>VLOOKUP(I372,'FIN CAL LOOKUP'!A:J,7,1)</f>
        <v>SEP, FY24</v>
      </c>
      <c r="T372" s="6" t="str">
        <f>VLOOKUP(I372,'FIN CAL LOOKUP'!A:J,10,1)</f>
        <v>Q1, FY24</v>
      </c>
    </row>
    <row r="373" spans="1:20" hidden="1" x14ac:dyDescent="0.25">
      <c r="A373">
        <v>313834</v>
      </c>
      <c r="B373" t="s">
        <v>855</v>
      </c>
      <c r="C373" t="s">
        <v>856</v>
      </c>
      <c r="D373" t="s">
        <v>307</v>
      </c>
      <c r="E373" t="s">
        <v>264</v>
      </c>
      <c r="F373" t="s">
        <v>768</v>
      </c>
      <c r="G373" t="s">
        <v>266</v>
      </c>
      <c r="H373" s="5">
        <v>45173</v>
      </c>
      <c r="I373" s="5">
        <v>45265</v>
      </c>
      <c r="J373" t="s">
        <v>769</v>
      </c>
      <c r="K373" t="s">
        <v>268</v>
      </c>
      <c r="L373">
        <v>1</v>
      </c>
      <c r="M373" t="s">
        <v>770</v>
      </c>
      <c r="N373" t="s">
        <v>237</v>
      </c>
      <c r="O373">
        <v>1</v>
      </c>
      <c r="P373" s="6" t="str">
        <f>VLOOKUP(J373,'Store lookup'!A:C,2,0)</f>
        <v>HS2017</v>
      </c>
      <c r="Q373" s="6" t="str">
        <f>VLOOKUP(J373,'Store lookup'!A:C,3,0)</f>
        <v>Harris Scarfe Woodgrove</v>
      </c>
      <c r="R373" s="6" t="str">
        <f t="shared" si="5"/>
        <v>Harris Scarfe</v>
      </c>
      <c r="S373" s="6" t="str">
        <f>VLOOKUP(I373,'FIN CAL LOOKUP'!A:J,7,1)</f>
        <v>DEC, FY24</v>
      </c>
      <c r="T373" s="6" t="str">
        <f>VLOOKUP(I373,'FIN CAL LOOKUP'!A:J,10,1)</f>
        <v>Q2, FY24</v>
      </c>
    </row>
    <row r="374" spans="1:20" hidden="1" x14ac:dyDescent="0.25">
      <c r="A374">
        <v>328605</v>
      </c>
      <c r="B374" t="s">
        <v>857</v>
      </c>
      <c r="C374" t="s">
        <v>858</v>
      </c>
      <c r="D374" t="s">
        <v>859</v>
      </c>
      <c r="E374" t="s">
        <v>264</v>
      </c>
      <c r="F374" t="s">
        <v>727</v>
      </c>
      <c r="G374" t="s">
        <v>266</v>
      </c>
      <c r="H374" s="5">
        <v>45173</v>
      </c>
      <c r="I374" s="5">
        <v>45231</v>
      </c>
      <c r="J374" t="s">
        <v>728</v>
      </c>
      <c r="K374" t="s">
        <v>268</v>
      </c>
      <c r="L374">
        <v>2</v>
      </c>
      <c r="M374" t="s">
        <v>729</v>
      </c>
      <c r="N374" t="s">
        <v>237</v>
      </c>
      <c r="O374">
        <v>0</v>
      </c>
      <c r="P374" s="6" t="str">
        <f>VLOOKUP(J374,'Store lookup'!A:C,2,0)</f>
        <v>HS2016</v>
      </c>
      <c r="Q374" s="6" t="str">
        <f>VLOOKUP(J374,'Store lookup'!A:C,3,0)</f>
        <v>Harris Scarfe Spencer Outlet</v>
      </c>
      <c r="R374" s="6" t="str">
        <f t="shared" si="5"/>
        <v>Harris Scarfe</v>
      </c>
      <c r="S374" s="6" t="str">
        <f>VLOOKUP(I374,'FIN CAL LOOKUP'!A:J,7,1)</f>
        <v>NOV, FY24</v>
      </c>
      <c r="T374" s="6" t="str">
        <f>VLOOKUP(I374,'FIN CAL LOOKUP'!A:J,10,1)</f>
        <v>Q2, FY24</v>
      </c>
    </row>
    <row r="375" spans="1:20" hidden="1" x14ac:dyDescent="0.25">
      <c r="A375">
        <v>317132</v>
      </c>
      <c r="B375" t="s">
        <v>579</v>
      </c>
      <c r="C375" t="s">
        <v>580</v>
      </c>
      <c r="D375" t="s">
        <v>272</v>
      </c>
      <c r="E375" t="s">
        <v>264</v>
      </c>
      <c r="F375" t="s">
        <v>801</v>
      </c>
      <c r="G375" t="s">
        <v>266</v>
      </c>
      <c r="H375" s="5">
        <v>45173</v>
      </c>
      <c r="I375" s="5">
        <v>45223</v>
      </c>
      <c r="J375" t="s">
        <v>802</v>
      </c>
      <c r="K375" t="s">
        <v>268</v>
      </c>
      <c r="L375">
        <v>1</v>
      </c>
      <c r="M375" t="s">
        <v>355</v>
      </c>
      <c r="N375" t="s">
        <v>237</v>
      </c>
      <c r="O375">
        <v>1</v>
      </c>
      <c r="P375" s="6" t="str">
        <f>VLOOKUP(J375,'Store lookup'!A:C,2,0)</f>
        <v>HS2039</v>
      </c>
      <c r="Q375" s="6" t="str">
        <f>VLOOKUP(J375,'Store lookup'!A:C,3,0)</f>
        <v>Harris Scarfe Fountain Gate</v>
      </c>
      <c r="R375" s="6" t="str">
        <f t="shared" si="5"/>
        <v>Harris Scarfe</v>
      </c>
      <c r="S375" s="6" t="str">
        <f>VLOOKUP(I375,'FIN CAL LOOKUP'!A:J,7,1)</f>
        <v>NOV, FY24</v>
      </c>
      <c r="T375" s="6" t="str">
        <f>VLOOKUP(I375,'FIN CAL LOOKUP'!A:J,10,1)</f>
        <v>Q2, FY24</v>
      </c>
    </row>
    <row r="376" spans="1:20" hidden="1" x14ac:dyDescent="0.25">
      <c r="A376">
        <v>235019</v>
      </c>
      <c r="B376" t="s">
        <v>860</v>
      </c>
      <c r="C376" t="s">
        <v>861</v>
      </c>
      <c r="D376" t="s">
        <v>272</v>
      </c>
      <c r="E376" t="s">
        <v>264</v>
      </c>
      <c r="F376" t="s">
        <v>862</v>
      </c>
      <c r="G376" t="s">
        <v>266</v>
      </c>
      <c r="H376" s="5">
        <v>45173</v>
      </c>
      <c r="I376" s="5">
        <v>45217</v>
      </c>
      <c r="J376" t="s">
        <v>863</v>
      </c>
      <c r="K376" t="s">
        <v>268</v>
      </c>
      <c r="L376">
        <v>1</v>
      </c>
      <c r="M376" t="s">
        <v>385</v>
      </c>
      <c r="N376" t="s">
        <v>237</v>
      </c>
      <c r="O376">
        <v>1</v>
      </c>
      <c r="P376" s="6" t="str">
        <f>VLOOKUP(J376,'Store lookup'!A:C,2,0)</f>
        <v>HS2021</v>
      </c>
      <c r="Q376" s="6" t="str">
        <f>VLOOKUP(J376,'Store lookup'!A:C,3,0)</f>
        <v>Harris Scarfe Geelong</v>
      </c>
      <c r="R376" s="6" t="str">
        <f t="shared" si="5"/>
        <v>Harris Scarfe</v>
      </c>
      <c r="S376" s="6" t="str">
        <f>VLOOKUP(I376,'FIN CAL LOOKUP'!A:J,7,1)</f>
        <v>OCT, FY24</v>
      </c>
      <c r="T376" s="6" t="str">
        <f>VLOOKUP(I376,'FIN CAL LOOKUP'!A:J,10,1)</f>
        <v>Q2, FY24</v>
      </c>
    </row>
    <row r="377" spans="1:20" hidden="1" x14ac:dyDescent="0.25">
      <c r="A377">
        <v>316576</v>
      </c>
      <c r="B377" t="s">
        <v>645</v>
      </c>
      <c r="C377" t="s">
        <v>646</v>
      </c>
      <c r="D377" t="s">
        <v>272</v>
      </c>
      <c r="E377" t="s">
        <v>264</v>
      </c>
      <c r="F377" t="s">
        <v>812</v>
      </c>
      <c r="G377" t="s">
        <v>266</v>
      </c>
      <c r="H377" s="5">
        <v>45173</v>
      </c>
      <c r="I377" s="5">
        <v>45205</v>
      </c>
      <c r="J377" t="s">
        <v>813</v>
      </c>
      <c r="K377" t="s">
        <v>268</v>
      </c>
      <c r="L377">
        <v>1</v>
      </c>
      <c r="M377" t="s">
        <v>814</v>
      </c>
      <c r="N377" t="s">
        <v>237</v>
      </c>
      <c r="O377">
        <v>1</v>
      </c>
      <c r="P377" s="6" t="str">
        <f>VLOOKUP(J377,'Store lookup'!A:C,2,0)</f>
        <v>HS2025</v>
      </c>
      <c r="Q377" s="6" t="str">
        <f>VLOOKUP(J377,'Store lookup'!A:C,3,0)</f>
        <v>Harris Scarfe Southland</v>
      </c>
      <c r="R377" s="6" t="str">
        <f t="shared" si="5"/>
        <v>Harris Scarfe</v>
      </c>
      <c r="S377" s="6" t="str">
        <f>VLOOKUP(I377,'FIN CAL LOOKUP'!A:J,7,1)</f>
        <v>OCT, FY24</v>
      </c>
      <c r="T377" s="6" t="str">
        <f>VLOOKUP(I377,'FIN CAL LOOKUP'!A:J,10,1)</f>
        <v>Q2, FY24</v>
      </c>
    </row>
    <row r="378" spans="1:20" hidden="1" x14ac:dyDescent="0.25">
      <c r="A378">
        <v>307502</v>
      </c>
      <c r="B378" t="s">
        <v>740</v>
      </c>
      <c r="C378" t="s">
        <v>741</v>
      </c>
      <c r="D378" t="s">
        <v>263</v>
      </c>
      <c r="E378" t="s">
        <v>264</v>
      </c>
      <c r="F378" t="s">
        <v>727</v>
      </c>
      <c r="G378" t="s">
        <v>266</v>
      </c>
      <c r="H378" s="5">
        <v>45173</v>
      </c>
      <c r="I378" s="5">
        <v>45182</v>
      </c>
      <c r="J378" t="s">
        <v>728</v>
      </c>
      <c r="K378" t="s">
        <v>268</v>
      </c>
      <c r="L378">
        <v>1</v>
      </c>
      <c r="M378" t="s">
        <v>729</v>
      </c>
      <c r="N378" t="s">
        <v>237</v>
      </c>
      <c r="O378">
        <v>1</v>
      </c>
      <c r="P378" s="6" t="str">
        <f>VLOOKUP(J378,'Store lookup'!A:C,2,0)</f>
        <v>HS2016</v>
      </c>
      <c r="Q378" s="6" t="str">
        <f>VLOOKUP(J378,'Store lookup'!A:C,3,0)</f>
        <v>Harris Scarfe Spencer Outlet</v>
      </c>
      <c r="R378" s="6" t="str">
        <f t="shared" si="5"/>
        <v>Harris Scarfe</v>
      </c>
      <c r="S378" s="6" t="str">
        <f>VLOOKUP(I378,'FIN CAL LOOKUP'!A:J,7,1)</f>
        <v>SEP, FY24</v>
      </c>
      <c r="T378" s="6" t="str">
        <f>VLOOKUP(I378,'FIN CAL LOOKUP'!A:J,10,1)</f>
        <v>Q1, FY24</v>
      </c>
    </row>
    <row r="379" spans="1:20" hidden="1" x14ac:dyDescent="0.25">
      <c r="A379">
        <v>329909</v>
      </c>
      <c r="B379" t="s">
        <v>696</v>
      </c>
      <c r="C379" t="s">
        <v>864</v>
      </c>
      <c r="D379" t="s">
        <v>284</v>
      </c>
      <c r="E379" t="s">
        <v>264</v>
      </c>
      <c r="F379" t="s">
        <v>749</v>
      </c>
      <c r="G379" t="s">
        <v>266</v>
      </c>
      <c r="H379" s="5">
        <v>45173</v>
      </c>
      <c r="I379" s="5">
        <v>45182</v>
      </c>
      <c r="J379" t="s">
        <v>750</v>
      </c>
      <c r="K379" t="s">
        <v>268</v>
      </c>
      <c r="L379">
        <v>1</v>
      </c>
      <c r="M379" t="s">
        <v>751</v>
      </c>
      <c r="N379" t="s">
        <v>237</v>
      </c>
      <c r="O379">
        <v>1</v>
      </c>
      <c r="P379" s="6" t="str">
        <f>VLOOKUP(J379,'Store lookup'!A:C,2,0)</f>
        <v>HS2027</v>
      </c>
      <c r="Q379" s="6" t="str">
        <f>VLOOKUP(J379,'Store lookup'!A:C,3,0)</f>
        <v>Harris Scarfe Airport West</v>
      </c>
      <c r="R379" s="6" t="str">
        <f t="shared" si="5"/>
        <v>Harris Scarfe</v>
      </c>
      <c r="S379" s="6" t="str">
        <f>VLOOKUP(I379,'FIN CAL LOOKUP'!A:J,7,1)</f>
        <v>SEP, FY24</v>
      </c>
      <c r="T379" s="6" t="str">
        <f>VLOOKUP(I379,'FIN CAL LOOKUP'!A:J,10,1)</f>
        <v>Q1, FY24</v>
      </c>
    </row>
    <row r="380" spans="1:20" hidden="1" x14ac:dyDescent="0.25">
      <c r="A380">
        <v>321626</v>
      </c>
      <c r="B380" t="s">
        <v>672</v>
      </c>
      <c r="C380" t="s">
        <v>673</v>
      </c>
      <c r="D380" t="s">
        <v>263</v>
      </c>
      <c r="E380" t="s">
        <v>264</v>
      </c>
      <c r="F380" t="s">
        <v>812</v>
      </c>
      <c r="G380" t="s">
        <v>266</v>
      </c>
      <c r="H380" s="5">
        <v>45168</v>
      </c>
      <c r="I380" s="5">
        <v>45218</v>
      </c>
      <c r="J380" t="s">
        <v>813</v>
      </c>
      <c r="K380" t="s">
        <v>268</v>
      </c>
      <c r="L380">
        <v>1</v>
      </c>
      <c r="M380" t="s">
        <v>814</v>
      </c>
      <c r="N380" t="s">
        <v>237</v>
      </c>
      <c r="O380">
        <v>1</v>
      </c>
      <c r="P380" s="6" t="str">
        <f>VLOOKUP(J380,'Store lookup'!A:C,2,0)</f>
        <v>HS2025</v>
      </c>
      <c r="Q380" s="6" t="str">
        <f>VLOOKUP(J380,'Store lookup'!A:C,3,0)</f>
        <v>Harris Scarfe Southland</v>
      </c>
      <c r="R380" s="6" t="str">
        <f t="shared" si="5"/>
        <v>Harris Scarfe</v>
      </c>
      <c r="S380" s="6" t="str">
        <f>VLOOKUP(I380,'FIN CAL LOOKUP'!A:J,7,1)</f>
        <v>OCT, FY24</v>
      </c>
      <c r="T380" s="6" t="str">
        <f>VLOOKUP(I380,'FIN CAL LOOKUP'!A:J,10,1)</f>
        <v>Q2, FY24</v>
      </c>
    </row>
    <row r="381" spans="1:20" hidden="1" x14ac:dyDescent="0.25">
      <c r="A381">
        <v>231957</v>
      </c>
      <c r="B381" t="s">
        <v>456</v>
      </c>
      <c r="C381" t="s">
        <v>457</v>
      </c>
      <c r="D381" t="s">
        <v>278</v>
      </c>
      <c r="E381" t="s">
        <v>264</v>
      </c>
      <c r="F381" t="s">
        <v>749</v>
      </c>
      <c r="G381" t="s">
        <v>266</v>
      </c>
      <c r="H381" s="5">
        <v>45167</v>
      </c>
      <c r="I381" s="5">
        <v>45176</v>
      </c>
      <c r="J381" t="s">
        <v>750</v>
      </c>
      <c r="K381" t="s">
        <v>268</v>
      </c>
      <c r="L381">
        <v>1</v>
      </c>
      <c r="M381" t="s">
        <v>751</v>
      </c>
      <c r="N381" t="s">
        <v>237</v>
      </c>
      <c r="O381">
        <v>1</v>
      </c>
      <c r="P381" s="6" t="str">
        <f>VLOOKUP(J381,'Store lookup'!A:C,2,0)</f>
        <v>HS2027</v>
      </c>
      <c r="Q381" s="6" t="str">
        <f>VLOOKUP(J381,'Store lookup'!A:C,3,0)</f>
        <v>Harris Scarfe Airport West</v>
      </c>
      <c r="R381" s="6" t="str">
        <f t="shared" si="5"/>
        <v>Harris Scarfe</v>
      </c>
      <c r="S381" s="6" t="str">
        <f>VLOOKUP(I381,'FIN CAL LOOKUP'!A:J,7,1)</f>
        <v>SEP, FY24</v>
      </c>
      <c r="T381" s="6" t="str">
        <f>VLOOKUP(I381,'FIN CAL LOOKUP'!A:J,10,1)</f>
        <v>Q1, FY24</v>
      </c>
    </row>
    <row r="382" spans="1:20" hidden="1" x14ac:dyDescent="0.25">
      <c r="A382">
        <v>312259</v>
      </c>
      <c r="B382" t="s">
        <v>523</v>
      </c>
      <c r="C382" t="s">
        <v>524</v>
      </c>
      <c r="D382" t="s">
        <v>278</v>
      </c>
      <c r="E382" t="s">
        <v>264</v>
      </c>
      <c r="F382" t="s">
        <v>812</v>
      </c>
      <c r="G382" t="s">
        <v>266</v>
      </c>
      <c r="H382" s="5">
        <v>45160</v>
      </c>
      <c r="I382" s="5">
        <v>45170</v>
      </c>
      <c r="J382" t="s">
        <v>813</v>
      </c>
      <c r="K382" t="s">
        <v>268</v>
      </c>
      <c r="L382">
        <v>1</v>
      </c>
      <c r="M382" t="s">
        <v>814</v>
      </c>
      <c r="N382" t="s">
        <v>237</v>
      </c>
      <c r="O382">
        <v>1</v>
      </c>
      <c r="P382" s="6" t="str">
        <f>VLOOKUP(J382,'Store lookup'!A:C,2,0)</f>
        <v>HS2025</v>
      </c>
      <c r="Q382" s="6" t="str">
        <f>VLOOKUP(J382,'Store lookup'!A:C,3,0)</f>
        <v>Harris Scarfe Southland</v>
      </c>
      <c r="R382" s="6" t="str">
        <f t="shared" si="5"/>
        <v>Harris Scarfe</v>
      </c>
      <c r="S382" s="6" t="str">
        <f>VLOOKUP(I382,'FIN CAL LOOKUP'!A:J,7,1)</f>
        <v>SEP, FY24</v>
      </c>
      <c r="T382" s="6" t="str">
        <f>VLOOKUP(I382,'FIN CAL LOOKUP'!A:J,10,1)</f>
        <v>Q1, FY24</v>
      </c>
    </row>
    <row r="383" spans="1:20" hidden="1" x14ac:dyDescent="0.25">
      <c r="A383">
        <v>230701</v>
      </c>
      <c r="B383" t="s">
        <v>823</v>
      </c>
      <c r="C383" t="s">
        <v>824</v>
      </c>
      <c r="D383" t="s">
        <v>278</v>
      </c>
      <c r="E383" t="s">
        <v>264</v>
      </c>
      <c r="F383" t="s">
        <v>862</v>
      </c>
      <c r="G383" t="s">
        <v>266</v>
      </c>
      <c r="H383" s="5">
        <v>45152</v>
      </c>
      <c r="I383" s="5">
        <v>45162</v>
      </c>
      <c r="J383" t="s">
        <v>863</v>
      </c>
      <c r="K383" t="s">
        <v>268</v>
      </c>
      <c r="L383">
        <v>1</v>
      </c>
      <c r="M383" t="s">
        <v>385</v>
      </c>
      <c r="N383" t="s">
        <v>237</v>
      </c>
      <c r="O383">
        <v>1</v>
      </c>
      <c r="P383" s="6" t="str">
        <f>VLOOKUP(J383,'Store lookup'!A:C,2,0)</f>
        <v>HS2021</v>
      </c>
      <c r="Q383" s="6" t="str">
        <f>VLOOKUP(J383,'Store lookup'!A:C,3,0)</f>
        <v>Harris Scarfe Geelong</v>
      </c>
      <c r="R383" s="6" t="str">
        <f t="shared" si="5"/>
        <v>Harris Scarfe</v>
      </c>
      <c r="S383" s="6" t="str">
        <f>VLOOKUP(I383,'FIN CAL LOOKUP'!A:J,7,1)</f>
        <v>AUG, FY24</v>
      </c>
      <c r="T383" s="6" t="str">
        <f>VLOOKUP(I383,'FIN CAL LOOKUP'!A:J,10,1)</f>
        <v>Q1, FY24</v>
      </c>
    </row>
    <row r="384" spans="1:20" hidden="1" x14ac:dyDescent="0.25">
      <c r="A384">
        <v>314434</v>
      </c>
      <c r="B384" t="s">
        <v>865</v>
      </c>
      <c r="C384" t="s">
        <v>866</v>
      </c>
      <c r="D384" t="s">
        <v>307</v>
      </c>
      <c r="E384" t="s">
        <v>264</v>
      </c>
      <c r="F384" t="s">
        <v>786</v>
      </c>
      <c r="G384" t="s">
        <v>266</v>
      </c>
      <c r="H384" s="5">
        <v>45141</v>
      </c>
      <c r="I384" s="5">
        <v>45246</v>
      </c>
      <c r="J384" t="s">
        <v>787</v>
      </c>
      <c r="K384" t="s">
        <v>268</v>
      </c>
      <c r="L384">
        <v>1</v>
      </c>
      <c r="M384" t="s">
        <v>788</v>
      </c>
      <c r="N384" t="s">
        <v>237</v>
      </c>
      <c r="O384">
        <v>1</v>
      </c>
      <c r="P384" s="6" t="str">
        <f>VLOOKUP(J384,'Store lookup'!A:C,2,0)</f>
        <v>HS2020</v>
      </c>
      <c r="Q384" s="6" t="str">
        <f>VLOOKUP(J384,'Store lookup'!A:C,3,0)</f>
        <v>Harris Scarfe Forest Hill</v>
      </c>
      <c r="R384" s="6" t="str">
        <f t="shared" si="5"/>
        <v>Harris Scarfe</v>
      </c>
      <c r="S384" s="6" t="str">
        <f>VLOOKUP(I384,'FIN CAL LOOKUP'!A:J,7,1)</f>
        <v>NOV, FY24</v>
      </c>
      <c r="T384" s="6" t="str">
        <f>VLOOKUP(I384,'FIN CAL LOOKUP'!A:J,10,1)</f>
        <v>Q2, FY24</v>
      </c>
    </row>
    <row r="385" spans="1:20" hidden="1" x14ac:dyDescent="0.25">
      <c r="A385">
        <v>329334</v>
      </c>
      <c r="B385" t="s">
        <v>478</v>
      </c>
      <c r="C385" t="s">
        <v>479</v>
      </c>
      <c r="D385" t="s">
        <v>278</v>
      </c>
      <c r="E385" t="s">
        <v>264</v>
      </c>
      <c r="F385" t="s">
        <v>867</v>
      </c>
      <c r="G385" t="s">
        <v>266</v>
      </c>
      <c r="H385" s="5">
        <v>45141</v>
      </c>
      <c r="I385" s="5">
        <v>45191</v>
      </c>
      <c r="J385" t="s">
        <v>868</v>
      </c>
      <c r="K385" t="s">
        <v>268</v>
      </c>
      <c r="L385">
        <v>1</v>
      </c>
      <c r="M385" t="s">
        <v>869</v>
      </c>
      <c r="N385" t="s">
        <v>237</v>
      </c>
      <c r="O385">
        <v>1</v>
      </c>
      <c r="P385" s="6" t="str">
        <f>VLOOKUP(J385,'Store lookup'!A:C,2,0)</f>
        <v>HS5054</v>
      </c>
      <c r="Q385" s="6" t="str">
        <f>VLOOKUP(J385,'Store lookup'!A:C,3,0)</f>
        <v>Harris Scarfe Blacktown</v>
      </c>
      <c r="R385" s="6" t="str">
        <f t="shared" si="5"/>
        <v>Harris Scarfe</v>
      </c>
      <c r="S385" s="6" t="str">
        <f>VLOOKUP(I385,'FIN CAL LOOKUP'!A:J,7,1)</f>
        <v>SEP, FY24</v>
      </c>
      <c r="T385" s="6" t="str">
        <f>VLOOKUP(I385,'FIN CAL LOOKUP'!A:J,10,1)</f>
        <v>Q1, FY24</v>
      </c>
    </row>
    <row r="386" spans="1:20" hidden="1" x14ac:dyDescent="0.25">
      <c r="A386">
        <v>329250</v>
      </c>
      <c r="B386" t="s">
        <v>870</v>
      </c>
      <c r="C386" t="s">
        <v>871</v>
      </c>
      <c r="D386" t="s">
        <v>278</v>
      </c>
      <c r="E386" t="s">
        <v>264</v>
      </c>
      <c r="F386" t="s">
        <v>727</v>
      </c>
      <c r="G386" t="s">
        <v>266</v>
      </c>
      <c r="H386" s="5">
        <v>45141</v>
      </c>
      <c r="I386" s="5">
        <v>45153</v>
      </c>
      <c r="J386" t="s">
        <v>728</v>
      </c>
      <c r="K386" t="s">
        <v>268</v>
      </c>
      <c r="L386">
        <v>1</v>
      </c>
      <c r="M386" t="s">
        <v>729</v>
      </c>
      <c r="N386" t="s">
        <v>237</v>
      </c>
      <c r="O386">
        <v>1</v>
      </c>
      <c r="P386" s="6" t="str">
        <f>VLOOKUP(J386,'Store lookup'!A:C,2,0)</f>
        <v>HS2016</v>
      </c>
      <c r="Q386" s="6" t="str">
        <f>VLOOKUP(J386,'Store lookup'!A:C,3,0)</f>
        <v>Harris Scarfe Spencer Outlet</v>
      </c>
      <c r="R386" s="6" t="str">
        <f t="shared" ref="R386:R449" si="6">IF(LEFT(Q386,1)="A","Ananconda",IF(LEFT(Q386,1)="H","Harris Scarfe",IF(LEFT(Q386,1)="S","Spotlight","Exempt")))</f>
        <v>Harris Scarfe</v>
      </c>
      <c r="S386" s="6" t="str">
        <f>VLOOKUP(I386,'FIN CAL LOOKUP'!A:J,7,1)</f>
        <v>AUG, FY24</v>
      </c>
      <c r="T386" s="6" t="str">
        <f>VLOOKUP(I386,'FIN CAL LOOKUP'!A:J,10,1)</f>
        <v>Q1, FY24</v>
      </c>
    </row>
    <row r="387" spans="1:20" hidden="1" x14ac:dyDescent="0.25">
      <c r="A387">
        <v>225944</v>
      </c>
      <c r="B387" t="s">
        <v>872</v>
      </c>
      <c r="C387" t="s">
        <v>873</v>
      </c>
      <c r="D387" t="s">
        <v>278</v>
      </c>
      <c r="E387" t="s">
        <v>264</v>
      </c>
      <c r="F387" t="s">
        <v>757</v>
      </c>
      <c r="G387" t="s">
        <v>266</v>
      </c>
      <c r="H387" s="5">
        <v>45085</v>
      </c>
      <c r="I387" s="5">
        <v>45126</v>
      </c>
      <c r="J387" t="s">
        <v>758</v>
      </c>
      <c r="K387" t="s">
        <v>268</v>
      </c>
      <c r="L387">
        <v>1</v>
      </c>
      <c r="M387" t="s">
        <v>318</v>
      </c>
      <c r="N387" t="s">
        <v>237</v>
      </c>
      <c r="O387">
        <v>1</v>
      </c>
      <c r="P387" s="6" t="str">
        <f>VLOOKUP(J387,'Store lookup'!A:C,2,0)</f>
        <v>HS2023</v>
      </c>
      <c r="Q387" s="6" t="str">
        <f>VLOOKUP(J387,'Store lookup'!A:C,3,0)</f>
        <v>Harris Scarfe Epping</v>
      </c>
      <c r="R387" s="6" t="str">
        <f t="shared" si="6"/>
        <v>Harris Scarfe</v>
      </c>
      <c r="S387" s="6" t="str">
        <f>VLOOKUP(I387,'FIN CAL LOOKUP'!A:J,7,1)</f>
        <v>JUL, FY24</v>
      </c>
      <c r="T387" s="6" t="str">
        <f>VLOOKUP(I387,'FIN CAL LOOKUP'!A:J,10,1)</f>
        <v>Q1, FY24</v>
      </c>
    </row>
    <row r="388" spans="1:20" hidden="1" x14ac:dyDescent="0.25">
      <c r="A388">
        <v>326563</v>
      </c>
      <c r="B388" t="s">
        <v>476</v>
      </c>
      <c r="C388" t="s">
        <v>477</v>
      </c>
      <c r="D388" t="s">
        <v>278</v>
      </c>
      <c r="E388" t="s">
        <v>264</v>
      </c>
      <c r="F388" t="s">
        <v>757</v>
      </c>
      <c r="G388" t="s">
        <v>266</v>
      </c>
      <c r="H388" s="5">
        <v>45084</v>
      </c>
      <c r="I388" s="5">
        <v>45093</v>
      </c>
      <c r="J388" t="s">
        <v>758</v>
      </c>
      <c r="K388" t="s">
        <v>268</v>
      </c>
      <c r="L388">
        <v>1</v>
      </c>
      <c r="M388" t="s">
        <v>318</v>
      </c>
      <c r="N388" t="s">
        <v>237</v>
      </c>
      <c r="O388">
        <v>1</v>
      </c>
      <c r="P388" s="6" t="str">
        <f>VLOOKUP(J388,'Store lookup'!A:C,2,0)</f>
        <v>HS2023</v>
      </c>
      <c r="Q388" s="6" t="str">
        <f>VLOOKUP(J388,'Store lookup'!A:C,3,0)</f>
        <v>Harris Scarfe Epping</v>
      </c>
      <c r="R388" s="6" t="str">
        <f t="shared" si="6"/>
        <v>Harris Scarfe</v>
      </c>
      <c r="S388" s="6" t="str">
        <f>VLOOKUP(I388,'FIN CAL LOOKUP'!A:J,7,1)</f>
        <v>JUN, FY23</v>
      </c>
      <c r="T388" s="6" t="str">
        <f>VLOOKUP(I388,'FIN CAL LOOKUP'!A:J,10,1)</f>
        <v>Q4, FY23</v>
      </c>
    </row>
    <row r="389" spans="1:20" hidden="1" x14ac:dyDescent="0.25">
      <c r="A389">
        <v>323566</v>
      </c>
      <c r="B389" t="s">
        <v>874</v>
      </c>
      <c r="C389" t="s">
        <v>875</v>
      </c>
      <c r="D389" t="s">
        <v>333</v>
      </c>
      <c r="E389" t="s">
        <v>264</v>
      </c>
      <c r="F389" t="s">
        <v>749</v>
      </c>
      <c r="G389" t="s">
        <v>266</v>
      </c>
      <c r="H389" s="5">
        <v>45082</v>
      </c>
      <c r="I389" s="5">
        <v>45254</v>
      </c>
      <c r="J389" t="s">
        <v>750</v>
      </c>
      <c r="K389" t="s">
        <v>268</v>
      </c>
      <c r="L389">
        <v>1</v>
      </c>
      <c r="M389" t="s">
        <v>751</v>
      </c>
      <c r="N389" t="s">
        <v>237</v>
      </c>
      <c r="O389">
        <v>1</v>
      </c>
      <c r="P389" s="6" t="str">
        <f>VLOOKUP(J389,'Store lookup'!A:C,2,0)</f>
        <v>HS2027</v>
      </c>
      <c r="Q389" s="6" t="str">
        <f>VLOOKUP(J389,'Store lookup'!A:C,3,0)</f>
        <v>Harris Scarfe Airport West</v>
      </c>
      <c r="R389" s="6" t="str">
        <f t="shared" si="6"/>
        <v>Harris Scarfe</v>
      </c>
      <c r="S389" s="6" t="str">
        <f>VLOOKUP(I389,'FIN CAL LOOKUP'!A:J,7,1)</f>
        <v>NOV, FY24</v>
      </c>
      <c r="T389" s="6" t="str">
        <f>VLOOKUP(I389,'FIN CAL LOOKUP'!A:J,10,1)</f>
        <v>Q2, FY24</v>
      </c>
    </row>
    <row r="390" spans="1:20" hidden="1" x14ac:dyDescent="0.25">
      <c r="A390">
        <v>241044</v>
      </c>
      <c r="B390" t="s">
        <v>293</v>
      </c>
      <c r="C390" t="s">
        <v>664</v>
      </c>
      <c r="D390" t="s">
        <v>333</v>
      </c>
      <c r="E390" t="s">
        <v>264</v>
      </c>
      <c r="F390" t="s">
        <v>847</v>
      </c>
      <c r="G390" t="s">
        <v>266</v>
      </c>
      <c r="H390" s="5">
        <v>45076</v>
      </c>
      <c r="I390" s="5">
        <v>45261</v>
      </c>
      <c r="J390" t="s">
        <v>848</v>
      </c>
      <c r="K390" t="s">
        <v>268</v>
      </c>
      <c r="L390">
        <v>1</v>
      </c>
      <c r="M390" t="s">
        <v>849</v>
      </c>
      <c r="N390" t="s">
        <v>237</v>
      </c>
      <c r="O390">
        <v>1</v>
      </c>
      <c r="P390" s="6" t="str">
        <f>VLOOKUP(J390,'Store lookup'!A:C,2,0)</f>
        <v>HS2033</v>
      </c>
      <c r="Q390" s="6" t="str">
        <f>VLOOKUP(J390,'Store lookup'!A:C,3,0)</f>
        <v>Harris Scarfe Eastland</v>
      </c>
      <c r="R390" s="6" t="str">
        <f t="shared" si="6"/>
        <v>Harris Scarfe</v>
      </c>
      <c r="S390" s="6" t="str">
        <f>VLOOKUP(I390,'FIN CAL LOOKUP'!A:J,7,1)</f>
        <v>DEC, FY24</v>
      </c>
      <c r="T390" s="6" t="str">
        <f>VLOOKUP(I390,'FIN CAL LOOKUP'!A:J,10,1)</f>
        <v>Q2, FY24</v>
      </c>
    </row>
    <row r="391" spans="1:20" hidden="1" x14ac:dyDescent="0.25">
      <c r="A391">
        <v>328302</v>
      </c>
      <c r="B391" t="s">
        <v>651</v>
      </c>
      <c r="C391" t="s">
        <v>680</v>
      </c>
      <c r="D391" t="s">
        <v>307</v>
      </c>
      <c r="E391" t="s">
        <v>264</v>
      </c>
      <c r="F391" t="s">
        <v>786</v>
      </c>
      <c r="G391" t="s">
        <v>266</v>
      </c>
      <c r="H391" s="5">
        <v>45075</v>
      </c>
      <c r="I391" s="5">
        <v>45097</v>
      </c>
      <c r="J391" t="s">
        <v>787</v>
      </c>
      <c r="K391" t="s">
        <v>268</v>
      </c>
      <c r="L391">
        <v>1</v>
      </c>
      <c r="M391" t="s">
        <v>788</v>
      </c>
      <c r="N391" t="s">
        <v>237</v>
      </c>
      <c r="O391">
        <v>1</v>
      </c>
      <c r="P391" s="6" t="str">
        <f>VLOOKUP(J391,'Store lookup'!A:C,2,0)</f>
        <v>HS2020</v>
      </c>
      <c r="Q391" s="6" t="str">
        <f>VLOOKUP(J391,'Store lookup'!A:C,3,0)</f>
        <v>Harris Scarfe Forest Hill</v>
      </c>
      <c r="R391" s="6" t="str">
        <f t="shared" si="6"/>
        <v>Harris Scarfe</v>
      </c>
      <c r="S391" s="6" t="str">
        <f>VLOOKUP(I391,'FIN CAL LOOKUP'!A:J,7,1)</f>
        <v>JUN, FY23</v>
      </c>
      <c r="T391" s="6" t="str">
        <f>VLOOKUP(I391,'FIN CAL LOOKUP'!A:J,10,1)</f>
        <v>Q4, FY23</v>
      </c>
    </row>
    <row r="392" spans="1:20" hidden="1" x14ac:dyDescent="0.25">
      <c r="A392">
        <v>308528</v>
      </c>
      <c r="B392" t="s">
        <v>571</v>
      </c>
      <c r="C392" t="s">
        <v>572</v>
      </c>
      <c r="D392" t="s">
        <v>333</v>
      </c>
      <c r="E392" t="s">
        <v>264</v>
      </c>
      <c r="F392" t="s">
        <v>727</v>
      </c>
      <c r="G392" t="s">
        <v>266</v>
      </c>
      <c r="H392" s="5">
        <v>45065</v>
      </c>
      <c r="I392" s="5">
        <v>45275</v>
      </c>
      <c r="J392" t="s">
        <v>728</v>
      </c>
      <c r="K392" t="s">
        <v>268</v>
      </c>
      <c r="L392">
        <v>1</v>
      </c>
      <c r="M392" t="s">
        <v>729</v>
      </c>
      <c r="N392" t="s">
        <v>237</v>
      </c>
      <c r="O392">
        <v>1</v>
      </c>
      <c r="P392" s="6" t="str">
        <f>VLOOKUP(J392,'Store lookup'!A:C,2,0)</f>
        <v>HS2016</v>
      </c>
      <c r="Q392" s="6" t="str">
        <f>VLOOKUP(J392,'Store lookup'!A:C,3,0)</f>
        <v>Harris Scarfe Spencer Outlet</v>
      </c>
      <c r="R392" s="6" t="str">
        <f t="shared" si="6"/>
        <v>Harris Scarfe</v>
      </c>
      <c r="S392" s="6" t="str">
        <f>VLOOKUP(I392,'FIN CAL LOOKUP'!A:J,7,1)</f>
        <v>DEC, FY24</v>
      </c>
      <c r="T392" s="6" t="str">
        <f>VLOOKUP(I392,'FIN CAL LOOKUP'!A:J,10,1)</f>
        <v>Q2, FY24</v>
      </c>
    </row>
    <row r="393" spans="1:20" hidden="1" x14ac:dyDescent="0.25">
      <c r="A393">
        <v>324998</v>
      </c>
      <c r="B393" t="s">
        <v>597</v>
      </c>
      <c r="C393" t="s">
        <v>598</v>
      </c>
      <c r="D393" t="s">
        <v>278</v>
      </c>
      <c r="E393" t="s">
        <v>264</v>
      </c>
      <c r="F393" t="s">
        <v>771</v>
      </c>
      <c r="G393" t="s">
        <v>266</v>
      </c>
      <c r="H393" s="5">
        <v>45063</v>
      </c>
      <c r="I393" s="5">
        <v>45205</v>
      </c>
      <c r="J393" t="s">
        <v>772</v>
      </c>
      <c r="K393" t="s">
        <v>268</v>
      </c>
      <c r="L393">
        <v>1</v>
      </c>
      <c r="M393" t="s">
        <v>773</v>
      </c>
      <c r="N393" t="s">
        <v>237</v>
      </c>
      <c r="O393">
        <v>1</v>
      </c>
      <c r="P393" s="6" t="str">
        <f>VLOOKUP(J393,'Store lookup'!A:C,2,0)</f>
        <v>HS2048</v>
      </c>
      <c r="Q393" s="6" t="str">
        <f>VLOOKUP(J393,'Store lookup'!A:C,3,0)</f>
        <v>Harris Scarfe Tarneit</v>
      </c>
      <c r="R393" s="6" t="str">
        <f t="shared" si="6"/>
        <v>Harris Scarfe</v>
      </c>
      <c r="S393" s="6" t="str">
        <f>VLOOKUP(I393,'FIN CAL LOOKUP'!A:J,7,1)</f>
        <v>OCT, FY24</v>
      </c>
      <c r="T393" s="6" t="str">
        <f>VLOOKUP(I393,'FIN CAL LOOKUP'!A:J,10,1)</f>
        <v>Q2, FY24</v>
      </c>
    </row>
    <row r="394" spans="1:20" hidden="1" x14ac:dyDescent="0.25">
      <c r="A394">
        <v>203082</v>
      </c>
      <c r="B394" t="s">
        <v>481</v>
      </c>
      <c r="C394" t="s">
        <v>482</v>
      </c>
      <c r="D394" t="s">
        <v>333</v>
      </c>
      <c r="E394" t="s">
        <v>264</v>
      </c>
      <c r="F394" t="s">
        <v>771</v>
      </c>
      <c r="G394" t="s">
        <v>266</v>
      </c>
      <c r="H394" s="5">
        <v>45063</v>
      </c>
      <c r="I394" s="5">
        <v>45141</v>
      </c>
      <c r="J394" t="s">
        <v>772</v>
      </c>
      <c r="K394" t="s">
        <v>268</v>
      </c>
      <c r="L394">
        <v>1</v>
      </c>
      <c r="M394" t="s">
        <v>773</v>
      </c>
      <c r="N394" t="s">
        <v>237</v>
      </c>
      <c r="O394">
        <v>1</v>
      </c>
      <c r="P394" s="6" t="str">
        <f>VLOOKUP(J394,'Store lookup'!A:C,2,0)</f>
        <v>HS2048</v>
      </c>
      <c r="Q394" s="6" t="str">
        <f>VLOOKUP(J394,'Store lookup'!A:C,3,0)</f>
        <v>Harris Scarfe Tarneit</v>
      </c>
      <c r="R394" s="6" t="str">
        <f t="shared" si="6"/>
        <v>Harris Scarfe</v>
      </c>
      <c r="S394" s="6" t="str">
        <f>VLOOKUP(I394,'FIN CAL LOOKUP'!A:J,7,1)</f>
        <v>AUG, FY24</v>
      </c>
      <c r="T394" s="6" t="str">
        <f>VLOOKUP(I394,'FIN CAL LOOKUP'!A:J,10,1)</f>
        <v>Q1, FY24</v>
      </c>
    </row>
    <row r="395" spans="1:20" hidden="1" x14ac:dyDescent="0.25">
      <c r="A395">
        <v>321424</v>
      </c>
      <c r="B395" t="s">
        <v>662</v>
      </c>
      <c r="C395" t="s">
        <v>663</v>
      </c>
      <c r="D395" t="s">
        <v>307</v>
      </c>
      <c r="E395" t="s">
        <v>264</v>
      </c>
      <c r="F395" t="s">
        <v>749</v>
      </c>
      <c r="G395" t="s">
        <v>266</v>
      </c>
      <c r="H395" s="5">
        <v>45063</v>
      </c>
      <c r="I395" s="5">
        <v>45083</v>
      </c>
      <c r="J395" t="s">
        <v>750</v>
      </c>
      <c r="K395" t="s">
        <v>268</v>
      </c>
      <c r="L395">
        <v>1</v>
      </c>
      <c r="M395" t="s">
        <v>751</v>
      </c>
      <c r="N395" t="s">
        <v>237</v>
      </c>
      <c r="O395">
        <v>1</v>
      </c>
      <c r="P395" s="6" t="str">
        <f>VLOOKUP(J395,'Store lookup'!A:C,2,0)</f>
        <v>HS2027</v>
      </c>
      <c r="Q395" s="6" t="str">
        <f>VLOOKUP(J395,'Store lookup'!A:C,3,0)</f>
        <v>Harris Scarfe Airport West</v>
      </c>
      <c r="R395" s="6" t="str">
        <f t="shared" si="6"/>
        <v>Harris Scarfe</v>
      </c>
      <c r="S395" s="6" t="str">
        <f>VLOOKUP(I395,'FIN CAL LOOKUP'!A:J,7,1)</f>
        <v>JUN, FY23</v>
      </c>
      <c r="T395" s="6" t="str">
        <f>VLOOKUP(I395,'FIN CAL LOOKUP'!A:J,10,1)</f>
        <v>Q4, FY23</v>
      </c>
    </row>
    <row r="396" spans="1:20" hidden="1" x14ac:dyDescent="0.25">
      <c r="A396">
        <v>321729</v>
      </c>
      <c r="B396" t="s">
        <v>515</v>
      </c>
      <c r="C396" t="s">
        <v>876</v>
      </c>
      <c r="D396" t="s">
        <v>508</v>
      </c>
      <c r="E396" t="s">
        <v>264</v>
      </c>
      <c r="F396" t="s">
        <v>724</v>
      </c>
      <c r="G396" t="s">
        <v>266</v>
      </c>
      <c r="H396" s="5">
        <v>45061</v>
      </c>
      <c r="I396" s="5">
        <v>45149</v>
      </c>
      <c r="J396" t="s">
        <v>725</v>
      </c>
      <c r="K396" t="s">
        <v>268</v>
      </c>
      <c r="L396">
        <v>1</v>
      </c>
      <c r="M396" t="s">
        <v>726</v>
      </c>
      <c r="N396" t="s">
        <v>237</v>
      </c>
      <c r="O396">
        <v>1</v>
      </c>
      <c r="P396" s="6" t="str">
        <f>VLOOKUP(J396,'Store lookup'!A:C,2,0)</f>
        <v>HS2022</v>
      </c>
      <c r="Q396" s="6" t="str">
        <f>VLOOKUP(J396,'Store lookup'!A:C,3,0)</f>
        <v>Harris Scarfe Knox</v>
      </c>
      <c r="R396" s="6" t="str">
        <f t="shared" si="6"/>
        <v>Harris Scarfe</v>
      </c>
      <c r="S396" s="6" t="str">
        <f>VLOOKUP(I396,'FIN CAL LOOKUP'!A:J,7,1)</f>
        <v>AUG, FY24</v>
      </c>
      <c r="T396" s="6" t="str">
        <f>VLOOKUP(I396,'FIN CAL LOOKUP'!A:J,10,1)</f>
        <v>Q1, FY24</v>
      </c>
    </row>
    <row r="397" spans="1:20" hidden="1" x14ac:dyDescent="0.25">
      <c r="A397">
        <v>298254</v>
      </c>
      <c r="B397" t="s">
        <v>566</v>
      </c>
      <c r="C397" t="s">
        <v>277</v>
      </c>
      <c r="D397" t="s">
        <v>263</v>
      </c>
      <c r="E397" t="s">
        <v>264</v>
      </c>
      <c r="F397" t="s">
        <v>877</v>
      </c>
      <c r="G397" t="s">
        <v>266</v>
      </c>
      <c r="H397" s="5">
        <v>45061</v>
      </c>
      <c r="I397" s="5">
        <v>45082</v>
      </c>
      <c r="J397" t="s">
        <v>878</v>
      </c>
      <c r="K397" t="s">
        <v>268</v>
      </c>
      <c r="L397">
        <v>1</v>
      </c>
      <c r="N397" t="s">
        <v>237</v>
      </c>
      <c r="O397">
        <v>1</v>
      </c>
      <c r="P397" s="6" t="str">
        <f>VLOOKUP(J397,'Store lookup'!A:C,2,0)</f>
        <v>HS1013</v>
      </c>
      <c r="Q397" s="6" t="str">
        <f>VLOOKUP(J397,'Store lookup'!A:C,3,0)</f>
        <v>Harris Scarfe Gepps Cross</v>
      </c>
      <c r="R397" s="6" t="str">
        <f t="shared" si="6"/>
        <v>Harris Scarfe</v>
      </c>
      <c r="S397" s="6" t="str">
        <f>VLOOKUP(I397,'FIN CAL LOOKUP'!A:J,7,1)</f>
        <v>JUN, FY23</v>
      </c>
      <c r="T397" s="6" t="str">
        <f>VLOOKUP(I397,'FIN CAL LOOKUP'!A:J,10,1)</f>
        <v>Q4, FY23</v>
      </c>
    </row>
    <row r="398" spans="1:20" hidden="1" x14ac:dyDescent="0.25">
      <c r="A398">
        <v>324851</v>
      </c>
      <c r="B398" t="s">
        <v>538</v>
      </c>
      <c r="C398" t="s">
        <v>539</v>
      </c>
      <c r="D398" t="s">
        <v>272</v>
      </c>
      <c r="E398" t="s">
        <v>264</v>
      </c>
      <c r="F398" t="s">
        <v>727</v>
      </c>
      <c r="G398" t="s">
        <v>266</v>
      </c>
      <c r="H398" s="5">
        <v>45061</v>
      </c>
      <c r="I398" s="5">
        <v>45078</v>
      </c>
      <c r="J398" t="s">
        <v>728</v>
      </c>
      <c r="K398" t="s">
        <v>268</v>
      </c>
      <c r="L398">
        <v>1</v>
      </c>
      <c r="M398" t="s">
        <v>729</v>
      </c>
      <c r="N398" t="s">
        <v>237</v>
      </c>
      <c r="O398">
        <v>1</v>
      </c>
      <c r="P398" s="6" t="str">
        <f>VLOOKUP(J398,'Store lookup'!A:C,2,0)</f>
        <v>HS2016</v>
      </c>
      <c r="Q398" s="6" t="str">
        <f>VLOOKUP(J398,'Store lookup'!A:C,3,0)</f>
        <v>Harris Scarfe Spencer Outlet</v>
      </c>
      <c r="R398" s="6" t="str">
        <f t="shared" si="6"/>
        <v>Harris Scarfe</v>
      </c>
      <c r="S398" s="6" t="str">
        <f>VLOOKUP(I398,'FIN CAL LOOKUP'!A:J,7,1)</f>
        <v>JUN, FY23</v>
      </c>
      <c r="T398" s="6" t="str">
        <f>VLOOKUP(I398,'FIN CAL LOOKUP'!A:J,10,1)</f>
        <v>Q4, FY23</v>
      </c>
    </row>
    <row r="399" spans="1:20" hidden="1" x14ac:dyDescent="0.25">
      <c r="A399">
        <v>208565</v>
      </c>
      <c r="B399" t="s">
        <v>487</v>
      </c>
      <c r="C399" t="s">
        <v>488</v>
      </c>
      <c r="D399" t="s">
        <v>333</v>
      </c>
      <c r="E399" t="s">
        <v>264</v>
      </c>
      <c r="F399" t="s">
        <v>749</v>
      </c>
      <c r="G399" t="s">
        <v>266</v>
      </c>
      <c r="H399" s="5">
        <v>45058</v>
      </c>
      <c r="I399" s="5">
        <v>45225</v>
      </c>
      <c r="J399" t="s">
        <v>750</v>
      </c>
      <c r="K399" t="s">
        <v>268</v>
      </c>
      <c r="L399">
        <v>1</v>
      </c>
      <c r="M399" t="s">
        <v>751</v>
      </c>
      <c r="N399" t="s">
        <v>237</v>
      </c>
      <c r="O399">
        <v>1</v>
      </c>
      <c r="P399" s="6" t="str">
        <f>VLOOKUP(J399,'Store lookup'!A:C,2,0)</f>
        <v>HS2027</v>
      </c>
      <c r="Q399" s="6" t="str">
        <f>VLOOKUP(J399,'Store lookup'!A:C,3,0)</f>
        <v>Harris Scarfe Airport West</v>
      </c>
      <c r="R399" s="6" t="str">
        <f t="shared" si="6"/>
        <v>Harris Scarfe</v>
      </c>
      <c r="S399" s="6" t="str">
        <f>VLOOKUP(I399,'FIN CAL LOOKUP'!A:J,7,1)</f>
        <v>NOV, FY24</v>
      </c>
      <c r="T399" s="6" t="str">
        <f>VLOOKUP(I399,'FIN CAL LOOKUP'!A:J,10,1)</f>
        <v>Q2, FY24</v>
      </c>
    </row>
    <row r="400" spans="1:20" hidden="1" x14ac:dyDescent="0.25">
      <c r="A400">
        <v>314636</v>
      </c>
      <c r="B400" t="s">
        <v>879</v>
      </c>
      <c r="C400" t="s">
        <v>880</v>
      </c>
      <c r="D400" t="s">
        <v>272</v>
      </c>
      <c r="E400" t="s">
        <v>264</v>
      </c>
      <c r="F400" t="s">
        <v>847</v>
      </c>
      <c r="G400" t="s">
        <v>266</v>
      </c>
      <c r="H400" s="5">
        <v>45057</v>
      </c>
      <c r="I400" s="5">
        <v>45154</v>
      </c>
      <c r="J400" t="s">
        <v>848</v>
      </c>
      <c r="K400" t="s">
        <v>268</v>
      </c>
      <c r="L400">
        <v>1</v>
      </c>
      <c r="M400" t="s">
        <v>849</v>
      </c>
      <c r="N400" t="s">
        <v>237</v>
      </c>
      <c r="O400">
        <v>1</v>
      </c>
      <c r="P400" s="6" t="str">
        <f>VLOOKUP(J400,'Store lookup'!A:C,2,0)</f>
        <v>HS2033</v>
      </c>
      <c r="Q400" s="6" t="str">
        <f>VLOOKUP(J400,'Store lookup'!A:C,3,0)</f>
        <v>Harris Scarfe Eastland</v>
      </c>
      <c r="R400" s="6" t="str">
        <f t="shared" si="6"/>
        <v>Harris Scarfe</v>
      </c>
      <c r="S400" s="6" t="str">
        <f>VLOOKUP(I400,'FIN CAL LOOKUP'!A:J,7,1)</f>
        <v>AUG, FY24</v>
      </c>
      <c r="T400" s="6" t="str">
        <f>VLOOKUP(I400,'FIN CAL LOOKUP'!A:J,10,1)</f>
        <v>Q1, FY24</v>
      </c>
    </row>
    <row r="401" spans="1:20" hidden="1" x14ac:dyDescent="0.25">
      <c r="A401">
        <v>235019</v>
      </c>
      <c r="B401" t="s">
        <v>860</v>
      </c>
      <c r="C401" t="s">
        <v>861</v>
      </c>
      <c r="D401" t="s">
        <v>272</v>
      </c>
      <c r="E401" t="s">
        <v>264</v>
      </c>
      <c r="F401" t="s">
        <v>881</v>
      </c>
      <c r="G401" t="s">
        <v>266</v>
      </c>
      <c r="H401" s="5">
        <v>45057</v>
      </c>
      <c r="I401" s="5">
        <v>45126</v>
      </c>
      <c r="J401" t="s">
        <v>882</v>
      </c>
      <c r="K401" t="s">
        <v>268</v>
      </c>
      <c r="L401">
        <v>1</v>
      </c>
      <c r="M401" t="s">
        <v>883</v>
      </c>
      <c r="N401" t="s">
        <v>237</v>
      </c>
      <c r="O401">
        <v>1</v>
      </c>
      <c r="P401" s="6" t="str">
        <f>VLOOKUP(J401,'Store lookup'!A:C,2,0)</f>
        <v>HS2029</v>
      </c>
      <c r="Q401" s="6" t="str">
        <f>VLOOKUP(J401,'Store lookup'!A:C,3,0)</f>
        <v>Harris Scarfe Waurn Ponds</v>
      </c>
      <c r="R401" s="6" t="str">
        <f t="shared" si="6"/>
        <v>Harris Scarfe</v>
      </c>
      <c r="S401" s="6" t="str">
        <f>VLOOKUP(I401,'FIN CAL LOOKUP'!A:J,7,1)</f>
        <v>JUL, FY24</v>
      </c>
      <c r="T401" s="6" t="str">
        <f>VLOOKUP(I401,'FIN CAL LOOKUP'!A:J,10,1)</f>
        <v>Q1, FY24</v>
      </c>
    </row>
    <row r="402" spans="1:20" hidden="1" x14ac:dyDescent="0.25">
      <c r="A402">
        <v>201015</v>
      </c>
      <c r="B402" t="s">
        <v>764</v>
      </c>
      <c r="C402" t="s">
        <v>765</v>
      </c>
      <c r="D402" t="s">
        <v>333</v>
      </c>
      <c r="E402" t="s">
        <v>264</v>
      </c>
      <c r="F402" t="s">
        <v>749</v>
      </c>
      <c r="G402" t="s">
        <v>266</v>
      </c>
      <c r="H402" s="5">
        <v>45057</v>
      </c>
      <c r="I402" s="5">
        <v>45125</v>
      </c>
      <c r="J402" t="s">
        <v>750</v>
      </c>
      <c r="K402" t="s">
        <v>268</v>
      </c>
      <c r="L402">
        <v>2</v>
      </c>
      <c r="M402" t="s">
        <v>751</v>
      </c>
      <c r="N402" t="s">
        <v>237</v>
      </c>
      <c r="O402">
        <v>0</v>
      </c>
      <c r="P402" s="6" t="str">
        <f>VLOOKUP(J402,'Store lookup'!A:C,2,0)</f>
        <v>HS2027</v>
      </c>
      <c r="Q402" s="6" t="str">
        <f>VLOOKUP(J402,'Store lookup'!A:C,3,0)</f>
        <v>Harris Scarfe Airport West</v>
      </c>
      <c r="R402" s="6" t="str">
        <f t="shared" si="6"/>
        <v>Harris Scarfe</v>
      </c>
      <c r="S402" s="6" t="str">
        <f>VLOOKUP(I402,'FIN CAL LOOKUP'!A:J,7,1)</f>
        <v>JUL, FY24</v>
      </c>
      <c r="T402" s="6" t="str">
        <f>VLOOKUP(I402,'FIN CAL LOOKUP'!A:J,10,1)</f>
        <v>Q1, FY24</v>
      </c>
    </row>
    <row r="403" spans="1:20" hidden="1" x14ac:dyDescent="0.25">
      <c r="A403">
        <v>205870</v>
      </c>
      <c r="B403" t="s">
        <v>774</v>
      </c>
      <c r="C403" t="s">
        <v>775</v>
      </c>
      <c r="D403" t="s">
        <v>333</v>
      </c>
      <c r="E403" t="s">
        <v>264</v>
      </c>
      <c r="F403" t="s">
        <v>749</v>
      </c>
      <c r="G403" t="s">
        <v>266</v>
      </c>
      <c r="H403" s="5">
        <v>45057</v>
      </c>
      <c r="I403" s="5">
        <v>45125</v>
      </c>
      <c r="J403" t="s">
        <v>750</v>
      </c>
      <c r="K403" t="s">
        <v>268</v>
      </c>
      <c r="L403">
        <v>2</v>
      </c>
      <c r="M403" t="s">
        <v>751</v>
      </c>
      <c r="N403" t="s">
        <v>237</v>
      </c>
      <c r="O403">
        <v>0</v>
      </c>
      <c r="P403" s="6" t="str">
        <f>VLOOKUP(J403,'Store lookup'!A:C,2,0)</f>
        <v>HS2027</v>
      </c>
      <c r="Q403" s="6" t="str">
        <f>VLOOKUP(J403,'Store lookup'!A:C,3,0)</f>
        <v>Harris Scarfe Airport West</v>
      </c>
      <c r="R403" s="6" t="str">
        <f t="shared" si="6"/>
        <v>Harris Scarfe</v>
      </c>
      <c r="S403" s="6" t="str">
        <f>VLOOKUP(I403,'FIN CAL LOOKUP'!A:J,7,1)</f>
        <v>JUL, FY24</v>
      </c>
      <c r="T403" s="6" t="str">
        <f>VLOOKUP(I403,'FIN CAL LOOKUP'!A:J,10,1)</f>
        <v>Q1, FY24</v>
      </c>
    </row>
    <row r="404" spans="1:20" hidden="1" x14ac:dyDescent="0.25">
      <c r="A404">
        <v>239766</v>
      </c>
      <c r="B404" t="s">
        <v>840</v>
      </c>
      <c r="C404" t="s">
        <v>884</v>
      </c>
      <c r="D404" t="s">
        <v>307</v>
      </c>
      <c r="E404" t="s">
        <v>264</v>
      </c>
      <c r="F404" t="s">
        <v>786</v>
      </c>
      <c r="G404" t="s">
        <v>266</v>
      </c>
      <c r="H404" s="5">
        <v>45057</v>
      </c>
      <c r="I404" s="5">
        <v>45092</v>
      </c>
      <c r="J404" t="s">
        <v>787</v>
      </c>
      <c r="K404" t="s">
        <v>268</v>
      </c>
      <c r="L404">
        <v>1</v>
      </c>
      <c r="M404" t="s">
        <v>788</v>
      </c>
      <c r="N404" t="s">
        <v>237</v>
      </c>
      <c r="O404">
        <v>1</v>
      </c>
      <c r="P404" s="6" t="str">
        <f>VLOOKUP(J404,'Store lookup'!A:C,2,0)</f>
        <v>HS2020</v>
      </c>
      <c r="Q404" s="6" t="str">
        <f>VLOOKUP(J404,'Store lookup'!A:C,3,0)</f>
        <v>Harris Scarfe Forest Hill</v>
      </c>
      <c r="R404" s="6" t="str">
        <f t="shared" si="6"/>
        <v>Harris Scarfe</v>
      </c>
      <c r="S404" s="6" t="str">
        <f>VLOOKUP(I404,'FIN CAL LOOKUP'!A:J,7,1)</f>
        <v>JUN, FY23</v>
      </c>
      <c r="T404" s="6" t="str">
        <f>VLOOKUP(I404,'FIN CAL LOOKUP'!A:J,10,1)</f>
        <v>Q4, FY23</v>
      </c>
    </row>
    <row r="405" spans="1:20" hidden="1" x14ac:dyDescent="0.25">
      <c r="A405">
        <v>237283</v>
      </c>
      <c r="B405" t="s">
        <v>459</v>
      </c>
      <c r="C405" t="s">
        <v>885</v>
      </c>
      <c r="D405" t="s">
        <v>333</v>
      </c>
      <c r="E405" t="s">
        <v>264</v>
      </c>
      <c r="F405" t="s">
        <v>791</v>
      </c>
      <c r="G405" t="s">
        <v>266</v>
      </c>
      <c r="H405" s="5">
        <v>45056</v>
      </c>
      <c r="I405" s="5">
        <v>45209</v>
      </c>
      <c r="J405" t="s">
        <v>792</v>
      </c>
      <c r="K405" t="s">
        <v>268</v>
      </c>
      <c r="L405">
        <v>1</v>
      </c>
      <c r="M405" t="s">
        <v>620</v>
      </c>
      <c r="N405" t="s">
        <v>237</v>
      </c>
      <c r="O405">
        <v>1</v>
      </c>
      <c r="P405" s="6" t="str">
        <f>VLOOKUP(J405,'Store lookup'!A:C,2,0)</f>
        <v>HS2045</v>
      </c>
      <c r="Q405" s="6" t="str">
        <f>VLOOKUP(J405,'Store lookup'!A:C,3,0)</f>
        <v>Harris Scarfe Frankston</v>
      </c>
      <c r="R405" s="6" t="str">
        <f t="shared" si="6"/>
        <v>Harris Scarfe</v>
      </c>
      <c r="S405" s="6" t="str">
        <f>VLOOKUP(I405,'FIN CAL LOOKUP'!A:J,7,1)</f>
        <v>OCT, FY24</v>
      </c>
      <c r="T405" s="6" t="str">
        <f>VLOOKUP(I405,'FIN CAL LOOKUP'!A:J,10,1)</f>
        <v>Q2, FY24</v>
      </c>
    </row>
    <row r="406" spans="1:20" hidden="1" x14ac:dyDescent="0.25">
      <c r="A406">
        <v>321626</v>
      </c>
      <c r="B406" t="s">
        <v>672</v>
      </c>
      <c r="C406" t="s">
        <v>673</v>
      </c>
      <c r="D406" t="s">
        <v>263</v>
      </c>
      <c r="E406" t="s">
        <v>264</v>
      </c>
      <c r="F406" t="s">
        <v>801</v>
      </c>
      <c r="G406" t="s">
        <v>266</v>
      </c>
      <c r="H406" s="5">
        <v>45056</v>
      </c>
      <c r="I406" s="5">
        <v>45190</v>
      </c>
      <c r="J406" t="s">
        <v>802</v>
      </c>
      <c r="K406" t="s">
        <v>268</v>
      </c>
      <c r="L406">
        <v>1</v>
      </c>
      <c r="M406" t="s">
        <v>355</v>
      </c>
      <c r="N406" t="s">
        <v>237</v>
      </c>
      <c r="O406">
        <v>1</v>
      </c>
      <c r="P406" s="6" t="str">
        <f>VLOOKUP(J406,'Store lookup'!A:C,2,0)</f>
        <v>HS2039</v>
      </c>
      <c r="Q406" s="6" t="str">
        <f>VLOOKUP(J406,'Store lookup'!A:C,3,0)</f>
        <v>Harris Scarfe Fountain Gate</v>
      </c>
      <c r="R406" s="6" t="str">
        <f t="shared" si="6"/>
        <v>Harris Scarfe</v>
      </c>
      <c r="S406" s="6" t="str">
        <f>VLOOKUP(I406,'FIN CAL LOOKUP'!A:J,7,1)</f>
        <v>SEP, FY24</v>
      </c>
      <c r="T406" s="6" t="str">
        <f>VLOOKUP(I406,'FIN CAL LOOKUP'!A:J,10,1)</f>
        <v>Q1, FY24</v>
      </c>
    </row>
    <row r="407" spans="1:20" hidden="1" x14ac:dyDescent="0.25">
      <c r="A407">
        <v>305854</v>
      </c>
      <c r="B407" t="s">
        <v>677</v>
      </c>
      <c r="C407" t="s">
        <v>407</v>
      </c>
      <c r="D407" t="s">
        <v>272</v>
      </c>
      <c r="E407" t="s">
        <v>264</v>
      </c>
      <c r="F407" t="s">
        <v>727</v>
      </c>
      <c r="G407" t="s">
        <v>266</v>
      </c>
      <c r="H407" s="5">
        <v>45055</v>
      </c>
      <c r="I407" s="5">
        <v>45219</v>
      </c>
      <c r="J407" t="s">
        <v>728</v>
      </c>
      <c r="K407" t="s">
        <v>268</v>
      </c>
      <c r="L407">
        <v>1</v>
      </c>
      <c r="M407" t="s">
        <v>729</v>
      </c>
      <c r="N407" t="s">
        <v>237</v>
      </c>
      <c r="O407">
        <v>1</v>
      </c>
      <c r="P407" s="6" t="str">
        <f>VLOOKUP(J407,'Store lookup'!A:C,2,0)</f>
        <v>HS2016</v>
      </c>
      <c r="Q407" s="6" t="str">
        <f>VLOOKUP(J407,'Store lookup'!A:C,3,0)</f>
        <v>Harris Scarfe Spencer Outlet</v>
      </c>
      <c r="R407" s="6" t="str">
        <f t="shared" si="6"/>
        <v>Harris Scarfe</v>
      </c>
      <c r="S407" s="6" t="str">
        <f>VLOOKUP(I407,'FIN CAL LOOKUP'!A:J,7,1)</f>
        <v>OCT, FY24</v>
      </c>
      <c r="T407" s="6" t="str">
        <f>VLOOKUP(I407,'FIN CAL LOOKUP'!A:J,10,1)</f>
        <v>Q2, FY24</v>
      </c>
    </row>
    <row r="408" spans="1:20" hidden="1" x14ac:dyDescent="0.25">
      <c r="A408">
        <v>297922</v>
      </c>
      <c r="B408" t="s">
        <v>373</v>
      </c>
      <c r="C408" t="s">
        <v>374</v>
      </c>
      <c r="D408" t="s">
        <v>333</v>
      </c>
      <c r="E408" t="s">
        <v>264</v>
      </c>
      <c r="F408" t="s">
        <v>749</v>
      </c>
      <c r="G408" t="s">
        <v>266</v>
      </c>
      <c r="H408" s="5">
        <v>45055</v>
      </c>
      <c r="I408" s="5">
        <v>45065</v>
      </c>
      <c r="J408" t="s">
        <v>750</v>
      </c>
      <c r="K408" t="s">
        <v>268</v>
      </c>
      <c r="L408">
        <v>1</v>
      </c>
      <c r="M408" t="s">
        <v>751</v>
      </c>
      <c r="N408" t="s">
        <v>237</v>
      </c>
      <c r="O408">
        <v>1</v>
      </c>
      <c r="P408" s="6" t="str">
        <f>VLOOKUP(J408,'Store lookup'!A:C,2,0)</f>
        <v>HS2027</v>
      </c>
      <c r="Q408" s="6" t="str">
        <f>VLOOKUP(J408,'Store lookup'!A:C,3,0)</f>
        <v>Harris Scarfe Airport West</v>
      </c>
      <c r="R408" s="6" t="str">
        <f t="shared" si="6"/>
        <v>Harris Scarfe</v>
      </c>
      <c r="S408" s="6" t="str">
        <f>VLOOKUP(I408,'FIN CAL LOOKUP'!A:J,7,1)</f>
        <v>MAY, FY23</v>
      </c>
      <c r="T408" s="6" t="str">
        <f>VLOOKUP(I408,'FIN CAL LOOKUP'!A:J,10,1)</f>
        <v>Q4, FY23</v>
      </c>
    </row>
    <row r="409" spans="1:20" hidden="1" x14ac:dyDescent="0.25">
      <c r="A409">
        <v>317493</v>
      </c>
      <c r="B409" t="s">
        <v>448</v>
      </c>
      <c r="C409" t="s">
        <v>449</v>
      </c>
      <c r="D409" t="s">
        <v>333</v>
      </c>
      <c r="E409" t="s">
        <v>264</v>
      </c>
      <c r="F409" t="s">
        <v>727</v>
      </c>
      <c r="G409" t="s">
        <v>266</v>
      </c>
      <c r="H409" s="5">
        <v>45055</v>
      </c>
      <c r="I409" s="5">
        <v>45065</v>
      </c>
      <c r="J409" t="s">
        <v>728</v>
      </c>
      <c r="K409" t="s">
        <v>268</v>
      </c>
      <c r="L409">
        <v>1</v>
      </c>
      <c r="M409" t="s">
        <v>729</v>
      </c>
      <c r="N409" t="s">
        <v>237</v>
      </c>
      <c r="O409">
        <v>1</v>
      </c>
      <c r="P409" s="6" t="str">
        <f>VLOOKUP(J409,'Store lookup'!A:C,2,0)</f>
        <v>HS2016</v>
      </c>
      <c r="Q409" s="6" t="str">
        <f>VLOOKUP(J409,'Store lookup'!A:C,3,0)</f>
        <v>Harris Scarfe Spencer Outlet</v>
      </c>
      <c r="R409" s="6" t="str">
        <f t="shared" si="6"/>
        <v>Harris Scarfe</v>
      </c>
      <c r="S409" s="6" t="str">
        <f>VLOOKUP(I409,'FIN CAL LOOKUP'!A:J,7,1)</f>
        <v>MAY, FY23</v>
      </c>
      <c r="T409" s="6" t="str">
        <f>VLOOKUP(I409,'FIN CAL LOOKUP'!A:J,10,1)</f>
        <v>Q4, FY23</v>
      </c>
    </row>
    <row r="410" spans="1:20" hidden="1" x14ac:dyDescent="0.25">
      <c r="A410">
        <v>326975</v>
      </c>
      <c r="B410" t="s">
        <v>840</v>
      </c>
      <c r="C410" t="s">
        <v>841</v>
      </c>
      <c r="D410" t="s">
        <v>284</v>
      </c>
      <c r="E410" t="s">
        <v>264</v>
      </c>
      <c r="F410" t="s">
        <v>757</v>
      </c>
      <c r="G410" t="s">
        <v>266</v>
      </c>
      <c r="H410" s="5">
        <v>45050</v>
      </c>
      <c r="I410" s="5">
        <v>45065</v>
      </c>
      <c r="J410" t="s">
        <v>758</v>
      </c>
      <c r="K410" t="s">
        <v>268</v>
      </c>
      <c r="L410">
        <v>1</v>
      </c>
      <c r="M410" t="s">
        <v>318</v>
      </c>
      <c r="N410" t="s">
        <v>237</v>
      </c>
      <c r="O410">
        <v>1</v>
      </c>
      <c r="P410" s="6" t="str">
        <f>VLOOKUP(J410,'Store lookup'!A:C,2,0)</f>
        <v>HS2023</v>
      </c>
      <c r="Q410" s="6" t="str">
        <f>VLOOKUP(J410,'Store lookup'!A:C,3,0)</f>
        <v>Harris Scarfe Epping</v>
      </c>
      <c r="R410" s="6" t="str">
        <f t="shared" si="6"/>
        <v>Harris Scarfe</v>
      </c>
      <c r="S410" s="6" t="str">
        <f>VLOOKUP(I410,'FIN CAL LOOKUP'!A:J,7,1)</f>
        <v>MAY, FY23</v>
      </c>
      <c r="T410" s="6" t="str">
        <f>VLOOKUP(I410,'FIN CAL LOOKUP'!A:J,10,1)</f>
        <v>Q4, FY23</v>
      </c>
    </row>
    <row r="411" spans="1:20" hidden="1" x14ac:dyDescent="0.25">
      <c r="A411">
        <v>327402</v>
      </c>
      <c r="B411" t="s">
        <v>454</v>
      </c>
      <c r="C411" t="s">
        <v>455</v>
      </c>
      <c r="D411" t="s">
        <v>278</v>
      </c>
      <c r="E411" t="s">
        <v>264</v>
      </c>
      <c r="F411" t="s">
        <v>749</v>
      </c>
      <c r="G411" t="s">
        <v>266</v>
      </c>
      <c r="H411" s="5">
        <v>45048</v>
      </c>
      <c r="I411" s="5">
        <v>45076</v>
      </c>
      <c r="J411" t="s">
        <v>750</v>
      </c>
      <c r="K411" t="s">
        <v>268</v>
      </c>
      <c r="L411">
        <v>1</v>
      </c>
      <c r="M411" t="s">
        <v>751</v>
      </c>
      <c r="N411" t="s">
        <v>237</v>
      </c>
      <c r="O411">
        <v>1</v>
      </c>
      <c r="P411" s="6" t="str">
        <f>VLOOKUP(J411,'Store lookup'!A:C,2,0)</f>
        <v>HS2027</v>
      </c>
      <c r="Q411" s="6" t="str">
        <f>VLOOKUP(J411,'Store lookup'!A:C,3,0)</f>
        <v>Harris Scarfe Airport West</v>
      </c>
      <c r="R411" s="6" t="str">
        <f t="shared" si="6"/>
        <v>Harris Scarfe</v>
      </c>
      <c r="S411" s="6" t="str">
        <f>VLOOKUP(I411,'FIN CAL LOOKUP'!A:J,7,1)</f>
        <v>JUN, FY23</v>
      </c>
      <c r="T411" s="6" t="str">
        <f>VLOOKUP(I411,'FIN CAL LOOKUP'!A:J,10,1)</f>
        <v>Q4, FY23</v>
      </c>
    </row>
    <row r="412" spans="1:20" hidden="1" x14ac:dyDescent="0.25">
      <c r="A412">
        <v>235543</v>
      </c>
      <c r="B412" t="s">
        <v>738</v>
      </c>
      <c r="C412" t="s">
        <v>739</v>
      </c>
      <c r="D412" t="s">
        <v>263</v>
      </c>
      <c r="E412" t="s">
        <v>264</v>
      </c>
      <c r="F412" t="s">
        <v>727</v>
      </c>
      <c r="G412" t="s">
        <v>266</v>
      </c>
      <c r="H412" s="5">
        <v>45033</v>
      </c>
      <c r="I412" s="5">
        <v>45042</v>
      </c>
      <c r="J412" t="s">
        <v>728</v>
      </c>
      <c r="K412" t="s">
        <v>268</v>
      </c>
      <c r="L412">
        <v>1</v>
      </c>
      <c r="M412" t="s">
        <v>729</v>
      </c>
      <c r="N412" t="s">
        <v>237</v>
      </c>
      <c r="O412">
        <v>1</v>
      </c>
      <c r="P412" s="6" t="str">
        <f>VLOOKUP(J412,'Store lookup'!A:C,2,0)</f>
        <v>HS2016</v>
      </c>
      <c r="Q412" s="6" t="str">
        <f>VLOOKUP(J412,'Store lookup'!A:C,3,0)</f>
        <v>Harris Scarfe Spencer Outlet</v>
      </c>
      <c r="R412" s="6" t="str">
        <f t="shared" si="6"/>
        <v>Harris Scarfe</v>
      </c>
      <c r="S412" s="6" t="str">
        <f>VLOOKUP(I412,'FIN CAL LOOKUP'!A:J,7,1)</f>
        <v>MAY, FY23</v>
      </c>
      <c r="T412" s="6" t="str">
        <f>VLOOKUP(I412,'FIN CAL LOOKUP'!A:J,10,1)</f>
        <v>Q4, FY23</v>
      </c>
    </row>
    <row r="413" spans="1:20" hidden="1" x14ac:dyDescent="0.25">
      <c r="A413">
        <v>215131</v>
      </c>
      <c r="B413" t="s">
        <v>886</v>
      </c>
      <c r="C413" t="s">
        <v>887</v>
      </c>
      <c r="D413" t="s">
        <v>278</v>
      </c>
      <c r="E413" t="s">
        <v>264</v>
      </c>
      <c r="F413" t="s">
        <v>727</v>
      </c>
      <c r="G413" t="s">
        <v>266</v>
      </c>
      <c r="H413" s="5">
        <v>45012</v>
      </c>
      <c r="I413" s="5">
        <v>45027</v>
      </c>
      <c r="J413" t="s">
        <v>728</v>
      </c>
      <c r="K413" t="s">
        <v>268</v>
      </c>
      <c r="L413">
        <v>2</v>
      </c>
      <c r="M413" t="s">
        <v>729</v>
      </c>
      <c r="N413" t="s">
        <v>237</v>
      </c>
      <c r="O413">
        <v>0</v>
      </c>
      <c r="P413" s="6" t="str">
        <f>VLOOKUP(J413,'Store lookup'!A:C,2,0)</f>
        <v>HS2016</v>
      </c>
      <c r="Q413" s="6" t="str">
        <f>VLOOKUP(J413,'Store lookup'!A:C,3,0)</f>
        <v>Harris Scarfe Spencer Outlet</v>
      </c>
      <c r="R413" s="6" t="str">
        <f t="shared" si="6"/>
        <v>Harris Scarfe</v>
      </c>
      <c r="S413" s="6" t="str">
        <f>VLOOKUP(I413,'FIN CAL LOOKUP'!A:J,7,1)</f>
        <v>APR, FY23</v>
      </c>
      <c r="T413" s="6" t="str">
        <f>VLOOKUP(I413,'FIN CAL LOOKUP'!A:J,10,1)</f>
        <v>Q4, FY23</v>
      </c>
    </row>
    <row r="414" spans="1:20" hidden="1" x14ac:dyDescent="0.25">
      <c r="A414">
        <v>305409</v>
      </c>
      <c r="B414" t="s">
        <v>517</v>
      </c>
      <c r="C414" t="s">
        <v>518</v>
      </c>
      <c r="D414" t="s">
        <v>278</v>
      </c>
      <c r="E414" t="s">
        <v>264</v>
      </c>
      <c r="F414" t="s">
        <v>727</v>
      </c>
      <c r="G414" t="s">
        <v>266</v>
      </c>
      <c r="H414" s="5">
        <v>45012</v>
      </c>
      <c r="I414" s="5">
        <v>45027</v>
      </c>
      <c r="J414" t="s">
        <v>728</v>
      </c>
      <c r="K414" t="s">
        <v>268</v>
      </c>
      <c r="L414">
        <v>2</v>
      </c>
      <c r="M414" t="s">
        <v>729</v>
      </c>
      <c r="N414" t="s">
        <v>237</v>
      </c>
      <c r="O414">
        <v>0</v>
      </c>
      <c r="P414" s="6" t="str">
        <f>VLOOKUP(J414,'Store lookup'!A:C,2,0)</f>
        <v>HS2016</v>
      </c>
      <c r="Q414" s="6" t="str">
        <f>VLOOKUP(J414,'Store lookup'!A:C,3,0)</f>
        <v>Harris Scarfe Spencer Outlet</v>
      </c>
      <c r="R414" s="6" t="str">
        <f t="shared" si="6"/>
        <v>Harris Scarfe</v>
      </c>
      <c r="S414" s="6" t="str">
        <f>VLOOKUP(I414,'FIN CAL LOOKUP'!A:J,7,1)</f>
        <v>APR, FY23</v>
      </c>
      <c r="T414" s="6" t="str">
        <f>VLOOKUP(I414,'FIN CAL LOOKUP'!A:J,10,1)</f>
        <v>Q4, FY23</v>
      </c>
    </row>
    <row r="415" spans="1:20" hidden="1" x14ac:dyDescent="0.25">
      <c r="A415">
        <v>230709</v>
      </c>
      <c r="B415" t="s">
        <v>799</v>
      </c>
      <c r="C415" t="s">
        <v>800</v>
      </c>
      <c r="D415" t="s">
        <v>278</v>
      </c>
      <c r="E415" t="s">
        <v>264</v>
      </c>
      <c r="F415" t="s">
        <v>771</v>
      </c>
      <c r="G415" t="s">
        <v>266</v>
      </c>
      <c r="H415" s="5">
        <v>45009</v>
      </c>
      <c r="I415" s="5">
        <v>45261</v>
      </c>
      <c r="J415" t="s">
        <v>772</v>
      </c>
      <c r="K415" t="s">
        <v>268</v>
      </c>
      <c r="L415">
        <v>1</v>
      </c>
      <c r="M415" t="s">
        <v>773</v>
      </c>
      <c r="N415" t="s">
        <v>237</v>
      </c>
      <c r="O415">
        <v>1</v>
      </c>
      <c r="P415" s="6" t="str">
        <f>VLOOKUP(J415,'Store lookup'!A:C,2,0)</f>
        <v>HS2048</v>
      </c>
      <c r="Q415" s="6" t="str">
        <f>VLOOKUP(J415,'Store lookup'!A:C,3,0)</f>
        <v>Harris Scarfe Tarneit</v>
      </c>
      <c r="R415" s="6" t="str">
        <f t="shared" si="6"/>
        <v>Harris Scarfe</v>
      </c>
      <c r="S415" s="6" t="str">
        <f>VLOOKUP(I415,'FIN CAL LOOKUP'!A:J,7,1)</f>
        <v>DEC, FY24</v>
      </c>
      <c r="T415" s="6" t="str">
        <f>VLOOKUP(I415,'FIN CAL LOOKUP'!A:J,10,1)</f>
        <v>Q2, FY24</v>
      </c>
    </row>
    <row r="416" spans="1:20" hidden="1" x14ac:dyDescent="0.25">
      <c r="A416">
        <v>312878</v>
      </c>
      <c r="B416" t="s">
        <v>745</v>
      </c>
      <c r="C416" t="s">
        <v>746</v>
      </c>
      <c r="D416" t="s">
        <v>278</v>
      </c>
      <c r="E416" t="s">
        <v>264</v>
      </c>
      <c r="F416" t="s">
        <v>727</v>
      </c>
      <c r="G416" t="s">
        <v>266</v>
      </c>
      <c r="H416" s="5">
        <v>45005</v>
      </c>
      <c r="I416" s="5">
        <v>45008</v>
      </c>
      <c r="J416" t="s">
        <v>728</v>
      </c>
      <c r="K416" t="s">
        <v>268</v>
      </c>
      <c r="L416">
        <v>2</v>
      </c>
      <c r="M416" t="s">
        <v>729</v>
      </c>
      <c r="N416" t="s">
        <v>237</v>
      </c>
      <c r="O416">
        <v>0</v>
      </c>
      <c r="P416" s="6" t="str">
        <f>VLOOKUP(J416,'Store lookup'!A:C,2,0)</f>
        <v>HS2016</v>
      </c>
      <c r="Q416" s="6" t="str">
        <f>VLOOKUP(J416,'Store lookup'!A:C,3,0)</f>
        <v>Harris Scarfe Spencer Outlet</v>
      </c>
      <c r="R416" s="6" t="str">
        <f t="shared" si="6"/>
        <v>Harris Scarfe</v>
      </c>
      <c r="S416" s="6" t="str">
        <f>VLOOKUP(I416,'FIN CAL LOOKUP'!A:J,7,1)</f>
        <v>MAR, FY23</v>
      </c>
      <c r="T416" s="6" t="str">
        <f>VLOOKUP(I416,'FIN CAL LOOKUP'!A:J,10,1)</f>
        <v>Q3, FY23</v>
      </c>
    </row>
    <row r="417" spans="1:20" hidden="1" x14ac:dyDescent="0.25">
      <c r="A417">
        <v>323285</v>
      </c>
      <c r="B417" t="s">
        <v>501</v>
      </c>
      <c r="C417" t="s">
        <v>502</v>
      </c>
      <c r="D417" t="s">
        <v>278</v>
      </c>
      <c r="E417" t="s">
        <v>264</v>
      </c>
      <c r="F417" t="s">
        <v>727</v>
      </c>
      <c r="G417" t="s">
        <v>266</v>
      </c>
      <c r="H417" s="5">
        <v>45001</v>
      </c>
      <c r="I417" s="5">
        <v>45043</v>
      </c>
      <c r="J417" t="s">
        <v>728</v>
      </c>
      <c r="K417" t="s">
        <v>268</v>
      </c>
      <c r="L417">
        <v>1</v>
      </c>
      <c r="M417" t="s">
        <v>729</v>
      </c>
      <c r="N417" t="s">
        <v>237</v>
      </c>
      <c r="O417">
        <v>1</v>
      </c>
      <c r="P417" s="6" t="str">
        <f>VLOOKUP(J417,'Store lookup'!A:C,2,0)</f>
        <v>HS2016</v>
      </c>
      <c r="Q417" s="6" t="str">
        <f>VLOOKUP(J417,'Store lookup'!A:C,3,0)</f>
        <v>Harris Scarfe Spencer Outlet</v>
      </c>
      <c r="R417" s="6" t="str">
        <f t="shared" si="6"/>
        <v>Harris Scarfe</v>
      </c>
      <c r="S417" s="6" t="str">
        <f>VLOOKUP(I417,'FIN CAL LOOKUP'!A:J,7,1)</f>
        <v>MAY, FY23</v>
      </c>
      <c r="T417" s="6" t="str">
        <f>VLOOKUP(I417,'FIN CAL LOOKUP'!A:J,10,1)</f>
        <v>Q4, FY23</v>
      </c>
    </row>
    <row r="418" spans="1:20" hidden="1" x14ac:dyDescent="0.25">
      <c r="A418">
        <v>225211</v>
      </c>
      <c r="B418" t="s">
        <v>552</v>
      </c>
      <c r="C418" t="s">
        <v>561</v>
      </c>
      <c r="D418" t="s">
        <v>278</v>
      </c>
      <c r="E418" t="s">
        <v>264</v>
      </c>
      <c r="F418" t="s">
        <v>749</v>
      </c>
      <c r="G418" t="s">
        <v>266</v>
      </c>
      <c r="H418" s="5">
        <v>45000</v>
      </c>
      <c r="I418" s="5">
        <v>45118</v>
      </c>
      <c r="J418" t="s">
        <v>750</v>
      </c>
      <c r="K418" t="s">
        <v>268</v>
      </c>
      <c r="L418">
        <v>1</v>
      </c>
      <c r="M418" t="s">
        <v>751</v>
      </c>
      <c r="N418" t="s">
        <v>237</v>
      </c>
      <c r="O418">
        <v>1</v>
      </c>
      <c r="P418" s="6" t="str">
        <f>VLOOKUP(J418,'Store lookup'!A:C,2,0)</f>
        <v>HS2027</v>
      </c>
      <c r="Q418" s="6" t="str">
        <f>VLOOKUP(J418,'Store lookup'!A:C,3,0)</f>
        <v>Harris Scarfe Airport West</v>
      </c>
      <c r="R418" s="6" t="str">
        <f t="shared" si="6"/>
        <v>Harris Scarfe</v>
      </c>
      <c r="S418" s="6" t="str">
        <f>VLOOKUP(I418,'FIN CAL LOOKUP'!A:J,7,1)</f>
        <v>JUL, FY24</v>
      </c>
      <c r="T418" s="6" t="str">
        <f>VLOOKUP(I418,'FIN CAL LOOKUP'!A:J,10,1)</f>
        <v>Q1, FY24</v>
      </c>
    </row>
    <row r="419" spans="1:20" hidden="1" x14ac:dyDescent="0.25">
      <c r="A419">
        <v>230701</v>
      </c>
      <c r="B419" t="s">
        <v>823</v>
      </c>
      <c r="C419" t="s">
        <v>824</v>
      </c>
      <c r="D419" t="s">
        <v>278</v>
      </c>
      <c r="E419" t="s">
        <v>264</v>
      </c>
      <c r="F419" t="s">
        <v>771</v>
      </c>
      <c r="G419" t="s">
        <v>266</v>
      </c>
      <c r="H419" s="5">
        <v>45000</v>
      </c>
      <c r="I419" s="5">
        <v>45049</v>
      </c>
      <c r="J419" t="s">
        <v>772</v>
      </c>
      <c r="K419" t="s">
        <v>268</v>
      </c>
      <c r="L419">
        <v>1</v>
      </c>
      <c r="M419" t="s">
        <v>773</v>
      </c>
      <c r="N419" t="s">
        <v>237</v>
      </c>
      <c r="O419">
        <v>1</v>
      </c>
      <c r="P419" s="6" t="str">
        <f>VLOOKUP(J419,'Store lookup'!A:C,2,0)</f>
        <v>HS2048</v>
      </c>
      <c r="Q419" s="6" t="str">
        <f>VLOOKUP(J419,'Store lookup'!A:C,3,0)</f>
        <v>Harris Scarfe Tarneit</v>
      </c>
      <c r="R419" s="6" t="str">
        <f t="shared" si="6"/>
        <v>Harris Scarfe</v>
      </c>
      <c r="S419" s="6" t="str">
        <f>VLOOKUP(I419,'FIN CAL LOOKUP'!A:J,7,1)</f>
        <v>MAY, FY23</v>
      </c>
      <c r="T419" s="6" t="str">
        <f>VLOOKUP(I419,'FIN CAL LOOKUP'!A:J,10,1)</f>
        <v>Q4, FY23</v>
      </c>
    </row>
    <row r="420" spans="1:20" hidden="1" x14ac:dyDescent="0.25">
      <c r="A420">
        <v>307502</v>
      </c>
      <c r="B420" t="s">
        <v>740</v>
      </c>
      <c r="C420" t="s">
        <v>741</v>
      </c>
      <c r="D420" t="s">
        <v>263</v>
      </c>
      <c r="E420" t="s">
        <v>264</v>
      </c>
      <c r="F420" t="s">
        <v>727</v>
      </c>
      <c r="G420" t="s">
        <v>266</v>
      </c>
      <c r="H420" s="5">
        <v>44999</v>
      </c>
      <c r="I420" s="5">
        <v>45007</v>
      </c>
      <c r="J420" t="s">
        <v>728</v>
      </c>
      <c r="K420" t="s">
        <v>268</v>
      </c>
      <c r="L420">
        <v>2</v>
      </c>
      <c r="M420" t="s">
        <v>729</v>
      </c>
      <c r="N420" t="s">
        <v>237</v>
      </c>
      <c r="O420">
        <v>0</v>
      </c>
      <c r="P420" s="6" t="str">
        <f>VLOOKUP(J420,'Store lookup'!A:C,2,0)</f>
        <v>HS2016</v>
      </c>
      <c r="Q420" s="6" t="str">
        <f>VLOOKUP(J420,'Store lookup'!A:C,3,0)</f>
        <v>Harris Scarfe Spencer Outlet</v>
      </c>
      <c r="R420" s="6" t="str">
        <f t="shared" si="6"/>
        <v>Harris Scarfe</v>
      </c>
      <c r="S420" s="6" t="str">
        <f>VLOOKUP(I420,'FIN CAL LOOKUP'!A:J,7,1)</f>
        <v>MAR, FY23</v>
      </c>
      <c r="T420" s="6" t="str">
        <f>VLOOKUP(I420,'FIN CAL LOOKUP'!A:J,10,1)</f>
        <v>Q3, FY23</v>
      </c>
    </row>
    <row r="421" spans="1:20" hidden="1" x14ac:dyDescent="0.25">
      <c r="A421">
        <v>317842</v>
      </c>
      <c r="B421" t="s">
        <v>857</v>
      </c>
      <c r="C421" t="s">
        <v>888</v>
      </c>
      <c r="D421" t="s">
        <v>284</v>
      </c>
      <c r="E421" t="s">
        <v>264</v>
      </c>
      <c r="F421" t="s">
        <v>768</v>
      </c>
      <c r="G421" t="s">
        <v>266</v>
      </c>
      <c r="H421" s="5">
        <v>44991</v>
      </c>
      <c r="I421" s="5">
        <v>45048</v>
      </c>
      <c r="J421" t="s">
        <v>769</v>
      </c>
      <c r="K421" t="s">
        <v>268</v>
      </c>
      <c r="L421">
        <v>1</v>
      </c>
      <c r="M421" t="s">
        <v>770</v>
      </c>
      <c r="N421" t="s">
        <v>237</v>
      </c>
      <c r="O421">
        <v>1</v>
      </c>
      <c r="P421" s="6" t="str">
        <f>VLOOKUP(J421,'Store lookup'!A:C,2,0)</f>
        <v>HS2017</v>
      </c>
      <c r="Q421" s="6" t="str">
        <f>VLOOKUP(J421,'Store lookup'!A:C,3,0)</f>
        <v>Harris Scarfe Woodgrove</v>
      </c>
      <c r="R421" s="6" t="str">
        <f t="shared" si="6"/>
        <v>Harris Scarfe</v>
      </c>
      <c r="S421" s="6" t="str">
        <f>VLOOKUP(I421,'FIN CAL LOOKUP'!A:J,7,1)</f>
        <v>MAY, FY23</v>
      </c>
      <c r="T421" s="6" t="str">
        <f>VLOOKUP(I421,'FIN CAL LOOKUP'!A:J,10,1)</f>
        <v>Q4, FY23</v>
      </c>
    </row>
    <row r="422" spans="1:20" hidden="1" x14ac:dyDescent="0.25">
      <c r="A422">
        <v>319925</v>
      </c>
      <c r="B422" t="s">
        <v>889</v>
      </c>
      <c r="C422" t="s">
        <v>890</v>
      </c>
      <c r="D422" t="s">
        <v>272</v>
      </c>
      <c r="E422" t="s">
        <v>264</v>
      </c>
      <c r="F422" t="s">
        <v>727</v>
      </c>
      <c r="G422" t="s">
        <v>266</v>
      </c>
      <c r="H422" s="5">
        <v>44980</v>
      </c>
      <c r="I422" s="5">
        <v>45006</v>
      </c>
      <c r="J422" t="s">
        <v>728</v>
      </c>
      <c r="K422" t="s">
        <v>268</v>
      </c>
      <c r="L422">
        <v>1</v>
      </c>
      <c r="M422" t="s">
        <v>729</v>
      </c>
      <c r="N422" t="s">
        <v>237</v>
      </c>
      <c r="O422">
        <v>1</v>
      </c>
      <c r="P422" s="6" t="str">
        <f>VLOOKUP(J422,'Store lookup'!A:C,2,0)</f>
        <v>HS2016</v>
      </c>
      <c r="Q422" s="6" t="str">
        <f>VLOOKUP(J422,'Store lookup'!A:C,3,0)</f>
        <v>Harris Scarfe Spencer Outlet</v>
      </c>
      <c r="R422" s="6" t="str">
        <f t="shared" si="6"/>
        <v>Harris Scarfe</v>
      </c>
      <c r="S422" s="6" t="str">
        <f>VLOOKUP(I422,'FIN CAL LOOKUP'!A:J,7,1)</f>
        <v>MAR, FY23</v>
      </c>
      <c r="T422" s="6" t="str">
        <f>VLOOKUP(I422,'FIN CAL LOOKUP'!A:J,10,1)</f>
        <v>Q3, FY23</v>
      </c>
    </row>
    <row r="423" spans="1:20" hidden="1" x14ac:dyDescent="0.25">
      <c r="A423">
        <v>215865</v>
      </c>
      <c r="B423" t="s">
        <v>764</v>
      </c>
      <c r="C423" t="s">
        <v>891</v>
      </c>
      <c r="D423" t="s">
        <v>263</v>
      </c>
      <c r="E423" t="s">
        <v>264</v>
      </c>
      <c r="F423" t="s">
        <v>749</v>
      </c>
      <c r="G423" t="s">
        <v>266</v>
      </c>
      <c r="H423" s="5">
        <v>44979</v>
      </c>
      <c r="I423" s="5">
        <v>45028</v>
      </c>
      <c r="J423" t="s">
        <v>750</v>
      </c>
      <c r="K423" t="s">
        <v>268</v>
      </c>
      <c r="L423">
        <v>1</v>
      </c>
      <c r="M423" t="s">
        <v>751</v>
      </c>
      <c r="N423" t="s">
        <v>237</v>
      </c>
      <c r="O423">
        <v>1</v>
      </c>
      <c r="P423" s="6" t="str">
        <f>VLOOKUP(J423,'Store lookup'!A:C,2,0)</f>
        <v>HS2027</v>
      </c>
      <c r="Q423" s="6" t="str">
        <f>VLOOKUP(J423,'Store lookup'!A:C,3,0)</f>
        <v>Harris Scarfe Airport West</v>
      </c>
      <c r="R423" s="6" t="str">
        <f t="shared" si="6"/>
        <v>Harris Scarfe</v>
      </c>
      <c r="S423" s="6" t="str">
        <f>VLOOKUP(I423,'FIN CAL LOOKUP'!A:J,7,1)</f>
        <v>APR, FY23</v>
      </c>
      <c r="T423" s="6" t="str">
        <f>VLOOKUP(I423,'FIN CAL LOOKUP'!A:J,10,1)</f>
        <v>Q4, FY23</v>
      </c>
    </row>
    <row r="424" spans="1:20" hidden="1" x14ac:dyDescent="0.25">
      <c r="A424">
        <v>231954</v>
      </c>
      <c r="B424" t="s">
        <v>810</v>
      </c>
      <c r="C424" t="s">
        <v>811</v>
      </c>
      <c r="D424" t="s">
        <v>272</v>
      </c>
      <c r="E424" t="s">
        <v>264</v>
      </c>
      <c r="F424" t="s">
        <v>749</v>
      </c>
      <c r="G424" t="s">
        <v>266</v>
      </c>
      <c r="H424" s="5">
        <v>44979</v>
      </c>
      <c r="I424" s="5">
        <v>45014</v>
      </c>
      <c r="J424" t="s">
        <v>750</v>
      </c>
      <c r="K424" t="s">
        <v>268</v>
      </c>
      <c r="L424">
        <v>1</v>
      </c>
      <c r="M424" t="s">
        <v>751</v>
      </c>
      <c r="N424" t="s">
        <v>237</v>
      </c>
      <c r="O424">
        <v>1</v>
      </c>
      <c r="P424" s="6" t="str">
        <f>VLOOKUP(J424,'Store lookup'!A:C,2,0)</f>
        <v>HS2027</v>
      </c>
      <c r="Q424" s="6" t="str">
        <f>VLOOKUP(J424,'Store lookup'!A:C,3,0)</f>
        <v>Harris Scarfe Airport West</v>
      </c>
      <c r="R424" s="6" t="str">
        <f t="shared" si="6"/>
        <v>Harris Scarfe</v>
      </c>
      <c r="S424" s="6" t="str">
        <f>VLOOKUP(I424,'FIN CAL LOOKUP'!A:J,7,1)</f>
        <v>APR, FY23</v>
      </c>
      <c r="T424" s="6" t="str">
        <f>VLOOKUP(I424,'FIN CAL LOOKUP'!A:J,10,1)</f>
        <v>Q4, FY23</v>
      </c>
    </row>
    <row r="425" spans="1:20" hidden="1" x14ac:dyDescent="0.25">
      <c r="A425">
        <v>236950</v>
      </c>
      <c r="B425" t="s">
        <v>892</v>
      </c>
      <c r="C425" t="s">
        <v>893</v>
      </c>
      <c r="D425" t="s">
        <v>278</v>
      </c>
      <c r="E425" t="s">
        <v>264</v>
      </c>
      <c r="F425" t="s">
        <v>727</v>
      </c>
      <c r="G425" t="s">
        <v>266</v>
      </c>
      <c r="H425" s="5">
        <v>44979</v>
      </c>
      <c r="I425" s="5">
        <v>45001</v>
      </c>
      <c r="J425" t="s">
        <v>728</v>
      </c>
      <c r="K425" t="s">
        <v>268</v>
      </c>
      <c r="L425">
        <v>1</v>
      </c>
      <c r="M425" t="s">
        <v>729</v>
      </c>
      <c r="N425" t="s">
        <v>237</v>
      </c>
      <c r="O425">
        <v>1</v>
      </c>
      <c r="P425" s="6" t="str">
        <f>VLOOKUP(J425,'Store lookup'!A:C,2,0)</f>
        <v>HS2016</v>
      </c>
      <c r="Q425" s="6" t="str">
        <f>VLOOKUP(J425,'Store lookup'!A:C,3,0)</f>
        <v>Harris Scarfe Spencer Outlet</v>
      </c>
      <c r="R425" s="6" t="str">
        <f t="shared" si="6"/>
        <v>Harris Scarfe</v>
      </c>
      <c r="S425" s="6" t="str">
        <f>VLOOKUP(I425,'FIN CAL LOOKUP'!A:J,7,1)</f>
        <v>MAR, FY23</v>
      </c>
      <c r="T425" s="6" t="str">
        <f>VLOOKUP(I425,'FIN CAL LOOKUP'!A:J,10,1)</f>
        <v>Q3, FY23</v>
      </c>
    </row>
    <row r="426" spans="1:20" hidden="1" x14ac:dyDescent="0.25">
      <c r="A426">
        <v>232850</v>
      </c>
      <c r="B426" t="s">
        <v>552</v>
      </c>
      <c r="C426" t="s">
        <v>742</v>
      </c>
      <c r="D426" t="s">
        <v>263</v>
      </c>
      <c r="E426" t="s">
        <v>264</v>
      </c>
      <c r="F426" t="s">
        <v>727</v>
      </c>
      <c r="G426" t="s">
        <v>266</v>
      </c>
      <c r="H426" s="5">
        <v>44979</v>
      </c>
      <c r="I426" s="5">
        <v>44993</v>
      </c>
      <c r="J426" t="s">
        <v>728</v>
      </c>
      <c r="K426" t="s">
        <v>268</v>
      </c>
      <c r="L426">
        <v>2</v>
      </c>
      <c r="M426" t="s">
        <v>729</v>
      </c>
      <c r="N426" t="s">
        <v>237</v>
      </c>
      <c r="O426">
        <v>0</v>
      </c>
      <c r="P426" s="6" t="str">
        <f>VLOOKUP(J426,'Store lookup'!A:C,2,0)</f>
        <v>HS2016</v>
      </c>
      <c r="Q426" s="6" t="str">
        <f>VLOOKUP(J426,'Store lookup'!A:C,3,0)</f>
        <v>Harris Scarfe Spencer Outlet</v>
      </c>
      <c r="R426" s="6" t="str">
        <f t="shared" si="6"/>
        <v>Harris Scarfe</v>
      </c>
      <c r="S426" s="6" t="str">
        <f>VLOOKUP(I426,'FIN CAL LOOKUP'!A:J,7,1)</f>
        <v>MAR, FY23</v>
      </c>
      <c r="T426" s="6" t="str">
        <f>VLOOKUP(I426,'FIN CAL LOOKUP'!A:J,10,1)</f>
        <v>Q3, FY23</v>
      </c>
    </row>
    <row r="427" spans="1:20" hidden="1" x14ac:dyDescent="0.25">
      <c r="A427">
        <v>238720</v>
      </c>
      <c r="B427" t="s">
        <v>743</v>
      </c>
      <c r="C427" t="s">
        <v>744</v>
      </c>
      <c r="D427" t="s">
        <v>263</v>
      </c>
      <c r="E427" t="s">
        <v>264</v>
      </c>
      <c r="F427" t="s">
        <v>727</v>
      </c>
      <c r="G427" t="s">
        <v>266</v>
      </c>
      <c r="H427" s="5">
        <v>44979</v>
      </c>
      <c r="I427" s="5">
        <v>44993</v>
      </c>
      <c r="J427" t="s">
        <v>728</v>
      </c>
      <c r="K427" t="s">
        <v>268</v>
      </c>
      <c r="L427">
        <v>2</v>
      </c>
      <c r="M427" t="s">
        <v>729</v>
      </c>
      <c r="N427" t="s">
        <v>237</v>
      </c>
      <c r="O427">
        <v>0</v>
      </c>
      <c r="P427" s="6" t="str">
        <f>VLOOKUP(J427,'Store lookup'!A:C,2,0)</f>
        <v>HS2016</v>
      </c>
      <c r="Q427" s="6" t="str">
        <f>VLOOKUP(J427,'Store lookup'!A:C,3,0)</f>
        <v>Harris Scarfe Spencer Outlet</v>
      </c>
      <c r="R427" s="6" t="str">
        <f t="shared" si="6"/>
        <v>Harris Scarfe</v>
      </c>
      <c r="S427" s="6" t="str">
        <f>VLOOKUP(I427,'FIN CAL LOOKUP'!A:J,7,1)</f>
        <v>MAR, FY23</v>
      </c>
      <c r="T427" s="6" t="str">
        <f>VLOOKUP(I427,'FIN CAL LOOKUP'!A:J,10,1)</f>
        <v>Q3, FY23</v>
      </c>
    </row>
    <row r="428" spans="1:20" hidden="1" x14ac:dyDescent="0.25">
      <c r="A428">
        <v>323469</v>
      </c>
      <c r="B428" t="s">
        <v>793</v>
      </c>
      <c r="C428" t="s">
        <v>794</v>
      </c>
      <c r="D428" t="s">
        <v>272</v>
      </c>
      <c r="E428" t="s">
        <v>264</v>
      </c>
      <c r="F428" t="s">
        <v>801</v>
      </c>
      <c r="G428" t="s">
        <v>266</v>
      </c>
      <c r="H428" s="5">
        <v>44979</v>
      </c>
      <c r="I428" s="5">
        <v>44988</v>
      </c>
      <c r="J428" t="s">
        <v>802</v>
      </c>
      <c r="K428" t="s">
        <v>268</v>
      </c>
      <c r="L428">
        <v>1</v>
      </c>
      <c r="M428" t="s">
        <v>355</v>
      </c>
      <c r="N428" t="s">
        <v>237</v>
      </c>
      <c r="O428">
        <v>1</v>
      </c>
      <c r="P428" s="6" t="str">
        <f>VLOOKUP(J428,'Store lookup'!A:C,2,0)</f>
        <v>HS2039</v>
      </c>
      <c r="Q428" s="6" t="str">
        <f>VLOOKUP(J428,'Store lookup'!A:C,3,0)</f>
        <v>Harris Scarfe Fountain Gate</v>
      </c>
      <c r="R428" s="6" t="str">
        <f t="shared" si="6"/>
        <v>Harris Scarfe</v>
      </c>
      <c r="S428" s="6" t="str">
        <f>VLOOKUP(I428,'FIN CAL LOOKUP'!A:J,7,1)</f>
        <v>MAR, FY23</v>
      </c>
      <c r="T428" s="6" t="str">
        <f>VLOOKUP(I428,'FIN CAL LOOKUP'!A:J,10,1)</f>
        <v>Q3, FY23</v>
      </c>
    </row>
    <row r="429" spans="1:20" hidden="1" x14ac:dyDescent="0.25">
      <c r="A429">
        <v>302489</v>
      </c>
      <c r="B429" t="s">
        <v>635</v>
      </c>
      <c r="C429" t="s">
        <v>636</v>
      </c>
      <c r="D429" t="s">
        <v>278</v>
      </c>
      <c r="E429" t="s">
        <v>264</v>
      </c>
      <c r="F429" t="s">
        <v>786</v>
      </c>
      <c r="G429" t="s">
        <v>266</v>
      </c>
      <c r="H429" s="5">
        <v>44978</v>
      </c>
      <c r="I429" s="5">
        <v>45134</v>
      </c>
      <c r="J429" t="s">
        <v>787</v>
      </c>
      <c r="K429" t="s">
        <v>268</v>
      </c>
      <c r="L429">
        <v>1</v>
      </c>
      <c r="M429" t="s">
        <v>788</v>
      </c>
      <c r="N429" t="s">
        <v>237</v>
      </c>
      <c r="O429">
        <v>1</v>
      </c>
      <c r="P429" s="6" t="str">
        <f>VLOOKUP(J429,'Store lookup'!A:C,2,0)</f>
        <v>HS2020</v>
      </c>
      <c r="Q429" s="6" t="str">
        <f>VLOOKUP(J429,'Store lookup'!A:C,3,0)</f>
        <v>Harris Scarfe Forest Hill</v>
      </c>
      <c r="R429" s="6" t="str">
        <f t="shared" si="6"/>
        <v>Harris Scarfe</v>
      </c>
      <c r="S429" s="6" t="str">
        <f>VLOOKUP(I429,'FIN CAL LOOKUP'!A:J,7,1)</f>
        <v>AUG, FY24</v>
      </c>
      <c r="T429" s="6" t="str">
        <f>VLOOKUP(I429,'FIN CAL LOOKUP'!A:J,10,1)</f>
        <v>Q1, FY24</v>
      </c>
    </row>
    <row r="430" spans="1:20" hidden="1" x14ac:dyDescent="0.25">
      <c r="A430">
        <v>325608</v>
      </c>
      <c r="B430" t="s">
        <v>730</v>
      </c>
      <c r="C430" t="s">
        <v>731</v>
      </c>
      <c r="D430" t="s">
        <v>263</v>
      </c>
      <c r="E430" t="s">
        <v>264</v>
      </c>
      <c r="F430" t="s">
        <v>812</v>
      </c>
      <c r="G430" t="s">
        <v>266</v>
      </c>
      <c r="H430" s="5">
        <v>44978</v>
      </c>
      <c r="I430" s="5">
        <v>45118</v>
      </c>
      <c r="J430" t="s">
        <v>813</v>
      </c>
      <c r="K430" t="s">
        <v>268</v>
      </c>
      <c r="L430">
        <v>1</v>
      </c>
      <c r="M430" t="s">
        <v>814</v>
      </c>
      <c r="N430" t="s">
        <v>237</v>
      </c>
      <c r="O430">
        <v>1</v>
      </c>
      <c r="P430" s="6" t="str">
        <f>VLOOKUP(J430,'Store lookup'!A:C,2,0)</f>
        <v>HS2025</v>
      </c>
      <c r="Q430" s="6" t="str">
        <f>VLOOKUP(J430,'Store lookup'!A:C,3,0)</f>
        <v>Harris Scarfe Southland</v>
      </c>
      <c r="R430" s="6" t="str">
        <f t="shared" si="6"/>
        <v>Harris Scarfe</v>
      </c>
      <c r="S430" s="6" t="str">
        <f>VLOOKUP(I430,'FIN CAL LOOKUP'!A:J,7,1)</f>
        <v>JUL, FY24</v>
      </c>
      <c r="T430" s="6" t="str">
        <f>VLOOKUP(I430,'FIN CAL LOOKUP'!A:J,10,1)</f>
        <v>Q1, FY24</v>
      </c>
    </row>
    <row r="431" spans="1:20" hidden="1" x14ac:dyDescent="0.25">
      <c r="A431">
        <v>314764</v>
      </c>
      <c r="B431" t="s">
        <v>894</v>
      </c>
      <c r="C431" t="s">
        <v>895</v>
      </c>
      <c r="D431" t="s">
        <v>272</v>
      </c>
      <c r="E431" t="s">
        <v>264</v>
      </c>
      <c r="F431" t="s">
        <v>749</v>
      </c>
      <c r="G431" t="s">
        <v>266</v>
      </c>
      <c r="H431" s="5">
        <v>44978</v>
      </c>
      <c r="I431" s="5">
        <v>45099</v>
      </c>
      <c r="J431" t="s">
        <v>750</v>
      </c>
      <c r="K431" t="s">
        <v>268</v>
      </c>
      <c r="L431">
        <v>1</v>
      </c>
      <c r="M431" t="s">
        <v>751</v>
      </c>
      <c r="N431" t="s">
        <v>237</v>
      </c>
      <c r="O431">
        <v>1</v>
      </c>
      <c r="P431" s="6" t="str">
        <f>VLOOKUP(J431,'Store lookup'!A:C,2,0)</f>
        <v>HS2027</v>
      </c>
      <c r="Q431" s="6" t="str">
        <f>VLOOKUP(J431,'Store lookup'!A:C,3,0)</f>
        <v>Harris Scarfe Airport West</v>
      </c>
      <c r="R431" s="6" t="str">
        <f t="shared" si="6"/>
        <v>Harris Scarfe</v>
      </c>
      <c r="S431" s="6" t="str">
        <f>VLOOKUP(I431,'FIN CAL LOOKUP'!A:J,7,1)</f>
        <v>JUN, FY23</v>
      </c>
      <c r="T431" s="6" t="str">
        <f>VLOOKUP(I431,'FIN CAL LOOKUP'!A:J,10,1)</f>
        <v>Q4, FY23</v>
      </c>
    </row>
    <row r="432" spans="1:20" hidden="1" x14ac:dyDescent="0.25">
      <c r="A432">
        <v>240963</v>
      </c>
      <c r="B432" t="s">
        <v>896</v>
      </c>
      <c r="C432" t="s">
        <v>897</v>
      </c>
      <c r="D432" t="s">
        <v>272</v>
      </c>
      <c r="E432" t="s">
        <v>264</v>
      </c>
      <c r="F432" t="s">
        <v>812</v>
      </c>
      <c r="G432" t="s">
        <v>266</v>
      </c>
      <c r="H432" s="5">
        <v>44978</v>
      </c>
      <c r="I432" s="5">
        <v>45086</v>
      </c>
      <c r="J432" t="s">
        <v>813</v>
      </c>
      <c r="K432" t="s">
        <v>268</v>
      </c>
      <c r="L432">
        <v>1</v>
      </c>
      <c r="M432" t="s">
        <v>814</v>
      </c>
      <c r="N432" t="s">
        <v>237</v>
      </c>
      <c r="O432">
        <v>1</v>
      </c>
      <c r="P432" s="6" t="str">
        <f>VLOOKUP(J432,'Store lookup'!A:C,2,0)</f>
        <v>HS2025</v>
      </c>
      <c r="Q432" s="6" t="str">
        <f>VLOOKUP(J432,'Store lookup'!A:C,3,0)</f>
        <v>Harris Scarfe Southland</v>
      </c>
      <c r="R432" s="6" t="str">
        <f t="shared" si="6"/>
        <v>Harris Scarfe</v>
      </c>
      <c r="S432" s="6" t="str">
        <f>VLOOKUP(I432,'FIN CAL LOOKUP'!A:J,7,1)</f>
        <v>JUN, FY23</v>
      </c>
      <c r="T432" s="6" t="str">
        <f>VLOOKUP(I432,'FIN CAL LOOKUP'!A:J,10,1)</f>
        <v>Q4, FY23</v>
      </c>
    </row>
    <row r="433" spans="1:20" hidden="1" x14ac:dyDescent="0.25">
      <c r="A433">
        <v>323017</v>
      </c>
      <c r="B433" t="s">
        <v>795</v>
      </c>
      <c r="C433" t="s">
        <v>796</v>
      </c>
      <c r="D433" t="s">
        <v>278</v>
      </c>
      <c r="E433" t="s">
        <v>264</v>
      </c>
      <c r="F433" t="s">
        <v>768</v>
      </c>
      <c r="G433" t="s">
        <v>266</v>
      </c>
      <c r="H433" s="5">
        <v>44978</v>
      </c>
      <c r="I433" s="5">
        <v>45071</v>
      </c>
      <c r="J433" t="s">
        <v>769</v>
      </c>
      <c r="K433" t="s">
        <v>268</v>
      </c>
      <c r="L433">
        <v>1</v>
      </c>
      <c r="M433" t="s">
        <v>770</v>
      </c>
      <c r="N433" t="s">
        <v>237</v>
      </c>
      <c r="O433">
        <v>1</v>
      </c>
      <c r="P433" s="6" t="str">
        <f>VLOOKUP(J433,'Store lookup'!A:C,2,0)</f>
        <v>HS2017</v>
      </c>
      <c r="Q433" s="6" t="str">
        <f>VLOOKUP(J433,'Store lookup'!A:C,3,0)</f>
        <v>Harris Scarfe Woodgrove</v>
      </c>
      <c r="R433" s="6" t="str">
        <f t="shared" si="6"/>
        <v>Harris Scarfe</v>
      </c>
      <c r="S433" s="6" t="str">
        <f>VLOOKUP(I433,'FIN CAL LOOKUP'!A:J,7,1)</f>
        <v>MAY, FY23</v>
      </c>
      <c r="T433" s="6" t="str">
        <f>VLOOKUP(I433,'FIN CAL LOOKUP'!A:J,10,1)</f>
        <v>Q4, FY23</v>
      </c>
    </row>
    <row r="434" spans="1:20" hidden="1" x14ac:dyDescent="0.25">
      <c r="A434">
        <v>310753</v>
      </c>
      <c r="B434" t="s">
        <v>898</v>
      </c>
      <c r="C434" t="s">
        <v>899</v>
      </c>
      <c r="D434" t="s">
        <v>272</v>
      </c>
      <c r="E434" t="s">
        <v>264</v>
      </c>
      <c r="F434" t="s">
        <v>900</v>
      </c>
      <c r="G434" t="s">
        <v>266</v>
      </c>
      <c r="H434" s="5">
        <v>44978</v>
      </c>
      <c r="I434" s="5">
        <v>45051</v>
      </c>
      <c r="J434" t="s">
        <v>901</v>
      </c>
      <c r="K434" t="s">
        <v>268</v>
      </c>
      <c r="L434">
        <v>1</v>
      </c>
      <c r="N434" t="s">
        <v>237</v>
      </c>
      <c r="O434">
        <v>1</v>
      </c>
      <c r="P434" s="6" t="str">
        <f>VLOOKUP(J434,'Store lookup'!A:C,2,0)</f>
        <v>HS9087</v>
      </c>
      <c r="Q434" s="6" t="str">
        <f>VLOOKUP(J434,'Store lookup'!A:C,3,0)</f>
        <v>Harris Scarfe Loganholme</v>
      </c>
      <c r="R434" s="6" t="str">
        <f t="shared" si="6"/>
        <v>Harris Scarfe</v>
      </c>
      <c r="S434" s="6" t="str">
        <f>VLOOKUP(I434,'FIN CAL LOOKUP'!A:J,7,1)</f>
        <v>MAY, FY23</v>
      </c>
      <c r="T434" s="6" t="str">
        <f>VLOOKUP(I434,'FIN CAL LOOKUP'!A:J,10,1)</f>
        <v>Q4, FY23</v>
      </c>
    </row>
    <row r="435" spans="1:20" hidden="1" x14ac:dyDescent="0.25">
      <c r="A435">
        <v>326005</v>
      </c>
      <c r="B435" t="s">
        <v>902</v>
      </c>
      <c r="C435" t="s">
        <v>903</v>
      </c>
      <c r="D435" t="s">
        <v>272</v>
      </c>
      <c r="E435" t="s">
        <v>264</v>
      </c>
      <c r="F435" t="s">
        <v>749</v>
      </c>
      <c r="G435" t="s">
        <v>266</v>
      </c>
      <c r="H435" s="5">
        <v>44978</v>
      </c>
      <c r="I435" s="5">
        <v>45050</v>
      </c>
      <c r="J435" t="s">
        <v>750</v>
      </c>
      <c r="K435" t="s">
        <v>268</v>
      </c>
      <c r="L435">
        <v>1</v>
      </c>
      <c r="M435" t="s">
        <v>751</v>
      </c>
      <c r="N435" t="s">
        <v>237</v>
      </c>
      <c r="O435">
        <v>1</v>
      </c>
      <c r="P435" s="6" t="str">
        <f>VLOOKUP(J435,'Store lookup'!A:C,2,0)</f>
        <v>HS2027</v>
      </c>
      <c r="Q435" s="6" t="str">
        <f>VLOOKUP(J435,'Store lookup'!A:C,3,0)</f>
        <v>Harris Scarfe Airport West</v>
      </c>
      <c r="R435" s="6" t="str">
        <f t="shared" si="6"/>
        <v>Harris Scarfe</v>
      </c>
      <c r="S435" s="6" t="str">
        <f>VLOOKUP(I435,'FIN CAL LOOKUP'!A:J,7,1)</f>
        <v>MAY, FY23</v>
      </c>
      <c r="T435" s="6" t="str">
        <f>VLOOKUP(I435,'FIN CAL LOOKUP'!A:J,10,1)</f>
        <v>Q4, FY23</v>
      </c>
    </row>
    <row r="436" spans="1:20" hidden="1" x14ac:dyDescent="0.25">
      <c r="A436">
        <v>311114</v>
      </c>
      <c r="B436" t="s">
        <v>550</v>
      </c>
      <c r="C436" t="s">
        <v>551</v>
      </c>
      <c r="D436" t="s">
        <v>278</v>
      </c>
      <c r="E436" t="s">
        <v>264</v>
      </c>
      <c r="F436" t="s">
        <v>768</v>
      </c>
      <c r="G436" t="s">
        <v>266</v>
      </c>
      <c r="H436" s="5">
        <v>44978</v>
      </c>
      <c r="I436" s="5">
        <v>45042</v>
      </c>
      <c r="J436" t="s">
        <v>769</v>
      </c>
      <c r="K436" t="s">
        <v>268</v>
      </c>
      <c r="L436">
        <v>1</v>
      </c>
      <c r="M436" t="s">
        <v>770</v>
      </c>
      <c r="N436" t="s">
        <v>237</v>
      </c>
      <c r="O436">
        <v>1</v>
      </c>
      <c r="P436" s="6" t="str">
        <f>VLOOKUP(J436,'Store lookup'!A:C,2,0)</f>
        <v>HS2017</v>
      </c>
      <c r="Q436" s="6" t="str">
        <f>VLOOKUP(J436,'Store lookup'!A:C,3,0)</f>
        <v>Harris Scarfe Woodgrove</v>
      </c>
      <c r="R436" s="6" t="str">
        <f t="shared" si="6"/>
        <v>Harris Scarfe</v>
      </c>
      <c r="S436" s="6" t="str">
        <f>VLOOKUP(I436,'FIN CAL LOOKUP'!A:J,7,1)</f>
        <v>MAY, FY23</v>
      </c>
      <c r="T436" s="6" t="str">
        <f>VLOOKUP(I436,'FIN CAL LOOKUP'!A:J,10,1)</f>
        <v>Q4, FY23</v>
      </c>
    </row>
    <row r="437" spans="1:20" hidden="1" x14ac:dyDescent="0.25">
      <c r="A437">
        <v>203902</v>
      </c>
      <c r="B437" t="s">
        <v>319</v>
      </c>
      <c r="C437" t="s">
        <v>320</v>
      </c>
      <c r="D437" t="s">
        <v>278</v>
      </c>
      <c r="E437" t="s">
        <v>264</v>
      </c>
      <c r="F437" t="s">
        <v>727</v>
      </c>
      <c r="G437" t="s">
        <v>266</v>
      </c>
      <c r="H437" s="5">
        <v>44978</v>
      </c>
      <c r="I437" s="5">
        <v>45013</v>
      </c>
      <c r="J437" t="s">
        <v>728</v>
      </c>
      <c r="K437" t="s">
        <v>268</v>
      </c>
      <c r="L437">
        <v>1</v>
      </c>
      <c r="M437" t="s">
        <v>729</v>
      </c>
      <c r="N437" t="s">
        <v>237</v>
      </c>
      <c r="O437">
        <v>1</v>
      </c>
      <c r="P437" s="6" t="str">
        <f>VLOOKUP(J437,'Store lookup'!A:C,2,0)</f>
        <v>HS2016</v>
      </c>
      <c r="Q437" s="6" t="str">
        <f>VLOOKUP(J437,'Store lookup'!A:C,3,0)</f>
        <v>Harris Scarfe Spencer Outlet</v>
      </c>
      <c r="R437" s="6" t="str">
        <f t="shared" si="6"/>
        <v>Harris Scarfe</v>
      </c>
      <c r="S437" s="6" t="str">
        <f>VLOOKUP(I437,'FIN CAL LOOKUP'!A:J,7,1)</f>
        <v>APR, FY23</v>
      </c>
      <c r="T437" s="6" t="str">
        <f>VLOOKUP(I437,'FIN CAL LOOKUP'!A:J,10,1)</f>
        <v>Q4, FY23</v>
      </c>
    </row>
    <row r="438" spans="1:20" hidden="1" x14ac:dyDescent="0.25">
      <c r="A438">
        <v>324195</v>
      </c>
      <c r="B438" t="s">
        <v>637</v>
      </c>
      <c r="C438" t="s">
        <v>638</v>
      </c>
      <c r="D438" t="s">
        <v>272</v>
      </c>
      <c r="E438" t="s">
        <v>264</v>
      </c>
      <c r="F438" t="s">
        <v>771</v>
      </c>
      <c r="G438" t="s">
        <v>266</v>
      </c>
      <c r="H438" s="5">
        <v>44978</v>
      </c>
      <c r="I438" s="5">
        <v>45007</v>
      </c>
      <c r="J438" t="s">
        <v>772</v>
      </c>
      <c r="K438" t="s">
        <v>268</v>
      </c>
      <c r="L438">
        <v>1</v>
      </c>
      <c r="M438" t="s">
        <v>773</v>
      </c>
      <c r="N438" t="s">
        <v>237</v>
      </c>
      <c r="O438">
        <v>1</v>
      </c>
      <c r="P438" s="6" t="str">
        <f>VLOOKUP(J438,'Store lookup'!A:C,2,0)</f>
        <v>HS2048</v>
      </c>
      <c r="Q438" s="6" t="str">
        <f>VLOOKUP(J438,'Store lookup'!A:C,3,0)</f>
        <v>Harris Scarfe Tarneit</v>
      </c>
      <c r="R438" s="6" t="str">
        <f t="shared" si="6"/>
        <v>Harris Scarfe</v>
      </c>
      <c r="S438" s="6" t="str">
        <f>VLOOKUP(I438,'FIN CAL LOOKUP'!A:J,7,1)</f>
        <v>MAR, FY23</v>
      </c>
      <c r="T438" s="6" t="str">
        <f>VLOOKUP(I438,'FIN CAL LOOKUP'!A:J,10,1)</f>
        <v>Q3, FY23</v>
      </c>
    </row>
    <row r="439" spans="1:20" hidden="1" x14ac:dyDescent="0.25">
      <c r="A439">
        <v>239383</v>
      </c>
      <c r="B439" t="s">
        <v>904</v>
      </c>
      <c r="C439" t="s">
        <v>905</v>
      </c>
      <c r="D439" t="s">
        <v>284</v>
      </c>
      <c r="E439" t="s">
        <v>264</v>
      </c>
      <c r="F439" t="s">
        <v>727</v>
      </c>
      <c r="G439" t="s">
        <v>266</v>
      </c>
      <c r="H439" s="5">
        <v>44978</v>
      </c>
      <c r="I439" s="5">
        <v>44999</v>
      </c>
      <c r="J439" t="s">
        <v>728</v>
      </c>
      <c r="K439" t="s">
        <v>268</v>
      </c>
      <c r="L439">
        <v>1</v>
      </c>
      <c r="M439" t="s">
        <v>729</v>
      </c>
      <c r="N439" t="s">
        <v>237</v>
      </c>
      <c r="O439">
        <v>1</v>
      </c>
      <c r="P439" s="6" t="str">
        <f>VLOOKUP(J439,'Store lookup'!A:C,2,0)</f>
        <v>HS2016</v>
      </c>
      <c r="Q439" s="6" t="str">
        <f>VLOOKUP(J439,'Store lookup'!A:C,3,0)</f>
        <v>Harris Scarfe Spencer Outlet</v>
      </c>
      <c r="R439" s="6" t="str">
        <f t="shared" si="6"/>
        <v>Harris Scarfe</v>
      </c>
      <c r="S439" s="6" t="str">
        <f>VLOOKUP(I439,'FIN CAL LOOKUP'!A:J,7,1)</f>
        <v>MAR, FY23</v>
      </c>
      <c r="T439" s="6" t="str">
        <f>VLOOKUP(I439,'FIN CAL LOOKUP'!A:J,10,1)</f>
        <v>Q3, FY23</v>
      </c>
    </row>
    <row r="440" spans="1:20" hidden="1" x14ac:dyDescent="0.25">
      <c r="A440">
        <v>324114</v>
      </c>
      <c r="B440" t="s">
        <v>511</v>
      </c>
      <c r="C440" t="s">
        <v>512</v>
      </c>
      <c r="D440" t="s">
        <v>284</v>
      </c>
      <c r="E440" t="s">
        <v>264</v>
      </c>
      <c r="F440" t="s">
        <v>801</v>
      </c>
      <c r="G440" t="s">
        <v>266</v>
      </c>
      <c r="H440" s="5">
        <v>44978</v>
      </c>
      <c r="I440" s="5">
        <v>44994</v>
      </c>
      <c r="J440" t="s">
        <v>802</v>
      </c>
      <c r="K440" t="s">
        <v>268</v>
      </c>
      <c r="L440">
        <v>2</v>
      </c>
      <c r="M440" t="s">
        <v>355</v>
      </c>
      <c r="N440" t="s">
        <v>237</v>
      </c>
      <c r="O440">
        <v>0</v>
      </c>
      <c r="P440" s="6" t="str">
        <f>VLOOKUP(J440,'Store lookup'!A:C,2,0)</f>
        <v>HS2039</v>
      </c>
      <c r="Q440" s="6" t="str">
        <f>VLOOKUP(J440,'Store lookup'!A:C,3,0)</f>
        <v>Harris Scarfe Fountain Gate</v>
      </c>
      <c r="R440" s="6" t="str">
        <f t="shared" si="6"/>
        <v>Harris Scarfe</v>
      </c>
      <c r="S440" s="6" t="str">
        <f>VLOOKUP(I440,'FIN CAL LOOKUP'!A:J,7,1)</f>
        <v>MAR, FY23</v>
      </c>
      <c r="T440" s="6" t="str">
        <f>VLOOKUP(I440,'FIN CAL LOOKUP'!A:J,10,1)</f>
        <v>Q3, FY23</v>
      </c>
    </row>
    <row r="441" spans="1:20" hidden="1" x14ac:dyDescent="0.25">
      <c r="A441">
        <v>305365</v>
      </c>
      <c r="B441" t="s">
        <v>536</v>
      </c>
      <c r="C441" t="s">
        <v>537</v>
      </c>
      <c r="D441" t="s">
        <v>272</v>
      </c>
      <c r="E441" t="s">
        <v>264</v>
      </c>
      <c r="F441" t="s">
        <v>757</v>
      </c>
      <c r="G441" t="s">
        <v>266</v>
      </c>
      <c r="H441" s="5">
        <v>44977</v>
      </c>
      <c r="I441" s="5">
        <v>45035</v>
      </c>
      <c r="J441" t="s">
        <v>758</v>
      </c>
      <c r="K441" t="s">
        <v>268</v>
      </c>
      <c r="L441">
        <v>1</v>
      </c>
      <c r="M441" t="s">
        <v>318</v>
      </c>
      <c r="N441" t="s">
        <v>237</v>
      </c>
      <c r="O441">
        <v>1</v>
      </c>
      <c r="P441" s="6" t="str">
        <f>VLOOKUP(J441,'Store lookup'!A:C,2,0)</f>
        <v>HS2023</v>
      </c>
      <c r="Q441" s="6" t="str">
        <f>VLOOKUP(J441,'Store lookup'!A:C,3,0)</f>
        <v>Harris Scarfe Epping</v>
      </c>
      <c r="R441" s="6" t="str">
        <f t="shared" si="6"/>
        <v>Harris Scarfe</v>
      </c>
      <c r="S441" s="6" t="str">
        <f>VLOOKUP(I441,'FIN CAL LOOKUP'!A:J,7,1)</f>
        <v>APR, FY23</v>
      </c>
      <c r="T441" s="6" t="str">
        <f>VLOOKUP(I441,'FIN CAL LOOKUP'!A:J,10,1)</f>
        <v>Q4, FY23</v>
      </c>
    </row>
    <row r="442" spans="1:20" hidden="1" x14ac:dyDescent="0.25">
      <c r="A442">
        <v>229776</v>
      </c>
      <c r="B442" t="s">
        <v>555</v>
      </c>
      <c r="C442" t="s">
        <v>556</v>
      </c>
      <c r="D442" t="s">
        <v>278</v>
      </c>
      <c r="E442" t="s">
        <v>264</v>
      </c>
      <c r="F442" t="s">
        <v>786</v>
      </c>
      <c r="G442" t="s">
        <v>266</v>
      </c>
      <c r="H442" s="5">
        <v>44974</v>
      </c>
      <c r="I442" s="5">
        <v>44980</v>
      </c>
      <c r="J442" t="s">
        <v>787</v>
      </c>
      <c r="K442" t="s">
        <v>268</v>
      </c>
      <c r="L442">
        <v>2</v>
      </c>
      <c r="M442" t="s">
        <v>788</v>
      </c>
      <c r="N442" t="s">
        <v>237</v>
      </c>
      <c r="O442">
        <v>0</v>
      </c>
      <c r="P442" s="6" t="str">
        <f>VLOOKUP(J442,'Store lookup'!A:C,2,0)</f>
        <v>HS2020</v>
      </c>
      <c r="Q442" s="6" t="str">
        <f>VLOOKUP(J442,'Store lookup'!A:C,3,0)</f>
        <v>Harris Scarfe Forest Hill</v>
      </c>
      <c r="R442" s="6" t="str">
        <f t="shared" si="6"/>
        <v>Harris Scarfe</v>
      </c>
      <c r="S442" s="6" t="str">
        <f>VLOOKUP(I442,'FIN CAL LOOKUP'!A:J,7,1)</f>
        <v>FEB, FY23</v>
      </c>
      <c r="T442" s="6" t="str">
        <f>VLOOKUP(I442,'FIN CAL LOOKUP'!A:J,10,1)</f>
        <v>Q3, FY23</v>
      </c>
    </row>
    <row r="443" spans="1:20" hidden="1" x14ac:dyDescent="0.25">
      <c r="A443">
        <v>316845</v>
      </c>
      <c r="B443" t="s">
        <v>379</v>
      </c>
      <c r="C443" t="s">
        <v>569</v>
      </c>
      <c r="D443" t="s">
        <v>278</v>
      </c>
      <c r="E443" t="s">
        <v>264</v>
      </c>
      <c r="F443" t="s">
        <v>801</v>
      </c>
      <c r="G443" t="s">
        <v>266</v>
      </c>
      <c r="H443" s="5">
        <v>44970</v>
      </c>
      <c r="I443" s="5">
        <v>45002</v>
      </c>
      <c r="J443" t="s">
        <v>802</v>
      </c>
      <c r="K443" t="s">
        <v>268</v>
      </c>
      <c r="L443">
        <v>1</v>
      </c>
      <c r="M443" t="s">
        <v>355</v>
      </c>
      <c r="N443" t="s">
        <v>237</v>
      </c>
      <c r="O443">
        <v>1</v>
      </c>
      <c r="P443" s="6" t="str">
        <f>VLOOKUP(J443,'Store lookup'!A:C,2,0)</f>
        <v>HS2039</v>
      </c>
      <c r="Q443" s="6" t="str">
        <f>VLOOKUP(J443,'Store lookup'!A:C,3,0)</f>
        <v>Harris Scarfe Fountain Gate</v>
      </c>
      <c r="R443" s="6" t="str">
        <f t="shared" si="6"/>
        <v>Harris Scarfe</v>
      </c>
      <c r="S443" s="6" t="str">
        <f>VLOOKUP(I443,'FIN CAL LOOKUP'!A:J,7,1)</f>
        <v>MAR, FY23</v>
      </c>
      <c r="T443" s="6" t="str">
        <f>VLOOKUP(I443,'FIN CAL LOOKUP'!A:J,10,1)</f>
        <v>Q3, FY23</v>
      </c>
    </row>
    <row r="444" spans="1:20" hidden="1" x14ac:dyDescent="0.25">
      <c r="A444">
        <v>324262</v>
      </c>
      <c r="B444" t="s">
        <v>906</v>
      </c>
      <c r="C444" t="s">
        <v>907</v>
      </c>
      <c r="D444" t="s">
        <v>278</v>
      </c>
      <c r="E444" t="s">
        <v>264</v>
      </c>
      <c r="F444" t="s">
        <v>867</v>
      </c>
      <c r="G444" t="s">
        <v>266</v>
      </c>
      <c r="H444" s="5">
        <v>44965</v>
      </c>
      <c r="I444" s="5">
        <v>44998</v>
      </c>
      <c r="J444" t="s">
        <v>868</v>
      </c>
      <c r="K444" t="s">
        <v>268</v>
      </c>
      <c r="L444">
        <v>2</v>
      </c>
      <c r="M444" t="s">
        <v>869</v>
      </c>
      <c r="N444" t="s">
        <v>237</v>
      </c>
      <c r="O444">
        <v>0</v>
      </c>
      <c r="P444" s="6" t="str">
        <f>VLOOKUP(J444,'Store lookup'!A:C,2,0)</f>
        <v>HS5054</v>
      </c>
      <c r="Q444" s="6" t="str">
        <f>VLOOKUP(J444,'Store lookup'!A:C,3,0)</f>
        <v>Harris Scarfe Blacktown</v>
      </c>
      <c r="R444" s="6" t="str">
        <f t="shared" si="6"/>
        <v>Harris Scarfe</v>
      </c>
      <c r="S444" s="6" t="str">
        <f>VLOOKUP(I444,'FIN CAL LOOKUP'!A:J,7,1)</f>
        <v>MAR, FY23</v>
      </c>
      <c r="T444" s="6" t="str">
        <f>VLOOKUP(I444,'FIN CAL LOOKUP'!A:J,10,1)</f>
        <v>Q3, FY23</v>
      </c>
    </row>
    <row r="445" spans="1:20" hidden="1" x14ac:dyDescent="0.25">
      <c r="A445">
        <v>240922</v>
      </c>
      <c r="B445" t="s">
        <v>908</v>
      </c>
      <c r="C445" t="s">
        <v>909</v>
      </c>
      <c r="D445" t="s">
        <v>278</v>
      </c>
      <c r="E445" t="s">
        <v>264</v>
      </c>
      <c r="F445" t="s">
        <v>812</v>
      </c>
      <c r="G445" t="s">
        <v>266</v>
      </c>
      <c r="H445" s="5">
        <v>44960</v>
      </c>
      <c r="I445" s="5">
        <v>44994</v>
      </c>
      <c r="J445" t="s">
        <v>813</v>
      </c>
      <c r="K445" t="s">
        <v>268</v>
      </c>
      <c r="L445">
        <v>1</v>
      </c>
      <c r="M445" t="s">
        <v>814</v>
      </c>
      <c r="N445" t="s">
        <v>237</v>
      </c>
      <c r="O445">
        <v>1</v>
      </c>
      <c r="P445" s="6" t="str">
        <f>VLOOKUP(J445,'Store lookup'!A:C,2,0)</f>
        <v>HS2025</v>
      </c>
      <c r="Q445" s="6" t="str">
        <f>VLOOKUP(J445,'Store lookup'!A:C,3,0)</f>
        <v>Harris Scarfe Southland</v>
      </c>
      <c r="R445" s="6" t="str">
        <f t="shared" si="6"/>
        <v>Harris Scarfe</v>
      </c>
      <c r="S445" s="6" t="str">
        <f>VLOOKUP(I445,'FIN CAL LOOKUP'!A:J,7,1)</f>
        <v>MAR, FY23</v>
      </c>
      <c r="T445" s="6" t="str">
        <f>VLOOKUP(I445,'FIN CAL LOOKUP'!A:J,10,1)</f>
        <v>Q3, FY23</v>
      </c>
    </row>
    <row r="446" spans="1:20" hidden="1" x14ac:dyDescent="0.25">
      <c r="A446">
        <v>294486</v>
      </c>
      <c r="B446" t="s">
        <v>910</v>
      </c>
      <c r="C446" t="s">
        <v>911</v>
      </c>
      <c r="D446" t="s">
        <v>307</v>
      </c>
      <c r="E446" t="s">
        <v>264</v>
      </c>
      <c r="F446" t="s">
        <v>727</v>
      </c>
      <c r="G446" t="s">
        <v>266</v>
      </c>
      <c r="H446" s="5">
        <v>44945</v>
      </c>
      <c r="I446" s="5">
        <v>45007</v>
      </c>
      <c r="J446" t="s">
        <v>728</v>
      </c>
      <c r="K446" t="s">
        <v>268</v>
      </c>
      <c r="L446">
        <v>2</v>
      </c>
      <c r="M446" t="s">
        <v>729</v>
      </c>
      <c r="N446" t="s">
        <v>237</v>
      </c>
      <c r="O446">
        <v>0</v>
      </c>
      <c r="P446" s="6" t="str">
        <f>VLOOKUP(J446,'Store lookup'!A:C,2,0)</f>
        <v>HS2016</v>
      </c>
      <c r="Q446" s="6" t="str">
        <f>VLOOKUP(J446,'Store lookup'!A:C,3,0)</f>
        <v>Harris Scarfe Spencer Outlet</v>
      </c>
      <c r="R446" s="6" t="str">
        <f t="shared" si="6"/>
        <v>Harris Scarfe</v>
      </c>
      <c r="S446" s="6" t="str">
        <f>VLOOKUP(I446,'FIN CAL LOOKUP'!A:J,7,1)</f>
        <v>MAR, FY23</v>
      </c>
      <c r="T446" s="6" t="str">
        <f>VLOOKUP(I446,'FIN CAL LOOKUP'!A:J,10,1)</f>
        <v>Q3, FY23</v>
      </c>
    </row>
    <row r="447" spans="1:20" hidden="1" x14ac:dyDescent="0.25">
      <c r="A447">
        <v>314434</v>
      </c>
      <c r="B447" t="s">
        <v>865</v>
      </c>
      <c r="C447" t="s">
        <v>866</v>
      </c>
      <c r="D447" t="s">
        <v>307</v>
      </c>
      <c r="E447" t="s">
        <v>264</v>
      </c>
      <c r="F447" t="s">
        <v>786</v>
      </c>
      <c r="G447" t="s">
        <v>266</v>
      </c>
      <c r="H447" s="5">
        <v>44945</v>
      </c>
      <c r="I447" s="5">
        <v>44980</v>
      </c>
      <c r="J447" t="s">
        <v>787</v>
      </c>
      <c r="K447" t="s">
        <v>268</v>
      </c>
      <c r="L447">
        <v>2</v>
      </c>
      <c r="M447" t="s">
        <v>788</v>
      </c>
      <c r="N447" t="s">
        <v>237</v>
      </c>
      <c r="O447">
        <v>0</v>
      </c>
      <c r="P447" s="6" t="str">
        <f>VLOOKUP(J447,'Store lookup'!A:C,2,0)</f>
        <v>HS2020</v>
      </c>
      <c r="Q447" s="6" t="str">
        <f>VLOOKUP(J447,'Store lookup'!A:C,3,0)</f>
        <v>Harris Scarfe Forest Hill</v>
      </c>
      <c r="R447" s="6" t="str">
        <f t="shared" si="6"/>
        <v>Harris Scarfe</v>
      </c>
      <c r="S447" s="6" t="str">
        <f>VLOOKUP(I447,'FIN CAL LOOKUP'!A:J,7,1)</f>
        <v>FEB, FY23</v>
      </c>
      <c r="T447" s="6" t="str">
        <f>VLOOKUP(I447,'FIN CAL LOOKUP'!A:J,10,1)</f>
        <v>Q3, FY23</v>
      </c>
    </row>
    <row r="448" spans="1:20" hidden="1" x14ac:dyDescent="0.25">
      <c r="A448">
        <v>313834</v>
      </c>
      <c r="B448" t="s">
        <v>855</v>
      </c>
      <c r="C448" t="s">
        <v>856</v>
      </c>
      <c r="D448" t="s">
        <v>307</v>
      </c>
      <c r="E448" t="s">
        <v>264</v>
      </c>
      <c r="F448" t="s">
        <v>768</v>
      </c>
      <c r="G448" t="s">
        <v>266</v>
      </c>
      <c r="H448" s="5">
        <v>44944</v>
      </c>
      <c r="I448" s="5">
        <v>44958</v>
      </c>
      <c r="J448" t="s">
        <v>769</v>
      </c>
      <c r="K448" t="s">
        <v>268</v>
      </c>
      <c r="L448">
        <v>1</v>
      </c>
      <c r="M448" t="s">
        <v>770</v>
      </c>
      <c r="N448" t="s">
        <v>237</v>
      </c>
      <c r="O448">
        <v>1</v>
      </c>
      <c r="P448" s="6" t="str">
        <f>VLOOKUP(J448,'Store lookup'!A:C,2,0)</f>
        <v>HS2017</v>
      </c>
      <c r="Q448" s="6" t="str">
        <f>VLOOKUP(J448,'Store lookup'!A:C,3,0)</f>
        <v>Harris Scarfe Woodgrove</v>
      </c>
      <c r="R448" s="6" t="str">
        <f t="shared" si="6"/>
        <v>Harris Scarfe</v>
      </c>
      <c r="S448" s="6" t="str">
        <f>VLOOKUP(I448,'FIN CAL LOOKUP'!A:J,7,1)</f>
        <v>FEB, FY23</v>
      </c>
      <c r="T448" s="6" t="str">
        <f>VLOOKUP(I448,'FIN CAL LOOKUP'!A:J,10,1)</f>
        <v>Q3, FY23</v>
      </c>
    </row>
    <row r="449" spans="1:20" hidden="1" x14ac:dyDescent="0.25">
      <c r="A449">
        <v>323134</v>
      </c>
      <c r="B449" t="s">
        <v>503</v>
      </c>
      <c r="C449" t="s">
        <v>504</v>
      </c>
      <c r="D449" t="s">
        <v>278</v>
      </c>
      <c r="E449" t="s">
        <v>264</v>
      </c>
      <c r="F449" t="s">
        <v>801</v>
      </c>
      <c r="G449" t="s">
        <v>266</v>
      </c>
      <c r="H449" s="5">
        <v>44942</v>
      </c>
      <c r="I449" s="5">
        <v>44994</v>
      </c>
      <c r="J449" t="s">
        <v>802</v>
      </c>
      <c r="K449" t="s">
        <v>268</v>
      </c>
      <c r="L449">
        <v>2</v>
      </c>
      <c r="M449" t="s">
        <v>355</v>
      </c>
      <c r="N449" t="s">
        <v>237</v>
      </c>
      <c r="O449">
        <v>0</v>
      </c>
      <c r="P449" s="6" t="str">
        <f>VLOOKUP(J449,'Store lookup'!A:C,2,0)</f>
        <v>HS2039</v>
      </c>
      <c r="Q449" s="6" t="str">
        <f>VLOOKUP(J449,'Store lookup'!A:C,3,0)</f>
        <v>Harris Scarfe Fountain Gate</v>
      </c>
      <c r="R449" s="6" t="str">
        <f t="shared" si="6"/>
        <v>Harris Scarfe</v>
      </c>
      <c r="S449" s="6" t="str">
        <f>VLOOKUP(I449,'FIN CAL LOOKUP'!A:J,7,1)</f>
        <v>MAR, FY23</v>
      </c>
      <c r="T449" s="6" t="str">
        <f>VLOOKUP(I449,'FIN CAL LOOKUP'!A:J,10,1)</f>
        <v>Q3, FY23</v>
      </c>
    </row>
    <row r="450" spans="1:20" hidden="1" x14ac:dyDescent="0.25">
      <c r="A450">
        <v>324696</v>
      </c>
      <c r="B450" t="s">
        <v>912</v>
      </c>
      <c r="C450" t="s">
        <v>913</v>
      </c>
      <c r="D450" t="s">
        <v>278</v>
      </c>
      <c r="E450" t="s">
        <v>264</v>
      </c>
      <c r="F450" t="s">
        <v>867</v>
      </c>
      <c r="G450" t="s">
        <v>266</v>
      </c>
      <c r="H450" s="5">
        <v>44941</v>
      </c>
      <c r="I450" s="5">
        <v>44998</v>
      </c>
      <c r="J450" t="s">
        <v>868</v>
      </c>
      <c r="K450" t="s">
        <v>268</v>
      </c>
      <c r="L450">
        <v>2</v>
      </c>
      <c r="M450" t="s">
        <v>869</v>
      </c>
      <c r="N450" t="s">
        <v>237</v>
      </c>
      <c r="O450">
        <v>0</v>
      </c>
      <c r="P450" s="6" t="str">
        <f>VLOOKUP(J450,'Store lookup'!A:C,2,0)</f>
        <v>HS5054</v>
      </c>
      <c r="Q450" s="6" t="str">
        <f>VLOOKUP(J450,'Store lookup'!A:C,3,0)</f>
        <v>Harris Scarfe Blacktown</v>
      </c>
      <c r="R450" s="6" t="str">
        <f t="shared" ref="R450:R513" si="7">IF(LEFT(Q450,1)="A","Ananconda",IF(LEFT(Q450,1)="H","Harris Scarfe",IF(LEFT(Q450,1)="S","Spotlight","Exempt")))</f>
        <v>Harris Scarfe</v>
      </c>
      <c r="S450" s="6" t="str">
        <f>VLOOKUP(I450,'FIN CAL LOOKUP'!A:J,7,1)</f>
        <v>MAR, FY23</v>
      </c>
      <c r="T450" s="6" t="str">
        <f>VLOOKUP(I450,'FIN CAL LOOKUP'!A:J,10,1)</f>
        <v>Q3, FY23</v>
      </c>
    </row>
    <row r="451" spans="1:20" hidden="1" x14ac:dyDescent="0.25">
      <c r="A451">
        <v>312445</v>
      </c>
      <c r="B451" t="s">
        <v>914</v>
      </c>
      <c r="C451" t="s">
        <v>915</v>
      </c>
      <c r="D451" t="s">
        <v>278</v>
      </c>
      <c r="E451" t="s">
        <v>264</v>
      </c>
      <c r="F451" t="s">
        <v>757</v>
      </c>
      <c r="G451" t="s">
        <v>266</v>
      </c>
      <c r="H451" s="5">
        <v>44915</v>
      </c>
      <c r="I451" s="5">
        <v>44994</v>
      </c>
      <c r="J451" t="s">
        <v>758</v>
      </c>
      <c r="K451" t="s">
        <v>268</v>
      </c>
      <c r="L451">
        <v>1</v>
      </c>
      <c r="M451" t="s">
        <v>318</v>
      </c>
      <c r="N451" t="s">
        <v>237</v>
      </c>
      <c r="O451">
        <v>1</v>
      </c>
      <c r="P451" s="6" t="str">
        <f>VLOOKUP(J451,'Store lookup'!A:C,2,0)</f>
        <v>HS2023</v>
      </c>
      <c r="Q451" s="6" t="str">
        <f>VLOOKUP(J451,'Store lookup'!A:C,3,0)</f>
        <v>Harris Scarfe Epping</v>
      </c>
      <c r="R451" s="6" t="str">
        <f t="shared" si="7"/>
        <v>Harris Scarfe</v>
      </c>
      <c r="S451" s="6" t="str">
        <f>VLOOKUP(I451,'FIN CAL LOOKUP'!A:J,7,1)</f>
        <v>MAR, FY23</v>
      </c>
      <c r="T451" s="6" t="str">
        <f>VLOOKUP(I451,'FIN CAL LOOKUP'!A:J,10,1)</f>
        <v>Q3, FY23</v>
      </c>
    </row>
    <row r="452" spans="1:20" hidden="1" x14ac:dyDescent="0.25">
      <c r="A452">
        <v>314681</v>
      </c>
      <c r="B452" t="s">
        <v>649</v>
      </c>
      <c r="C452" t="s">
        <v>916</v>
      </c>
      <c r="D452" t="s">
        <v>278</v>
      </c>
      <c r="E452" t="s">
        <v>264</v>
      </c>
      <c r="F452" t="s">
        <v>747</v>
      </c>
      <c r="G452" t="s">
        <v>266</v>
      </c>
      <c r="H452" s="5">
        <v>44900</v>
      </c>
      <c r="I452" s="5">
        <v>44946</v>
      </c>
      <c r="J452" t="s">
        <v>748</v>
      </c>
      <c r="K452" t="s">
        <v>268</v>
      </c>
      <c r="L452">
        <v>1</v>
      </c>
      <c r="M452" t="s">
        <v>304</v>
      </c>
      <c r="N452" t="s">
        <v>237</v>
      </c>
      <c r="O452">
        <v>1</v>
      </c>
      <c r="P452" s="6" t="str">
        <f>VLOOKUP(J452,'Store lookup'!A:C,2,0)</f>
        <v>HS2040</v>
      </c>
      <c r="Q452" s="6" t="str">
        <f>VLOOKUP(J452,'Store lookup'!A:C,3,0)</f>
        <v>Harris Scarfe Preston</v>
      </c>
      <c r="R452" s="6" t="str">
        <f t="shared" si="7"/>
        <v>Harris Scarfe</v>
      </c>
      <c r="S452" s="6" t="str">
        <f>VLOOKUP(I452,'FIN CAL LOOKUP'!A:J,7,1)</f>
        <v>JAN, FY23</v>
      </c>
      <c r="T452" s="6" t="str">
        <f>VLOOKUP(I452,'FIN CAL LOOKUP'!A:J,10,1)</f>
        <v>Q3, FY23</v>
      </c>
    </row>
    <row r="453" spans="1:20" x14ac:dyDescent="0.25">
      <c r="A453">
        <v>338745</v>
      </c>
      <c r="B453" t="s">
        <v>917</v>
      </c>
      <c r="C453" t="s">
        <v>918</v>
      </c>
      <c r="D453" t="s">
        <v>272</v>
      </c>
      <c r="E453" t="s">
        <v>264</v>
      </c>
      <c r="F453" t="s">
        <v>919</v>
      </c>
      <c r="G453" t="s">
        <v>266</v>
      </c>
      <c r="H453" s="5">
        <v>45800</v>
      </c>
      <c r="I453" s="5">
        <v>45827</v>
      </c>
      <c r="J453" t="s">
        <v>919</v>
      </c>
      <c r="K453" t="s">
        <v>268</v>
      </c>
      <c r="L453">
        <v>1</v>
      </c>
      <c r="M453" t="s">
        <v>355</v>
      </c>
      <c r="N453" t="s">
        <v>236</v>
      </c>
      <c r="O453">
        <v>1</v>
      </c>
      <c r="P453" s="6" t="str">
        <f>VLOOKUP(J453,'Store lookup'!A:C,2,0)</f>
        <v>S070</v>
      </c>
      <c r="Q453" s="6" t="str">
        <f>VLOOKUP(J453,'Store lookup'!A:C,3,0)</f>
        <v>Spotlight Fountain Gate</v>
      </c>
      <c r="R453" s="6" t="str">
        <f t="shared" si="7"/>
        <v>Spotlight</v>
      </c>
      <c r="S453" s="6" t="str">
        <f>VLOOKUP(I453,'FIN CAL LOOKUP'!A:J,7,1)</f>
        <v>JUN, FY25</v>
      </c>
      <c r="T453" s="6" t="str">
        <f>VLOOKUP(I453,'FIN CAL LOOKUP'!A:J,10,1)</f>
        <v>Q4, FY25</v>
      </c>
    </row>
    <row r="454" spans="1:20" x14ac:dyDescent="0.25">
      <c r="A454">
        <v>299399</v>
      </c>
      <c r="B454" t="s">
        <v>261</v>
      </c>
      <c r="C454" t="s">
        <v>262</v>
      </c>
      <c r="D454" t="s">
        <v>263</v>
      </c>
      <c r="E454" t="s">
        <v>264</v>
      </c>
      <c r="F454" t="s">
        <v>920</v>
      </c>
      <c r="G454" t="s">
        <v>266</v>
      </c>
      <c r="H454" s="5">
        <v>45799</v>
      </c>
      <c r="I454" s="5">
        <v>45813</v>
      </c>
      <c r="J454" t="s">
        <v>920</v>
      </c>
      <c r="K454" t="s">
        <v>268</v>
      </c>
      <c r="L454">
        <v>1</v>
      </c>
      <c r="M454" t="s">
        <v>921</v>
      </c>
      <c r="N454" t="s">
        <v>236</v>
      </c>
      <c r="O454">
        <v>1</v>
      </c>
      <c r="P454" s="6" t="str">
        <f>VLOOKUP(J454,'Store lookup'!A:C,2,0)</f>
        <v>S145</v>
      </c>
      <c r="Q454" s="6" t="str">
        <f>VLOOKUP(J454,'Store lookup'!A:C,3,0)</f>
        <v>Spotlight Roxburgh Park</v>
      </c>
      <c r="R454" s="6" t="str">
        <f t="shared" si="7"/>
        <v>Spotlight</v>
      </c>
      <c r="S454" s="6" t="str">
        <f>VLOOKUP(I454,'FIN CAL LOOKUP'!A:J,7,1)</f>
        <v>JUN, FY25</v>
      </c>
      <c r="T454" s="6" t="str">
        <f>VLOOKUP(I454,'FIN CAL LOOKUP'!A:J,10,1)</f>
        <v>Q4, FY25</v>
      </c>
    </row>
    <row r="455" spans="1:20" x14ac:dyDescent="0.25">
      <c r="A455">
        <v>339286</v>
      </c>
      <c r="B455" t="s">
        <v>922</v>
      </c>
      <c r="C455" t="s">
        <v>923</v>
      </c>
      <c r="D455" t="s">
        <v>333</v>
      </c>
      <c r="E455" t="s">
        <v>264</v>
      </c>
      <c r="F455" t="s">
        <v>924</v>
      </c>
      <c r="G455" t="s">
        <v>266</v>
      </c>
      <c r="H455" s="5">
        <v>45797</v>
      </c>
      <c r="I455" s="5">
        <v>45875</v>
      </c>
      <c r="J455" t="s">
        <v>925</v>
      </c>
      <c r="K455" t="s">
        <v>268</v>
      </c>
      <c r="L455">
        <v>1</v>
      </c>
      <c r="M455" t="s">
        <v>763</v>
      </c>
      <c r="N455" t="s">
        <v>236</v>
      </c>
      <c r="O455">
        <v>1</v>
      </c>
      <c r="P455" s="6" t="str">
        <f>VLOOKUP(J455,'Store lookup'!A:C,2,0)</f>
        <v>S114</v>
      </c>
      <c r="Q455" s="6" t="str">
        <f>VLOOKUP(J455,'Store lookup'!A:C,3,0)</f>
        <v>Spotlight Cranegie</v>
      </c>
      <c r="R455" s="6" t="str">
        <f t="shared" si="7"/>
        <v>Spotlight</v>
      </c>
      <c r="S455" s="6" t="str">
        <f>VLOOKUP(I455,'FIN CAL LOOKUP'!A:J,7,1)</f>
        <v>AUG, FY26</v>
      </c>
      <c r="T455" s="6" t="str">
        <f>VLOOKUP(I455,'FIN CAL LOOKUP'!A:J,10,1)</f>
        <v>Q1, FY26</v>
      </c>
    </row>
    <row r="456" spans="1:20" x14ac:dyDescent="0.25">
      <c r="A456">
        <v>318222</v>
      </c>
      <c r="B456" t="s">
        <v>623</v>
      </c>
      <c r="C456" t="s">
        <v>624</v>
      </c>
      <c r="D456" t="s">
        <v>272</v>
      </c>
      <c r="E456" t="s">
        <v>264</v>
      </c>
      <c r="F456" t="s">
        <v>926</v>
      </c>
      <c r="G456" t="s">
        <v>266</v>
      </c>
      <c r="H456" s="5">
        <v>45797</v>
      </c>
      <c r="I456" s="5">
        <v>45812</v>
      </c>
      <c r="J456" t="s">
        <v>926</v>
      </c>
      <c r="K456" t="s">
        <v>268</v>
      </c>
      <c r="L456">
        <v>2</v>
      </c>
      <c r="M456" t="s">
        <v>360</v>
      </c>
      <c r="N456" t="s">
        <v>236</v>
      </c>
      <c r="O456">
        <v>0</v>
      </c>
      <c r="P456" s="6" t="str">
        <f>VLOOKUP(J456,'Store lookup'!A:C,2,0)</f>
        <v>S034</v>
      </c>
      <c r="Q456" s="6" t="str">
        <f>VLOOKUP(J456,'Store lookup'!A:C,3,0)</f>
        <v>Spotlight Hoppers Crossing</v>
      </c>
      <c r="R456" s="6" t="str">
        <f t="shared" si="7"/>
        <v>Spotlight</v>
      </c>
      <c r="S456" s="6" t="str">
        <f>VLOOKUP(I456,'FIN CAL LOOKUP'!A:J,7,1)</f>
        <v>JUN, FY25</v>
      </c>
      <c r="T456" s="6" t="str">
        <f>VLOOKUP(I456,'FIN CAL LOOKUP'!A:J,10,1)</f>
        <v>Q4, FY25</v>
      </c>
    </row>
    <row r="457" spans="1:20" x14ac:dyDescent="0.25">
      <c r="A457">
        <v>324195</v>
      </c>
      <c r="B457" t="s">
        <v>637</v>
      </c>
      <c r="C457" t="s">
        <v>638</v>
      </c>
      <c r="D457" t="s">
        <v>272</v>
      </c>
      <c r="E457" t="s">
        <v>264</v>
      </c>
      <c r="F457" t="s">
        <v>926</v>
      </c>
      <c r="G457" t="s">
        <v>266</v>
      </c>
      <c r="H457" s="5">
        <v>45797</v>
      </c>
      <c r="I457" s="5">
        <v>45812</v>
      </c>
      <c r="J457" t="s">
        <v>926</v>
      </c>
      <c r="K457" t="s">
        <v>268</v>
      </c>
      <c r="L457">
        <v>2</v>
      </c>
      <c r="M457" t="s">
        <v>360</v>
      </c>
      <c r="N457" t="s">
        <v>236</v>
      </c>
      <c r="O457">
        <v>0</v>
      </c>
      <c r="P457" s="6" t="str">
        <f>VLOOKUP(J457,'Store lookup'!A:C,2,0)</f>
        <v>S034</v>
      </c>
      <c r="Q457" s="6" t="str">
        <f>VLOOKUP(J457,'Store lookup'!A:C,3,0)</f>
        <v>Spotlight Hoppers Crossing</v>
      </c>
      <c r="R457" s="6" t="str">
        <f t="shared" si="7"/>
        <v>Spotlight</v>
      </c>
      <c r="S457" s="6" t="str">
        <f>VLOOKUP(I457,'FIN CAL LOOKUP'!A:J,7,1)</f>
        <v>JUN, FY25</v>
      </c>
      <c r="T457" s="6" t="str">
        <f>VLOOKUP(I457,'FIN CAL LOOKUP'!A:J,10,1)</f>
        <v>Q4, FY25</v>
      </c>
    </row>
    <row r="458" spans="1:20" x14ac:dyDescent="0.25">
      <c r="A458">
        <v>321931</v>
      </c>
      <c r="B458" t="s">
        <v>625</v>
      </c>
      <c r="C458" t="s">
        <v>626</v>
      </c>
      <c r="D458" t="s">
        <v>272</v>
      </c>
      <c r="E458" t="s">
        <v>264</v>
      </c>
      <c r="F458" t="s">
        <v>927</v>
      </c>
      <c r="G458" t="s">
        <v>266</v>
      </c>
      <c r="H458" s="5">
        <v>45792</v>
      </c>
      <c r="I458" s="5">
        <v>45812</v>
      </c>
      <c r="J458" t="s">
        <v>927</v>
      </c>
      <c r="K458" t="s">
        <v>268</v>
      </c>
      <c r="L458">
        <v>1</v>
      </c>
      <c r="M458" t="s">
        <v>928</v>
      </c>
      <c r="N458" t="s">
        <v>236</v>
      </c>
      <c r="O458">
        <v>1</v>
      </c>
      <c r="P458" s="6" t="str">
        <f>VLOOKUP(J458,'Store lookup'!A:C,2,0)</f>
        <v>S159</v>
      </c>
      <c r="Q458" s="6" t="str">
        <f>VLOOKUP(J458,'Store lookup'!A:C,3,0)</f>
        <v>Spotlight The Glen Creative</v>
      </c>
      <c r="R458" s="6" t="str">
        <f t="shared" si="7"/>
        <v>Spotlight</v>
      </c>
      <c r="S458" s="6" t="str">
        <f>VLOOKUP(I458,'FIN CAL LOOKUP'!A:J,7,1)</f>
        <v>JUN, FY25</v>
      </c>
      <c r="T458" s="6" t="str">
        <f>VLOOKUP(I458,'FIN CAL LOOKUP'!A:J,10,1)</f>
        <v>Q4, FY25</v>
      </c>
    </row>
    <row r="459" spans="1:20" x14ac:dyDescent="0.25">
      <c r="A459">
        <v>297893</v>
      </c>
      <c r="B459" t="s">
        <v>469</v>
      </c>
      <c r="C459" t="s">
        <v>470</v>
      </c>
      <c r="D459" t="s">
        <v>307</v>
      </c>
      <c r="E459" t="s">
        <v>264</v>
      </c>
      <c r="F459" t="s">
        <v>929</v>
      </c>
      <c r="G459" t="s">
        <v>266</v>
      </c>
      <c r="H459" s="5">
        <v>45790</v>
      </c>
      <c r="I459" s="5">
        <v>45820</v>
      </c>
      <c r="J459" t="s">
        <v>929</v>
      </c>
      <c r="K459" t="s">
        <v>268</v>
      </c>
      <c r="L459">
        <v>1</v>
      </c>
      <c r="M459" t="s">
        <v>930</v>
      </c>
      <c r="N459" t="s">
        <v>238</v>
      </c>
      <c r="O459">
        <v>1</v>
      </c>
      <c r="P459" s="6" t="str">
        <f>VLOOKUP(J459,'Store lookup'!A:C,2,0)</f>
        <v>S011</v>
      </c>
      <c r="Q459" s="6" t="str">
        <f>VLOOKUP(J459,'Store lookup'!A:C,3,0)</f>
        <v>Spotlight Launceston</v>
      </c>
      <c r="R459" s="6" t="str">
        <f t="shared" si="7"/>
        <v>Spotlight</v>
      </c>
      <c r="S459" s="6" t="str">
        <f>VLOOKUP(I459,'FIN CAL LOOKUP'!A:J,7,1)</f>
        <v>JUN, FY25</v>
      </c>
      <c r="T459" s="6" t="str">
        <f>VLOOKUP(I459,'FIN CAL LOOKUP'!A:J,10,1)</f>
        <v>Q4, FY25</v>
      </c>
    </row>
    <row r="460" spans="1:20" x14ac:dyDescent="0.25">
      <c r="A460">
        <v>215865</v>
      </c>
      <c r="B460" t="s">
        <v>764</v>
      </c>
      <c r="C460" t="s">
        <v>891</v>
      </c>
      <c r="D460" t="s">
        <v>263</v>
      </c>
      <c r="E460" t="s">
        <v>264</v>
      </c>
      <c r="F460" t="s">
        <v>931</v>
      </c>
      <c r="G460" t="s">
        <v>266</v>
      </c>
      <c r="H460" s="5">
        <v>45784</v>
      </c>
      <c r="I460" s="5">
        <v>45813</v>
      </c>
      <c r="J460" t="s">
        <v>931</v>
      </c>
      <c r="K460" t="s">
        <v>268</v>
      </c>
      <c r="L460">
        <v>1</v>
      </c>
      <c r="M460" t="s">
        <v>932</v>
      </c>
      <c r="N460" t="s">
        <v>236</v>
      </c>
      <c r="O460">
        <v>1</v>
      </c>
      <c r="P460" s="6" t="str">
        <f>VLOOKUP(J460,'Store lookup'!A:C,2,0)</f>
        <v>S008</v>
      </c>
      <c r="Q460" s="6" t="str">
        <f>VLOOKUP(J460,'Store lookup'!A:C,3,0)</f>
        <v>Spotlight Essendon</v>
      </c>
      <c r="R460" s="6" t="str">
        <f t="shared" si="7"/>
        <v>Spotlight</v>
      </c>
      <c r="S460" s="6" t="str">
        <f>VLOOKUP(I460,'FIN CAL LOOKUP'!A:J,7,1)</f>
        <v>JUN, FY25</v>
      </c>
      <c r="T460" s="6" t="str">
        <f>VLOOKUP(I460,'FIN CAL LOOKUP'!A:J,10,1)</f>
        <v>Q4, FY25</v>
      </c>
    </row>
    <row r="461" spans="1:20" x14ac:dyDescent="0.25">
      <c r="A461">
        <v>336067</v>
      </c>
      <c r="B461" t="s">
        <v>933</v>
      </c>
      <c r="C461" t="s">
        <v>934</v>
      </c>
      <c r="D461" t="s">
        <v>272</v>
      </c>
      <c r="E461" t="s">
        <v>264</v>
      </c>
      <c r="F461" t="s">
        <v>927</v>
      </c>
      <c r="G461" t="s">
        <v>266</v>
      </c>
      <c r="H461" s="5">
        <v>45783</v>
      </c>
      <c r="I461" s="5">
        <v>45820</v>
      </c>
      <c r="J461" t="s">
        <v>927</v>
      </c>
      <c r="K461" t="s">
        <v>268</v>
      </c>
      <c r="L461">
        <v>1</v>
      </c>
      <c r="M461" t="s">
        <v>928</v>
      </c>
      <c r="N461" t="s">
        <v>236</v>
      </c>
      <c r="O461">
        <v>1</v>
      </c>
      <c r="P461" s="6" t="str">
        <f>VLOOKUP(J461,'Store lookup'!A:C,2,0)</f>
        <v>S159</v>
      </c>
      <c r="Q461" s="6" t="str">
        <f>VLOOKUP(J461,'Store lookup'!A:C,3,0)</f>
        <v>Spotlight The Glen Creative</v>
      </c>
      <c r="R461" s="6" t="str">
        <f t="shared" si="7"/>
        <v>Spotlight</v>
      </c>
      <c r="S461" s="6" t="str">
        <f>VLOOKUP(I461,'FIN CAL LOOKUP'!A:J,7,1)</f>
        <v>JUN, FY25</v>
      </c>
      <c r="T461" s="6" t="str">
        <f>VLOOKUP(I461,'FIN CAL LOOKUP'!A:J,10,1)</f>
        <v>Q4, FY25</v>
      </c>
    </row>
    <row r="462" spans="1:20" x14ac:dyDescent="0.25">
      <c r="A462">
        <v>335235</v>
      </c>
      <c r="B462" t="s">
        <v>472</v>
      </c>
      <c r="C462" t="s">
        <v>473</v>
      </c>
      <c r="D462" t="s">
        <v>272</v>
      </c>
      <c r="E462" t="s">
        <v>264</v>
      </c>
      <c r="F462" t="s">
        <v>935</v>
      </c>
      <c r="G462" t="s">
        <v>266</v>
      </c>
      <c r="H462" s="5">
        <v>45783</v>
      </c>
      <c r="I462" s="5">
        <v>45799</v>
      </c>
      <c r="J462" t="s">
        <v>935</v>
      </c>
      <c r="K462" t="s">
        <v>268</v>
      </c>
      <c r="L462">
        <v>1</v>
      </c>
      <c r="M462" t="s">
        <v>676</v>
      </c>
      <c r="N462" t="s">
        <v>236</v>
      </c>
      <c r="O462">
        <v>1</v>
      </c>
      <c r="P462" s="6" t="str">
        <f>VLOOKUP(J462,'Store lookup'!A:C,2,0)</f>
        <v>S027</v>
      </c>
      <c r="Q462" s="6" t="str">
        <f>VLOOKUP(J462,'Store lookup'!A:C,3,0)</f>
        <v>Spotlight South Melbourne</v>
      </c>
      <c r="R462" s="6" t="str">
        <f t="shared" si="7"/>
        <v>Spotlight</v>
      </c>
      <c r="S462" s="6" t="str">
        <f>VLOOKUP(I462,'FIN CAL LOOKUP'!A:J,7,1)</f>
        <v>MAY, FY25</v>
      </c>
      <c r="T462" s="6" t="str">
        <f>VLOOKUP(I462,'FIN CAL LOOKUP'!A:J,10,1)</f>
        <v>Q4, FY25</v>
      </c>
    </row>
    <row r="463" spans="1:20" x14ac:dyDescent="0.25">
      <c r="A463">
        <v>305938</v>
      </c>
      <c r="B463" t="s">
        <v>494</v>
      </c>
      <c r="C463" t="s">
        <v>495</v>
      </c>
      <c r="D463" t="s">
        <v>263</v>
      </c>
      <c r="E463" t="s">
        <v>264</v>
      </c>
      <c r="F463" t="s">
        <v>936</v>
      </c>
      <c r="G463" t="s">
        <v>266</v>
      </c>
      <c r="H463" s="5">
        <v>45779</v>
      </c>
      <c r="I463" s="5">
        <v>45834</v>
      </c>
      <c r="J463" t="s">
        <v>937</v>
      </c>
      <c r="K463" t="s">
        <v>268</v>
      </c>
      <c r="L463">
        <v>1</v>
      </c>
      <c r="M463" t="s">
        <v>269</v>
      </c>
      <c r="N463" t="s">
        <v>236</v>
      </c>
      <c r="O463">
        <v>1</v>
      </c>
      <c r="P463" s="6" t="str">
        <f>VLOOKUP(J463,'Store lookup'!A:C,2,0)</f>
        <v>S014</v>
      </c>
      <c r="Q463" s="6" t="str">
        <f>VLOOKUP(J463,'Store lookup'!A:C,3,0)</f>
        <v>Spotlight Bayswater</v>
      </c>
      <c r="R463" s="6" t="str">
        <f t="shared" si="7"/>
        <v>Spotlight</v>
      </c>
      <c r="S463" s="6" t="str">
        <f>VLOOKUP(I463,'FIN CAL LOOKUP'!A:J,7,1)</f>
        <v>JUN, FY25</v>
      </c>
      <c r="T463" s="6" t="str">
        <f>VLOOKUP(I463,'FIN CAL LOOKUP'!A:J,10,1)</f>
        <v>Q4, FY25</v>
      </c>
    </row>
    <row r="464" spans="1:20" x14ac:dyDescent="0.25">
      <c r="A464">
        <v>314778</v>
      </c>
      <c r="B464" t="s">
        <v>465</v>
      </c>
      <c r="C464" t="s">
        <v>466</v>
      </c>
      <c r="D464" t="s">
        <v>307</v>
      </c>
      <c r="E464" t="s">
        <v>264</v>
      </c>
      <c r="F464" t="s">
        <v>938</v>
      </c>
      <c r="G464" t="s">
        <v>266</v>
      </c>
      <c r="H464" s="5">
        <v>45777</v>
      </c>
      <c r="I464" s="5">
        <v>45821</v>
      </c>
      <c r="J464" t="s">
        <v>938</v>
      </c>
      <c r="K464" t="s">
        <v>268</v>
      </c>
      <c r="L464">
        <v>2</v>
      </c>
      <c r="M464" t="s">
        <v>281</v>
      </c>
      <c r="N464" t="s">
        <v>236</v>
      </c>
      <c r="O464">
        <v>0</v>
      </c>
      <c r="P464" s="6" t="str">
        <f>VLOOKUP(J464,'Store lookup'!A:C,2,0)</f>
        <v>S002</v>
      </c>
      <c r="Q464" s="6" t="str">
        <f>VLOOKUP(J464,'Store lookup'!A:C,3,0)</f>
        <v>Spotlight Box Hill</v>
      </c>
      <c r="R464" s="6" t="str">
        <f t="shared" si="7"/>
        <v>Spotlight</v>
      </c>
      <c r="S464" s="6" t="str">
        <f>VLOOKUP(I464,'FIN CAL LOOKUP'!A:J,7,1)</f>
        <v>JUN, FY25</v>
      </c>
      <c r="T464" s="6" t="str">
        <f>VLOOKUP(I464,'FIN CAL LOOKUP'!A:J,10,1)</f>
        <v>Q4, FY25</v>
      </c>
    </row>
    <row r="465" spans="1:20" x14ac:dyDescent="0.25">
      <c r="A465">
        <v>323623</v>
      </c>
      <c r="B465" t="s">
        <v>939</v>
      </c>
      <c r="C465" t="s">
        <v>940</v>
      </c>
      <c r="D465" t="s">
        <v>307</v>
      </c>
      <c r="E465" t="s">
        <v>264</v>
      </c>
      <c r="F465" t="s">
        <v>938</v>
      </c>
      <c r="G465" t="s">
        <v>266</v>
      </c>
      <c r="H465" s="5">
        <v>45777</v>
      </c>
      <c r="I465" s="5">
        <v>45821</v>
      </c>
      <c r="J465" t="s">
        <v>938</v>
      </c>
      <c r="K465" t="s">
        <v>268</v>
      </c>
      <c r="L465">
        <v>2</v>
      </c>
      <c r="M465" t="s">
        <v>281</v>
      </c>
      <c r="N465" t="s">
        <v>236</v>
      </c>
      <c r="O465">
        <v>0</v>
      </c>
      <c r="P465" s="6" t="str">
        <f>VLOOKUP(J465,'Store lookup'!A:C,2,0)</f>
        <v>S002</v>
      </c>
      <c r="Q465" s="6" t="str">
        <f>VLOOKUP(J465,'Store lookup'!A:C,3,0)</f>
        <v>Spotlight Box Hill</v>
      </c>
      <c r="R465" s="6" t="str">
        <f t="shared" si="7"/>
        <v>Spotlight</v>
      </c>
      <c r="S465" s="6" t="str">
        <f>VLOOKUP(I465,'FIN CAL LOOKUP'!A:J,7,1)</f>
        <v>JUN, FY25</v>
      </c>
      <c r="T465" s="6" t="str">
        <f>VLOOKUP(I465,'FIN CAL LOOKUP'!A:J,10,1)</f>
        <v>Q4, FY25</v>
      </c>
    </row>
    <row r="466" spans="1:20" x14ac:dyDescent="0.25">
      <c r="A466">
        <v>339116</v>
      </c>
      <c r="B466" t="s">
        <v>556</v>
      </c>
      <c r="C466" t="s">
        <v>734</v>
      </c>
      <c r="D466" t="s">
        <v>284</v>
      </c>
      <c r="E466" t="s">
        <v>264</v>
      </c>
      <c r="F466" t="s">
        <v>931</v>
      </c>
      <c r="G466" t="s">
        <v>266</v>
      </c>
      <c r="H466" s="5">
        <v>45777</v>
      </c>
      <c r="I466" s="5">
        <v>45783</v>
      </c>
      <c r="J466" t="s">
        <v>931</v>
      </c>
      <c r="K466" t="s">
        <v>268</v>
      </c>
      <c r="L466">
        <v>1</v>
      </c>
      <c r="M466" t="s">
        <v>932</v>
      </c>
      <c r="N466" t="s">
        <v>237</v>
      </c>
      <c r="O466">
        <v>1</v>
      </c>
      <c r="P466" s="6" t="str">
        <f>VLOOKUP(J466,'Store lookup'!A:C,2,0)</f>
        <v>S008</v>
      </c>
      <c r="Q466" s="6" t="str">
        <f>VLOOKUP(J466,'Store lookup'!A:C,3,0)</f>
        <v>Spotlight Essendon</v>
      </c>
      <c r="R466" s="6" t="str">
        <f t="shared" si="7"/>
        <v>Spotlight</v>
      </c>
      <c r="S466" s="6" t="str">
        <f>VLOOKUP(I466,'FIN CAL LOOKUP'!A:J,7,1)</f>
        <v>MAY, FY25</v>
      </c>
      <c r="T466" s="6" t="str">
        <f>VLOOKUP(I466,'FIN CAL LOOKUP'!A:J,10,1)</f>
        <v>Q4, FY25</v>
      </c>
    </row>
    <row r="467" spans="1:20" x14ac:dyDescent="0.25">
      <c r="A467">
        <v>326463</v>
      </c>
      <c r="B467" t="s">
        <v>657</v>
      </c>
      <c r="C467" t="s">
        <v>658</v>
      </c>
      <c r="D467" t="s">
        <v>307</v>
      </c>
      <c r="E467" t="s">
        <v>264</v>
      </c>
      <c r="F467" t="s">
        <v>926</v>
      </c>
      <c r="G467" t="s">
        <v>266</v>
      </c>
      <c r="H467" s="5">
        <v>45777</v>
      </c>
      <c r="I467" s="5">
        <v>45779</v>
      </c>
      <c r="J467" t="s">
        <v>926</v>
      </c>
      <c r="K467" t="s">
        <v>268</v>
      </c>
      <c r="L467">
        <v>1</v>
      </c>
      <c r="M467" t="s">
        <v>360</v>
      </c>
      <c r="N467" t="s">
        <v>237</v>
      </c>
      <c r="O467">
        <v>0</v>
      </c>
      <c r="P467" s="6" t="str">
        <f>VLOOKUP(J467,'Store lookup'!A:C,2,0)</f>
        <v>S034</v>
      </c>
      <c r="Q467" s="6" t="str">
        <f>VLOOKUP(J467,'Store lookup'!A:C,3,0)</f>
        <v>Spotlight Hoppers Crossing</v>
      </c>
      <c r="R467" s="6" t="str">
        <f t="shared" si="7"/>
        <v>Spotlight</v>
      </c>
      <c r="S467" s="6" t="str">
        <f>VLOOKUP(I467,'FIN CAL LOOKUP'!A:J,7,1)</f>
        <v>MAY, FY25</v>
      </c>
      <c r="T467" s="6" t="str">
        <f>VLOOKUP(I467,'FIN CAL LOOKUP'!A:J,10,1)</f>
        <v>Q4, FY25</v>
      </c>
    </row>
    <row r="468" spans="1:20" x14ac:dyDescent="0.25">
      <c r="A468">
        <v>332963</v>
      </c>
      <c r="B468" t="s">
        <v>311</v>
      </c>
      <c r="C468" t="s">
        <v>312</v>
      </c>
      <c r="D468" t="s">
        <v>307</v>
      </c>
      <c r="E468" t="s">
        <v>264</v>
      </c>
      <c r="F468" t="s">
        <v>935</v>
      </c>
      <c r="G468" t="s">
        <v>266</v>
      </c>
      <c r="H468" s="5">
        <v>45764</v>
      </c>
      <c r="I468" s="5">
        <v>45785</v>
      </c>
      <c r="J468" t="s">
        <v>935</v>
      </c>
      <c r="K468" t="s">
        <v>268</v>
      </c>
      <c r="L468">
        <v>2</v>
      </c>
      <c r="M468" t="s">
        <v>676</v>
      </c>
      <c r="N468" t="s">
        <v>237</v>
      </c>
      <c r="O468">
        <v>0</v>
      </c>
      <c r="P468" s="6" t="str">
        <f>VLOOKUP(J468,'Store lookup'!A:C,2,0)</f>
        <v>S027</v>
      </c>
      <c r="Q468" s="6" t="str">
        <f>VLOOKUP(J468,'Store lookup'!A:C,3,0)</f>
        <v>Spotlight South Melbourne</v>
      </c>
      <c r="R468" s="6" t="str">
        <f t="shared" si="7"/>
        <v>Spotlight</v>
      </c>
      <c r="S468" s="6" t="str">
        <f>VLOOKUP(I468,'FIN CAL LOOKUP'!A:J,7,1)</f>
        <v>MAY, FY25</v>
      </c>
      <c r="T468" s="6" t="str">
        <f>VLOOKUP(I468,'FIN CAL LOOKUP'!A:J,10,1)</f>
        <v>Q4, FY25</v>
      </c>
    </row>
    <row r="469" spans="1:20" x14ac:dyDescent="0.25">
      <c r="A469">
        <v>338410</v>
      </c>
      <c r="B469" t="s">
        <v>941</v>
      </c>
      <c r="C469" t="s">
        <v>942</v>
      </c>
      <c r="D469" t="s">
        <v>278</v>
      </c>
      <c r="E469" t="s">
        <v>264</v>
      </c>
      <c r="F469" t="s">
        <v>943</v>
      </c>
      <c r="G469" t="s">
        <v>266</v>
      </c>
      <c r="H469" s="5">
        <v>45756</v>
      </c>
      <c r="I469" s="5">
        <v>45764</v>
      </c>
      <c r="J469" t="s">
        <v>943</v>
      </c>
      <c r="K469" t="s">
        <v>268</v>
      </c>
      <c r="L469">
        <v>1</v>
      </c>
      <c r="M469" t="s">
        <v>944</v>
      </c>
      <c r="N469" t="s">
        <v>237</v>
      </c>
      <c r="O469">
        <v>1</v>
      </c>
      <c r="P469" s="6" t="str">
        <f>VLOOKUP(J469,'Store lookup'!A:C,2,0)</f>
        <v>S132</v>
      </c>
      <c r="Q469" s="6" t="str">
        <f>VLOOKUP(J469,'Store lookup'!A:C,3,0)</f>
        <v>Spotlight Wangaratta</v>
      </c>
      <c r="R469" s="6" t="str">
        <f t="shared" si="7"/>
        <v>Spotlight</v>
      </c>
      <c r="S469" s="6" t="str">
        <f>VLOOKUP(I469,'FIN CAL LOOKUP'!A:J,7,1)</f>
        <v>APR, FY25</v>
      </c>
      <c r="T469" s="6" t="str">
        <f>VLOOKUP(I469,'FIN CAL LOOKUP'!A:J,10,1)</f>
        <v>Q4, FY25</v>
      </c>
    </row>
    <row r="470" spans="1:20" x14ac:dyDescent="0.25">
      <c r="A470">
        <v>338549</v>
      </c>
      <c r="B470" t="s">
        <v>293</v>
      </c>
      <c r="C470" t="s">
        <v>294</v>
      </c>
      <c r="D470" t="s">
        <v>263</v>
      </c>
      <c r="E470" t="s">
        <v>264</v>
      </c>
      <c r="F470" t="s">
        <v>938</v>
      </c>
      <c r="G470" t="s">
        <v>266</v>
      </c>
      <c r="H470" s="5">
        <v>45751</v>
      </c>
      <c r="I470" s="5">
        <v>45778</v>
      </c>
      <c r="J470" t="s">
        <v>938</v>
      </c>
      <c r="K470" t="s">
        <v>268</v>
      </c>
      <c r="L470">
        <v>1</v>
      </c>
      <c r="M470" t="s">
        <v>281</v>
      </c>
      <c r="N470" t="s">
        <v>236</v>
      </c>
      <c r="O470">
        <v>1</v>
      </c>
      <c r="P470" s="6" t="str">
        <f>VLOOKUP(J470,'Store lookup'!A:C,2,0)</f>
        <v>S002</v>
      </c>
      <c r="Q470" s="6" t="str">
        <f>VLOOKUP(J470,'Store lookup'!A:C,3,0)</f>
        <v>Spotlight Box Hill</v>
      </c>
      <c r="R470" s="6" t="str">
        <f t="shared" si="7"/>
        <v>Spotlight</v>
      </c>
      <c r="S470" s="6" t="str">
        <f>VLOOKUP(I470,'FIN CAL LOOKUP'!A:J,7,1)</f>
        <v>MAY, FY25</v>
      </c>
      <c r="T470" s="6" t="str">
        <f>VLOOKUP(I470,'FIN CAL LOOKUP'!A:J,10,1)</f>
        <v>Q4, FY25</v>
      </c>
    </row>
    <row r="471" spans="1:20" x14ac:dyDescent="0.25">
      <c r="A471">
        <v>321433</v>
      </c>
      <c r="B471" t="s">
        <v>461</v>
      </c>
      <c r="C471" t="s">
        <v>462</v>
      </c>
      <c r="D471" t="s">
        <v>272</v>
      </c>
      <c r="E471" t="s">
        <v>264</v>
      </c>
      <c r="F471" t="s">
        <v>924</v>
      </c>
      <c r="G471" t="s">
        <v>266</v>
      </c>
      <c r="H471" s="5">
        <v>45749</v>
      </c>
      <c r="I471" s="5">
        <v>45785</v>
      </c>
      <c r="J471" t="s">
        <v>925</v>
      </c>
      <c r="K471" t="s">
        <v>268</v>
      </c>
      <c r="L471">
        <v>2</v>
      </c>
      <c r="M471" t="s">
        <v>763</v>
      </c>
      <c r="N471" t="s">
        <v>237</v>
      </c>
      <c r="O471">
        <v>0</v>
      </c>
      <c r="P471" s="6" t="str">
        <f>VLOOKUP(J471,'Store lookup'!A:C,2,0)</f>
        <v>S114</v>
      </c>
      <c r="Q471" s="6" t="str">
        <f>VLOOKUP(J471,'Store lookup'!A:C,3,0)</f>
        <v>Spotlight Cranegie</v>
      </c>
      <c r="R471" s="6" t="str">
        <f t="shared" si="7"/>
        <v>Spotlight</v>
      </c>
      <c r="S471" s="6" t="str">
        <f>VLOOKUP(I471,'FIN CAL LOOKUP'!A:J,7,1)</f>
        <v>MAY, FY25</v>
      </c>
      <c r="T471" s="6" t="str">
        <f>VLOOKUP(I471,'FIN CAL LOOKUP'!A:J,10,1)</f>
        <v>Q4, FY25</v>
      </c>
    </row>
    <row r="472" spans="1:20" x14ac:dyDescent="0.25">
      <c r="A472">
        <v>235135</v>
      </c>
      <c r="B472" t="s">
        <v>459</v>
      </c>
      <c r="C472" t="s">
        <v>460</v>
      </c>
      <c r="D472" t="s">
        <v>278</v>
      </c>
      <c r="E472" t="s">
        <v>264</v>
      </c>
      <c r="F472" t="s">
        <v>924</v>
      </c>
      <c r="G472" t="s">
        <v>266</v>
      </c>
      <c r="H472" s="5">
        <v>45748</v>
      </c>
      <c r="I472" s="5">
        <v>45785</v>
      </c>
      <c r="J472" t="s">
        <v>925</v>
      </c>
      <c r="K472" t="s">
        <v>268</v>
      </c>
      <c r="L472">
        <v>2</v>
      </c>
      <c r="M472" t="s">
        <v>763</v>
      </c>
      <c r="N472" t="s">
        <v>237</v>
      </c>
      <c r="O472">
        <v>0</v>
      </c>
      <c r="P472" s="6" t="str">
        <f>VLOOKUP(J472,'Store lookup'!A:C,2,0)</f>
        <v>S114</v>
      </c>
      <c r="Q472" s="6" t="str">
        <f>VLOOKUP(J472,'Store lookup'!A:C,3,0)</f>
        <v>Spotlight Cranegie</v>
      </c>
      <c r="R472" s="6" t="str">
        <f t="shared" si="7"/>
        <v>Spotlight</v>
      </c>
      <c r="S472" s="6" t="str">
        <f>VLOOKUP(I472,'FIN CAL LOOKUP'!A:J,7,1)</f>
        <v>MAY, FY25</v>
      </c>
      <c r="T472" s="6" t="str">
        <f>VLOOKUP(I472,'FIN CAL LOOKUP'!A:J,10,1)</f>
        <v>Q4, FY25</v>
      </c>
    </row>
    <row r="473" spans="1:20" x14ac:dyDescent="0.25">
      <c r="A473">
        <v>338289</v>
      </c>
      <c r="B473" t="s">
        <v>945</v>
      </c>
      <c r="C473" t="s">
        <v>946</v>
      </c>
      <c r="D473" t="s">
        <v>278</v>
      </c>
      <c r="E473" t="s">
        <v>264</v>
      </c>
      <c r="F473" t="s">
        <v>935</v>
      </c>
      <c r="G473" t="s">
        <v>266</v>
      </c>
      <c r="H473" s="5">
        <v>45742</v>
      </c>
      <c r="I473" s="5">
        <v>45785</v>
      </c>
      <c r="J473" t="s">
        <v>935</v>
      </c>
      <c r="K473" t="s">
        <v>268</v>
      </c>
      <c r="L473">
        <v>2</v>
      </c>
      <c r="M473" t="s">
        <v>676</v>
      </c>
      <c r="N473" t="s">
        <v>237</v>
      </c>
      <c r="O473">
        <v>0</v>
      </c>
      <c r="P473" s="6" t="str">
        <f>VLOOKUP(J473,'Store lookup'!A:C,2,0)</f>
        <v>S027</v>
      </c>
      <c r="Q473" s="6" t="str">
        <f>VLOOKUP(J473,'Store lookup'!A:C,3,0)</f>
        <v>Spotlight South Melbourne</v>
      </c>
      <c r="R473" s="6" t="str">
        <f t="shared" si="7"/>
        <v>Spotlight</v>
      </c>
      <c r="S473" s="6" t="str">
        <f>VLOOKUP(I473,'FIN CAL LOOKUP'!A:J,7,1)</f>
        <v>MAY, FY25</v>
      </c>
      <c r="T473" s="6" t="str">
        <f>VLOOKUP(I473,'FIN CAL LOOKUP'!A:J,10,1)</f>
        <v>Q4, FY25</v>
      </c>
    </row>
    <row r="474" spans="1:20" x14ac:dyDescent="0.25">
      <c r="A474">
        <v>338802</v>
      </c>
      <c r="B474" t="s">
        <v>947</v>
      </c>
      <c r="C474" t="s">
        <v>277</v>
      </c>
      <c r="D474" t="s">
        <v>333</v>
      </c>
      <c r="E474" t="s">
        <v>264</v>
      </c>
      <c r="F474" t="s">
        <v>924</v>
      </c>
      <c r="G474" t="s">
        <v>266</v>
      </c>
      <c r="H474" s="5">
        <v>45730</v>
      </c>
      <c r="I474" s="5">
        <v>45742</v>
      </c>
      <c r="J474" t="s">
        <v>925</v>
      </c>
      <c r="K474" t="s">
        <v>268</v>
      </c>
      <c r="L474">
        <v>1</v>
      </c>
      <c r="M474" t="s">
        <v>763</v>
      </c>
      <c r="N474" t="s">
        <v>237</v>
      </c>
      <c r="O474">
        <v>1</v>
      </c>
      <c r="P474" s="6" t="str">
        <f>VLOOKUP(J474,'Store lookup'!A:C,2,0)</f>
        <v>S114</v>
      </c>
      <c r="Q474" s="6" t="str">
        <f>VLOOKUP(J474,'Store lookup'!A:C,3,0)</f>
        <v>Spotlight Cranegie</v>
      </c>
      <c r="R474" s="6" t="str">
        <f t="shared" si="7"/>
        <v>Spotlight</v>
      </c>
      <c r="S474" s="6" t="str">
        <f>VLOOKUP(I474,'FIN CAL LOOKUP'!A:J,7,1)</f>
        <v>MAR, FY25</v>
      </c>
      <c r="T474" s="6" t="str">
        <f>VLOOKUP(I474,'FIN CAL LOOKUP'!A:J,10,1)</f>
        <v>Q3, FY25</v>
      </c>
    </row>
    <row r="475" spans="1:20" x14ac:dyDescent="0.25">
      <c r="A475">
        <v>338702</v>
      </c>
      <c r="B475" t="s">
        <v>939</v>
      </c>
      <c r="C475" t="s">
        <v>948</v>
      </c>
      <c r="D475" t="s">
        <v>307</v>
      </c>
      <c r="E475" t="s">
        <v>264</v>
      </c>
      <c r="F475" t="s">
        <v>949</v>
      </c>
      <c r="G475" t="s">
        <v>266</v>
      </c>
      <c r="H475" s="5">
        <v>45730</v>
      </c>
      <c r="I475" s="5">
        <v>45734</v>
      </c>
      <c r="J475" t="s">
        <v>949</v>
      </c>
      <c r="K475" t="s">
        <v>268</v>
      </c>
      <c r="L475">
        <v>1</v>
      </c>
      <c r="M475" t="s">
        <v>950</v>
      </c>
      <c r="N475" t="s">
        <v>237</v>
      </c>
      <c r="O475">
        <v>1</v>
      </c>
      <c r="P475" s="6" t="str">
        <f>VLOOKUP(J475,'Store lookup'!A:C,2,0)</f>
        <v>S098</v>
      </c>
      <c r="Q475" s="6" t="str">
        <f>VLOOKUP(J475,'Store lookup'!A:C,3,0)</f>
        <v>Spotlight Burnside</v>
      </c>
      <c r="R475" s="6" t="str">
        <f t="shared" si="7"/>
        <v>Spotlight</v>
      </c>
      <c r="S475" s="6" t="str">
        <f>VLOOKUP(I475,'FIN CAL LOOKUP'!A:J,7,1)</f>
        <v>MAR, FY25</v>
      </c>
      <c r="T475" s="6" t="str">
        <f>VLOOKUP(I475,'FIN CAL LOOKUP'!A:J,10,1)</f>
        <v>Q3, FY25</v>
      </c>
    </row>
    <row r="476" spans="1:20" x14ac:dyDescent="0.25">
      <c r="A476">
        <v>338604</v>
      </c>
      <c r="B476" t="s">
        <v>301</v>
      </c>
      <c r="C476" t="s">
        <v>315</v>
      </c>
      <c r="D476" t="s">
        <v>307</v>
      </c>
      <c r="E476" t="s">
        <v>264</v>
      </c>
      <c r="F476" t="s">
        <v>938</v>
      </c>
      <c r="G476" t="s">
        <v>266</v>
      </c>
      <c r="H476" s="5">
        <v>45727</v>
      </c>
      <c r="I476" s="5">
        <v>45749</v>
      </c>
      <c r="J476" t="s">
        <v>938</v>
      </c>
      <c r="K476" t="s">
        <v>268</v>
      </c>
      <c r="L476">
        <v>1</v>
      </c>
      <c r="M476" t="s">
        <v>281</v>
      </c>
      <c r="N476" t="s">
        <v>236</v>
      </c>
      <c r="O476">
        <v>1</v>
      </c>
      <c r="P476" s="6" t="str">
        <f>VLOOKUP(J476,'Store lookup'!A:C,2,0)</f>
        <v>S002</v>
      </c>
      <c r="Q476" s="6" t="str">
        <f>VLOOKUP(J476,'Store lookup'!A:C,3,0)</f>
        <v>Spotlight Box Hill</v>
      </c>
      <c r="R476" s="6" t="str">
        <f t="shared" si="7"/>
        <v>Spotlight</v>
      </c>
      <c r="S476" s="6" t="str">
        <f>VLOOKUP(I476,'FIN CAL LOOKUP'!A:J,7,1)</f>
        <v>APR, FY25</v>
      </c>
      <c r="T476" s="6" t="str">
        <f>VLOOKUP(I476,'FIN CAL LOOKUP'!A:J,10,1)</f>
        <v>Q4, FY25</v>
      </c>
    </row>
    <row r="477" spans="1:20" x14ac:dyDescent="0.25">
      <c r="A477">
        <v>321483</v>
      </c>
      <c r="B477" t="s">
        <v>951</v>
      </c>
      <c r="C477" t="s">
        <v>952</v>
      </c>
      <c r="D477" t="s">
        <v>307</v>
      </c>
      <c r="E477" t="s">
        <v>264</v>
      </c>
      <c r="F477" t="s">
        <v>935</v>
      </c>
      <c r="G477" t="s">
        <v>266</v>
      </c>
      <c r="H477" s="5">
        <v>45723</v>
      </c>
      <c r="I477" s="5">
        <v>45778</v>
      </c>
      <c r="J477" t="s">
        <v>935</v>
      </c>
      <c r="K477" t="s">
        <v>268</v>
      </c>
      <c r="L477">
        <v>2</v>
      </c>
      <c r="M477" t="s">
        <v>676</v>
      </c>
      <c r="N477" t="s">
        <v>237</v>
      </c>
      <c r="O477">
        <v>0</v>
      </c>
      <c r="P477" s="6" t="str">
        <f>VLOOKUP(J477,'Store lookup'!A:C,2,0)</f>
        <v>S027</v>
      </c>
      <c r="Q477" s="6" t="str">
        <f>VLOOKUP(J477,'Store lookup'!A:C,3,0)</f>
        <v>Spotlight South Melbourne</v>
      </c>
      <c r="R477" s="6" t="str">
        <f t="shared" si="7"/>
        <v>Spotlight</v>
      </c>
      <c r="S477" s="6" t="str">
        <f>VLOOKUP(I477,'FIN CAL LOOKUP'!A:J,7,1)</f>
        <v>MAY, FY25</v>
      </c>
      <c r="T477" s="6" t="str">
        <f>VLOOKUP(I477,'FIN CAL LOOKUP'!A:J,10,1)</f>
        <v>Q4, FY25</v>
      </c>
    </row>
    <row r="478" spans="1:20" x14ac:dyDescent="0.25">
      <c r="A478">
        <v>329267</v>
      </c>
      <c r="B478" t="s">
        <v>953</v>
      </c>
      <c r="C478" t="s">
        <v>954</v>
      </c>
      <c r="D478" t="s">
        <v>263</v>
      </c>
      <c r="E478" t="s">
        <v>264</v>
      </c>
      <c r="F478" t="s">
        <v>935</v>
      </c>
      <c r="G478" t="s">
        <v>266</v>
      </c>
      <c r="H478" s="5">
        <v>45723</v>
      </c>
      <c r="I478" s="5">
        <v>45778</v>
      </c>
      <c r="J478" t="s">
        <v>935</v>
      </c>
      <c r="K478" t="s">
        <v>268</v>
      </c>
      <c r="L478">
        <v>2</v>
      </c>
      <c r="M478" t="s">
        <v>676</v>
      </c>
      <c r="N478" t="s">
        <v>237</v>
      </c>
      <c r="O478">
        <v>0</v>
      </c>
      <c r="P478" s="6" t="str">
        <f>VLOOKUP(J478,'Store lookup'!A:C,2,0)</f>
        <v>S027</v>
      </c>
      <c r="Q478" s="6" t="str">
        <f>VLOOKUP(J478,'Store lookup'!A:C,3,0)</f>
        <v>Spotlight South Melbourne</v>
      </c>
      <c r="R478" s="6" t="str">
        <f t="shared" si="7"/>
        <v>Spotlight</v>
      </c>
      <c r="S478" s="6" t="str">
        <f>VLOOKUP(I478,'FIN CAL LOOKUP'!A:J,7,1)</f>
        <v>MAY, FY25</v>
      </c>
      <c r="T478" s="6" t="str">
        <f>VLOOKUP(I478,'FIN CAL LOOKUP'!A:J,10,1)</f>
        <v>Q4, FY25</v>
      </c>
    </row>
    <row r="479" spans="1:20" x14ac:dyDescent="0.25">
      <c r="A479">
        <v>329837</v>
      </c>
      <c r="B479" t="s">
        <v>562</v>
      </c>
      <c r="C479" t="s">
        <v>563</v>
      </c>
      <c r="D479" t="s">
        <v>278</v>
      </c>
      <c r="E479" t="s">
        <v>264</v>
      </c>
      <c r="F479" t="s">
        <v>926</v>
      </c>
      <c r="G479" t="s">
        <v>266</v>
      </c>
      <c r="H479" s="5">
        <v>45715</v>
      </c>
      <c r="I479" s="5">
        <v>45743</v>
      </c>
      <c r="J479" t="s">
        <v>926</v>
      </c>
      <c r="K479" t="s">
        <v>268</v>
      </c>
      <c r="L479">
        <v>1</v>
      </c>
      <c r="M479" t="s">
        <v>360</v>
      </c>
      <c r="N479" t="s">
        <v>237</v>
      </c>
      <c r="O479">
        <v>1</v>
      </c>
      <c r="P479" s="6" t="str">
        <f>VLOOKUP(J479,'Store lookup'!A:C,2,0)</f>
        <v>S034</v>
      </c>
      <c r="Q479" s="6" t="str">
        <f>VLOOKUP(J479,'Store lookup'!A:C,3,0)</f>
        <v>Spotlight Hoppers Crossing</v>
      </c>
      <c r="R479" s="6" t="str">
        <f t="shared" si="7"/>
        <v>Spotlight</v>
      </c>
      <c r="S479" s="6" t="str">
        <f>VLOOKUP(I479,'FIN CAL LOOKUP'!A:J,7,1)</f>
        <v>MAR, FY25</v>
      </c>
      <c r="T479" s="6" t="str">
        <f>VLOOKUP(I479,'FIN CAL LOOKUP'!A:J,10,1)</f>
        <v>Q3, FY25</v>
      </c>
    </row>
    <row r="480" spans="1:20" x14ac:dyDescent="0.25">
      <c r="A480">
        <v>317531</v>
      </c>
      <c r="B480" t="s">
        <v>955</v>
      </c>
      <c r="C480" t="s">
        <v>956</v>
      </c>
      <c r="D480" t="s">
        <v>272</v>
      </c>
      <c r="E480" t="s">
        <v>264</v>
      </c>
      <c r="F480" t="s">
        <v>931</v>
      </c>
      <c r="G480" t="s">
        <v>266</v>
      </c>
      <c r="H480" s="5">
        <v>45713</v>
      </c>
      <c r="I480" s="5">
        <v>45721</v>
      </c>
      <c r="J480" t="s">
        <v>931</v>
      </c>
      <c r="K480" t="s">
        <v>268</v>
      </c>
      <c r="L480">
        <v>2</v>
      </c>
      <c r="M480" t="s">
        <v>932</v>
      </c>
      <c r="N480" t="s">
        <v>237</v>
      </c>
      <c r="O480">
        <v>0</v>
      </c>
      <c r="P480" s="6" t="str">
        <f>VLOOKUP(J480,'Store lookup'!A:C,2,0)</f>
        <v>S008</v>
      </c>
      <c r="Q480" s="6" t="str">
        <f>VLOOKUP(J480,'Store lookup'!A:C,3,0)</f>
        <v>Spotlight Essendon</v>
      </c>
      <c r="R480" s="6" t="str">
        <f t="shared" si="7"/>
        <v>Spotlight</v>
      </c>
      <c r="S480" s="6" t="str">
        <f>VLOOKUP(I480,'FIN CAL LOOKUP'!A:J,7,1)</f>
        <v>MAR, FY25</v>
      </c>
      <c r="T480" s="6" t="str">
        <f>VLOOKUP(I480,'FIN CAL LOOKUP'!A:J,10,1)</f>
        <v>Q3, FY25</v>
      </c>
    </row>
    <row r="481" spans="1:20" x14ac:dyDescent="0.25">
      <c r="A481">
        <v>230701</v>
      </c>
      <c r="B481" t="s">
        <v>823</v>
      </c>
      <c r="C481" t="s">
        <v>824</v>
      </c>
      <c r="D481" t="s">
        <v>278</v>
      </c>
      <c r="E481" t="s">
        <v>264</v>
      </c>
      <c r="F481" t="s">
        <v>926</v>
      </c>
      <c r="G481" t="s">
        <v>266</v>
      </c>
      <c r="H481" s="5">
        <v>45700</v>
      </c>
      <c r="I481" s="5">
        <v>45714</v>
      </c>
      <c r="J481" t="s">
        <v>926</v>
      </c>
      <c r="K481" t="s">
        <v>268</v>
      </c>
      <c r="L481">
        <v>1</v>
      </c>
      <c r="M481" t="s">
        <v>360</v>
      </c>
      <c r="N481" t="s">
        <v>237</v>
      </c>
      <c r="O481">
        <v>1</v>
      </c>
      <c r="P481" s="6" t="str">
        <f>VLOOKUP(J481,'Store lookup'!A:C,2,0)</f>
        <v>S034</v>
      </c>
      <c r="Q481" s="6" t="str">
        <f>VLOOKUP(J481,'Store lookup'!A:C,3,0)</f>
        <v>Spotlight Hoppers Crossing</v>
      </c>
      <c r="R481" s="6" t="str">
        <f t="shared" si="7"/>
        <v>Spotlight</v>
      </c>
      <c r="S481" s="6" t="str">
        <f>VLOOKUP(I481,'FIN CAL LOOKUP'!A:J,7,1)</f>
        <v>FEB, FY25</v>
      </c>
      <c r="T481" s="6" t="str">
        <f>VLOOKUP(I481,'FIN CAL LOOKUP'!A:J,10,1)</f>
        <v>Q3, FY25</v>
      </c>
    </row>
    <row r="482" spans="1:20" x14ac:dyDescent="0.25">
      <c r="A482">
        <v>314085</v>
      </c>
      <c r="B482" t="s">
        <v>331</v>
      </c>
      <c r="C482" t="s">
        <v>332</v>
      </c>
      <c r="D482" t="s">
        <v>333</v>
      </c>
      <c r="E482" t="s">
        <v>264</v>
      </c>
      <c r="F482" t="s">
        <v>957</v>
      </c>
      <c r="G482" t="s">
        <v>266</v>
      </c>
      <c r="H482" s="5">
        <v>45699</v>
      </c>
      <c r="I482" s="5">
        <v>45944</v>
      </c>
      <c r="J482" t="s">
        <v>957</v>
      </c>
      <c r="K482" t="s">
        <v>268</v>
      </c>
      <c r="L482">
        <v>1</v>
      </c>
      <c r="M482" t="s">
        <v>958</v>
      </c>
      <c r="N482" t="s">
        <v>236</v>
      </c>
      <c r="O482">
        <v>1</v>
      </c>
      <c r="P482" s="6" t="str">
        <f>VLOOKUP(J482,'Store lookup'!A:C,2,0)</f>
        <v>S005</v>
      </c>
      <c r="Q482" s="6" t="str">
        <f>VLOOKUP(J482,'Store lookup'!A:C,3,0)</f>
        <v>Spotlight Sandown</v>
      </c>
      <c r="R482" s="6" t="str">
        <f t="shared" si="7"/>
        <v>Spotlight</v>
      </c>
      <c r="S482" s="6" t="str">
        <f>VLOOKUP(I482,'FIN CAL LOOKUP'!A:J,7,1)</f>
        <v>OCT, FY26</v>
      </c>
      <c r="T482" s="6" t="str">
        <f>VLOOKUP(I482,'FIN CAL LOOKUP'!A:J,10,1)</f>
        <v>Q2, FY26</v>
      </c>
    </row>
    <row r="483" spans="1:20" x14ac:dyDescent="0.25">
      <c r="A483">
        <v>326683</v>
      </c>
      <c r="B483" t="s">
        <v>959</v>
      </c>
      <c r="C483" t="s">
        <v>960</v>
      </c>
      <c r="D483" t="s">
        <v>272</v>
      </c>
      <c r="E483" t="s">
        <v>264</v>
      </c>
      <c r="F483" t="s">
        <v>931</v>
      </c>
      <c r="G483" t="s">
        <v>266</v>
      </c>
      <c r="H483" s="5">
        <v>45699</v>
      </c>
      <c r="I483" s="5">
        <v>45721</v>
      </c>
      <c r="J483" t="s">
        <v>931</v>
      </c>
      <c r="K483" t="s">
        <v>268</v>
      </c>
      <c r="L483">
        <v>2</v>
      </c>
      <c r="M483" t="s">
        <v>932</v>
      </c>
      <c r="N483" t="s">
        <v>237</v>
      </c>
      <c r="O483">
        <v>0</v>
      </c>
      <c r="P483" s="6" t="str">
        <f>VLOOKUP(J483,'Store lookup'!A:C,2,0)</f>
        <v>S008</v>
      </c>
      <c r="Q483" s="6" t="str">
        <f>VLOOKUP(J483,'Store lookup'!A:C,3,0)</f>
        <v>Spotlight Essendon</v>
      </c>
      <c r="R483" s="6" t="str">
        <f t="shared" si="7"/>
        <v>Spotlight</v>
      </c>
      <c r="S483" s="6" t="str">
        <f>VLOOKUP(I483,'FIN CAL LOOKUP'!A:J,7,1)</f>
        <v>MAR, FY25</v>
      </c>
      <c r="T483" s="6" t="str">
        <f>VLOOKUP(I483,'FIN CAL LOOKUP'!A:J,10,1)</f>
        <v>Q3, FY25</v>
      </c>
    </row>
    <row r="484" spans="1:20" x14ac:dyDescent="0.25">
      <c r="A484">
        <v>332206</v>
      </c>
      <c r="B484" t="s">
        <v>961</v>
      </c>
      <c r="C484" t="s">
        <v>962</v>
      </c>
      <c r="D484" t="s">
        <v>278</v>
      </c>
      <c r="E484" t="s">
        <v>264</v>
      </c>
      <c r="F484" t="s">
        <v>938</v>
      </c>
      <c r="G484" t="s">
        <v>266</v>
      </c>
      <c r="H484" s="5">
        <v>45693</v>
      </c>
      <c r="I484" s="5">
        <v>45694</v>
      </c>
      <c r="J484" t="s">
        <v>938</v>
      </c>
      <c r="K484" t="s">
        <v>268</v>
      </c>
      <c r="L484">
        <v>1</v>
      </c>
      <c r="M484" t="s">
        <v>281</v>
      </c>
      <c r="N484" t="s">
        <v>237</v>
      </c>
      <c r="O484">
        <v>1</v>
      </c>
      <c r="P484" s="6" t="str">
        <f>VLOOKUP(J484,'Store lookup'!A:C,2,0)</f>
        <v>S002</v>
      </c>
      <c r="Q484" s="6" t="str">
        <f>VLOOKUP(J484,'Store lookup'!A:C,3,0)</f>
        <v>Spotlight Box Hill</v>
      </c>
      <c r="R484" s="6" t="str">
        <f t="shared" si="7"/>
        <v>Spotlight</v>
      </c>
      <c r="S484" s="6" t="str">
        <f>VLOOKUP(I484,'FIN CAL LOOKUP'!A:J,7,1)</f>
        <v>FEB, FY25</v>
      </c>
      <c r="T484" s="6" t="str">
        <f>VLOOKUP(I484,'FIN CAL LOOKUP'!A:J,10,1)</f>
        <v>Q3, FY25</v>
      </c>
    </row>
    <row r="485" spans="1:20" x14ac:dyDescent="0.25">
      <c r="A485">
        <v>239383</v>
      </c>
      <c r="B485" t="s">
        <v>904</v>
      </c>
      <c r="C485" t="s">
        <v>905</v>
      </c>
      <c r="D485" t="s">
        <v>284</v>
      </c>
      <c r="E485" t="s">
        <v>264</v>
      </c>
      <c r="F485" t="s">
        <v>924</v>
      </c>
      <c r="G485" t="s">
        <v>266</v>
      </c>
      <c r="H485" s="5">
        <v>45692</v>
      </c>
      <c r="I485" s="5">
        <v>45720</v>
      </c>
      <c r="J485" t="s">
        <v>925</v>
      </c>
      <c r="K485" t="s">
        <v>268</v>
      </c>
      <c r="L485">
        <v>1</v>
      </c>
      <c r="M485" t="s">
        <v>763</v>
      </c>
      <c r="N485" t="s">
        <v>237</v>
      </c>
      <c r="O485">
        <v>1</v>
      </c>
      <c r="P485" s="6" t="str">
        <f>VLOOKUP(J485,'Store lookup'!A:C,2,0)</f>
        <v>S114</v>
      </c>
      <c r="Q485" s="6" t="str">
        <f>VLOOKUP(J485,'Store lookup'!A:C,3,0)</f>
        <v>Spotlight Cranegie</v>
      </c>
      <c r="R485" s="6" t="str">
        <f t="shared" si="7"/>
        <v>Spotlight</v>
      </c>
      <c r="S485" s="6" t="str">
        <f>VLOOKUP(I485,'FIN CAL LOOKUP'!A:J,7,1)</f>
        <v>MAR, FY25</v>
      </c>
      <c r="T485" s="6" t="str">
        <f>VLOOKUP(I485,'FIN CAL LOOKUP'!A:J,10,1)</f>
        <v>Q3, FY25</v>
      </c>
    </row>
    <row r="486" spans="1:20" x14ac:dyDescent="0.25">
      <c r="A486">
        <v>337278</v>
      </c>
      <c r="B486" t="s">
        <v>963</v>
      </c>
      <c r="C486" t="s">
        <v>964</v>
      </c>
      <c r="D486" t="s">
        <v>272</v>
      </c>
      <c r="E486" t="s">
        <v>264</v>
      </c>
      <c r="F486" t="s">
        <v>919</v>
      </c>
      <c r="G486" t="s">
        <v>266</v>
      </c>
      <c r="H486" s="5">
        <v>45685</v>
      </c>
      <c r="I486" s="5">
        <v>45701</v>
      </c>
      <c r="J486" t="s">
        <v>919</v>
      </c>
      <c r="K486" t="s">
        <v>268</v>
      </c>
      <c r="L486">
        <v>1</v>
      </c>
      <c r="M486" t="s">
        <v>355</v>
      </c>
      <c r="N486" t="s">
        <v>237</v>
      </c>
      <c r="O486">
        <v>1</v>
      </c>
      <c r="P486" s="6" t="str">
        <f>VLOOKUP(J486,'Store lookup'!A:C,2,0)</f>
        <v>S070</v>
      </c>
      <c r="Q486" s="6" t="str">
        <f>VLOOKUP(J486,'Store lookup'!A:C,3,0)</f>
        <v>Spotlight Fountain Gate</v>
      </c>
      <c r="R486" s="6" t="str">
        <f t="shared" si="7"/>
        <v>Spotlight</v>
      </c>
      <c r="S486" s="6" t="str">
        <f>VLOOKUP(I486,'FIN CAL LOOKUP'!A:J,7,1)</f>
        <v>FEB, FY25</v>
      </c>
      <c r="T486" s="6" t="str">
        <f>VLOOKUP(I486,'FIN CAL LOOKUP'!A:J,10,1)</f>
        <v>Q3, FY25</v>
      </c>
    </row>
    <row r="487" spans="1:20" x14ac:dyDescent="0.25">
      <c r="A487">
        <v>335473</v>
      </c>
      <c r="B487" t="s">
        <v>334</v>
      </c>
      <c r="C487" t="s">
        <v>335</v>
      </c>
      <c r="D487" t="s">
        <v>307</v>
      </c>
      <c r="E487" t="s">
        <v>264</v>
      </c>
      <c r="F487" t="s">
        <v>965</v>
      </c>
      <c r="G487" t="s">
        <v>266</v>
      </c>
      <c r="H487" s="5">
        <v>45677</v>
      </c>
      <c r="I487" s="5">
        <v>45812</v>
      </c>
      <c r="J487" t="s">
        <v>965</v>
      </c>
      <c r="K487" t="s">
        <v>268</v>
      </c>
      <c r="L487">
        <v>1</v>
      </c>
      <c r="M487" t="s">
        <v>338</v>
      </c>
      <c r="N487" t="s">
        <v>236</v>
      </c>
      <c r="O487">
        <v>1</v>
      </c>
      <c r="P487" s="6" t="str">
        <f>VLOOKUP(J487,'Store lookup'!A:C,2,0)</f>
        <v>S010</v>
      </c>
      <c r="Q487" s="6" t="str">
        <f>VLOOKUP(J487,'Store lookup'!A:C,3,0)</f>
        <v>Spotlight Maribyrnong</v>
      </c>
      <c r="R487" s="6" t="str">
        <f t="shared" si="7"/>
        <v>Spotlight</v>
      </c>
      <c r="S487" s="6" t="str">
        <f>VLOOKUP(I487,'FIN CAL LOOKUP'!A:J,7,1)</f>
        <v>JUN, FY25</v>
      </c>
      <c r="T487" s="6" t="str">
        <f>VLOOKUP(I487,'FIN CAL LOOKUP'!A:J,10,1)</f>
        <v>Q4, FY25</v>
      </c>
    </row>
    <row r="488" spans="1:20" x14ac:dyDescent="0.25">
      <c r="A488">
        <v>208565</v>
      </c>
      <c r="B488" t="s">
        <v>487</v>
      </c>
      <c r="C488" t="s">
        <v>488</v>
      </c>
      <c r="D488" t="s">
        <v>333</v>
      </c>
      <c r="E488" t="s">
        <v>264</v>
      </c>
      <c r="F488" t="s">
        <v>931</v>
      </c>
      <c r="G488" t="s">
        <v>266</v>
      </c>
      <c r="H488" s="5">
        <v>45665</v>
      </c>
      <c r="I488" s="5">
        <v>45972</v>
      </c>
      <c r="J488" t="s">
        <v>931</v>
      </c>
      <c r="K488" t="s">
        <v>268</v>
      </c>
      <c r="L488">
        <v>1</v>
      </c>
      <c r="M488" t="s">
        <v>932</v>
      </c>
      <c r="N488" t="s">
        <v>236</v>
      </c>
      <c r="O488">
        <v>1</v>
      </c>
      <c r="P488" s="6" t="str">
        <f>VLOOKUP(J488,'Store lookup'!A:C,2,0)</f>
        <v>S008</v>
      </c>
      <c r="Q488" s="6" t="str">
        <f>VLOOKUP(J488,'Store lookup'!A:C,3,0)</f>
        <v>Spotlight Essendon</v>
      </c>
      <c r="R488" s="6" t="str">
        <f t="shared" si="7"/>
        <v>Spotlight</v>
      </c>
      <c r="S488" s="6" t="str">
        <f>VLOOKUP(I488,'FIN CAL LOOKUP'!A:J,7,1)</f>
        <v>NOV, FY26</v>
      </c>
      <c r="T488" s="6" t="str">
        <f>VLOOKUP(I488,'FIN CAL LOOKUP'!A:J,10,1)</f>
        <v>Q2, FY26</v>
      </c>
    </row>
    <row r="489" spans="1:20" x14ac:dyDescent="0.25">
      <c r="A489">
        <v>323134</v>
      </c>
      <c r="B489" t="s">
        <v>503</v>
      </c>
      <c r="C489" t="s">
        <v>504</v>
      </c>
      <c r="D489" t="s">
        <v>278</v>
      </c>
      <c r="E489" t="s">
        <v>264</v>
      </c>
      <c r="F489" t="s">
        <v>919</v>
      </c>
      <c r="G489" t="s">
        <v>266</v>
      </c>
      <c r="H489" s="5">
        <v>45664</v>
      </c>
      <c r="I489" s="5">
        <v>45743</v>
      </c>
      <c r="J489" t="s">
        <v>919</v>
      </c>
      <c r="K489" t="s">
        <v>268</v>
      </c>
      <c r="L489">
        <v>1</v>
      </c>
      <c r="M489" t="s">
        <v>355</v>
      </c>
      <c r="N489" t="s">
        <v>236</v>
      </c>
      <c r="O489">
        <v>1</v>
      </c>
      <c r="P489" s="6" t="str">
        <f>VLOOKUP(J489,'Store lookup'!A:C,2,0)</f>
        <v>S070</v>
      </c>
      <c r="Q489" s="6" t="str">
        <f>VLOOKUP(J489,'Store lookup'!A:C,3,0)</f>
        <v>Spotlight Fountain Gate</v>
      </c>
      <c r="R489" s="6" t="str">
        <f t="shared" si="7"/>
        <v>Spotlight</v>
      </c>
      <c r="S489" s="6" t="str">
        <f>VLOOKUP(I489,'FIN CAL LOOKUP'!A:J,7,1)</f>
        <v>MAR, FY25</v>
      </c>
      <c r="T489" s="6" t="str">
        <f>VLOOKUP(I489,'FIN CAL LOOKUP'!A:J,10,1)</f>
        <v>Q3, FY25</v>
      </c>
    </row>
    <row r="490" spans="1:20" x14ac:dyDescent="0.25">
      <c r="A490">
        <v>203082</v>
      </c>
      <c r="B490" t="s">
        <v>481</v>
      </c>
      <c r="C490" t="s">
        <v>482</v>
      </c>
      <c r="D490" t="s">
        <v>333</v>
      </c>
      <c r="E490" t="s">
        <v>264</v>
      </c>
      <c r="F490" t="s">
        <v>926</v>
      </c>
      <c r="G490" t="s">
        <v>266</v>
      </c>
      <c r="H490" s="5">
        <v>45663</v>
      </c>
      <c r="I490" s="5">
        <v>45902</v>
      </c>
      <c r="J490" t="s">
        <v>926</v>
      </c>
      <c r="K490" t="s">
        <v>268</v>
      </c>
      <c r="L490">
        <v>1</v>
      </c>
      <c r="M490" t="s">
        <v>360</v>
      </c>
      <c r="N490" t="s">
        <v>236</v>
      </c>
      <c r="O490">
        <v>1</v>
      </c>
      <c r="P490" s="6" t="str">
        <f>VLOOKUP(J490,'Store lookup'!A:C,2,0)</f>
        <v>S034</v>
      </c>
      <c r="Q490" s="6" t="str">
        <f>VLOOKUP(J490,'Store lookup'!A:C,3,0)</f>
        <v>Spotlight Hoppers Crossing</v>
      </c>
      <c r="R490" s="6" t="str">
        <f t="shared" si="7"/>
        <v>Spotlight</v>
      </c>
      <c r="S490" s="6" t="str">
        <f>VLOOKUP(I490,'FIN CAL LOOKUP'!A:J,7,1)</f>
        <v>SEP, FY26</v>
      </c>
      <c r="T490" s="6" t="str">
        <f>VLOOKUP(I490,'FIN CAL LOOKUP'!A:J,10,1)</f>
        <v>Q1, FY26</v>
      </c>
    </row>
    <row r="491" spans="1:20" x14ac:dyDescent="0.25">
      <c r="A491">
        <v>325114</v>
      </c>
      <c r="B491" t="s">
        <v>581</v>
      </c>
      <c r="C491" t="s">
        <v>582</v>
      </c>
      <c r="D491" t="s">
        <v>333</v>
      </c>
      <c r="E491" t="s">
        <v>264</v>
      </c>
      <c r="F491" t="s">
        <v>926</v>
      </c>
      <c r="G491" t="s">
        <v>266</v>
      </c>
      <c r="H491" s="5">
        <v>45663</v>
      </c>
      <c r="I491" s="5">
        <v>45890</v>
      </c>
      <c r="J491" t="s">
        <v>926</v>
      </c>
      <c r="K491" t="s">
        <v>268</v>
      </c>
      <c r="L491">
        <v>1</v>
      </c>
      <c r="M491" t="s">
        <v>360</v>
      </c>
      <c r="N491" t="s">
        <v>236</v>
      </c>
      <c r="O491">
        <v>1</v>
      </c>
      <c r="P491" s="6" t="str">
        <f>VLOOKUP(J491,'Store lookup'!A:C,2,0)</f>
        <v>S034</v>
      </c>
      <c r="Q491" s="6" t="str">
        <f>VLOOKUP(J491,'Store lookup'!A:C,3,0)</f>
        <v>Spotlight Hoppers Crossing</v>
      </c>
      <c r="R491" s="6" t="str">
        <f t="shared" si="7"/>
        <v>Spotlight</v>
      </c>
      <c r="S491" s="6" t="str">
        <f>VLOOKUP(I491,'FIN CAL LOOKUP'!A:J,7,1)</f>
        <v>AUG, FY26</v>
      </c>
      <c r="T491" s="6" t="str">
        <f>VLOOKUP(I491,'FIN CAL LOOKUP'!A:J,10,1)</f>
        <v>Q1, FY26</v>
      </c>
    </row>
    <row r="492" spans="1:20" x14ac:dyDescent="0.25">
      <c r="A492">
        <v>302779</v>
      </c>
      <c r="B492" t="s">
        <v>583</v>
      </c>
      <c r="C492" t="s">
        <v>584</v>
      </c>
      <c r="D492" t="s">
        <v>333</v>
      </c>
      <c r="E492" t="s">
        <v>264</v>
      </c>
      <c r="F492" t="s">
        <v>926</v>
      </c>
      <c r="G492" t="s">
        <v>266</v>
      </c>
      <c r="H492" s="5">
        <v>45663</v>
      </c>
      <c r="I492" s="5">
        <v>45741</v>
      </c>
      <c r="J492" t="s">
        <v>926</v>
      </c>
      <c r="K492" t="s">
        <v>268</v>
      </c>
      <c r="L492">
        <v>1</v>
      </c>
      <c r="M492" t="s">
        <v>360</v>
      </c>
      <c r="N492" t="s">
        <v>236</v>
      </c>
      <c r="O492">
        <v>1</v>
      </c>
      <c r="P492" s="6" t="str">
        <f>VLOOKUP(J492,'Store lookup'!A:C,2,0)</f>
        <v>S034</v>
      </c>
      <c r="Q492" s="6" t="str">
        <f>VLOOKUP(J492,'Store lookup'!A:C,3,0)</f>
        <v>Spotlight Hoppers Crossing</v>
      </c>
      <c r="R492" s="6" t="str">
        <f t="shared" si="7"/>
        <v>Spotlight</v>
      </c>
      <c r="S492" s="6" t="str">
        <f>VLOOKUP(I492,'FIN CAL LOOKUP'!A:J,7,1)</f>
        <v>MAR, FY25</v>
      </c>
      <c r="T492" s="6" t="str">
        <f>VLOOKUP(I492,'FIN CAL LOOKUP'!A:J,10,1)</f>
        <v>Q3, FY25</v>
      </c>
    </row>
    <row r="493" spans="1:20" x14ac:dyDescent="0.25">
      <c r="A493">
        <v>314295</v>
      </c>
      <c r="B493" t="s">
        <v>815</v>
      </c>
      <c r="C493" t="s">
        <v>816</v>
      </c>
      <c r="D493" t="s">
        <v>307</v>
      </c>
      <c r="E493" t="s">
        <v>264</v>
      </c>
      <c r="F493" t="s">
        <v>919</v>
      </c>
      <c r="G493" t="s">
        <v>266</v>
      </c>
      <c r="H493" s="5">
        <v>45629</v>
      </c>
      <c r="I493" s="5">
        <v>45639</v>
      </c>
      <c r="J493" t="s">
        <v>919</v>
      </c>
      <c r="K493" t="s">
        <v>268</v>
      </c>
      <c r="L493">
        <v>1</v>
      </c>
      <c r="M493" t="s">
        <v>355</v>
      </c>
      <c r="N493" t="s">
        <v>237</v>
      </c>
      <c r="O493">
        <v>1</v>
      </c>
      <c r="P493" s="6" t="str">
        <f>VLOOKUP(J493,'Store lookup'!A:C,2,0)</f>
        <v>S070</v>
      </c>
      <c r="Q493" s="6" t="str">
        <f>VLOOKUP(J493,'Store lookup'!A:C,3,0)</f>
        <v>Spotlight Fountain Gate</v>
      </c>
      <c r="R493" s="6" t="str">
        <f t="shared" si="7"/>
        <v>Spotlight</v>
      </c>
      <c r="S493" s="6" t="str">
        <f>VLOOKUP(I493,'FIN CAL LOOKUP'!A:J,7,1)</f>
        <v>DEC, FY25</v>
      </c>
      <c r="T493" s="6" t="str">
        <f>VLOOKUP(I493,'FIN CAL LOOKUP'!A:J,10,1)</f>
        <v>Q2, FY25</v>
      </c>
    </row>
    <row r="494" spans="1:20" x14ac:dyDescent="0.25">
      <c r="A494">
        <v>331860</v>
      </c>
      <c r="B494" t="s">
        <v>966</v>
      </c>
      <c r="C494" t="s">
        <v>967</v>
      </c>
      <c r="D494" t="s">
        <v>542</v>
      </c>
      <c r="E494" t="s">
        <v>264</v>
      </c>
      <c r="F494" t="s">
        <v>926</v>
      </c>
      <c r="G494" t="s">
        <v>266</v>
      </c>
      <c r="H494" s="5">
        <v>45629</v>
      </c>
      <c r="I494" s="5">
        <v>45631</v>
      </c>
      <c r="J494" t="s">
        <v>926</v>
      </c>
      <c r="K494" t="s">
        <v>268</v>
      </c>
      <c r="L494">
        <v>1</v>
      </c>
      <c r="M494" t="s">
        <v>360</v>
      </c>
      <c r="N494" t="s">
        <v>237</v>
      </c>
      <c r="O494">
        <v>1</v>
      </c>
      <c r="P494" s="6" t="str">
        <f>VLOOKUP(J494,'Store lookup'!A:C,2,0)</f>
        <v>S034</v>
      </c>
      <c r="Q494" s="6" t="str">
        <f>VLOOKUP(J494,'Store lookup'!A:C,3,0)</f>
        <v>Spotlight Hoppers Crossing</v>
      </c>
      <c r="R494" s="6" t="str">
        <f t="shared" si="7"/>
        <v>Spotlight</v>
      </c>
      <c r="S494" s="6" t="str">
        <f>VLOOKUP(I494,'FIN CAL LOOKUP'!A:J,7,1)</f>
        <v>DEC, FY25</v>
      </c>
      <c r="T494" s="6" t="str">
        <f>VLOOKUP(I494,'FIN CAL LOOKUP'!A:J,10,1)</f>
        <v>Q2, FY25</v>
      </c>
    </row>
    <row r="495" spans="1:20" x14ac:dyDescent="0.25">
      <c r="A495">
        <v>337294</v>
      </c>
      <c r="B495" t="s">
        <v>968</v>
      </c>
      <c r="C495" t="s">
        <v>969</v>
      </c>
      <c r="D495" t="s">
        <v>272</v>
      </c>
      <c r="E495" t="s">
        <v>264</v>
      </c>
      <c r="F495" t="s">
        <v>938</v>
      </c>
      <c r="G495" t="s">
        <v>266</v>
      </c>
      <c r="H495" s="5">
        <v>45628</v>
      </c>
      <c r="I495" s="5">
        <v>45637</v>
      </c>
      <c r="J495" t="s">
        <v>938</v>
      </c>
      <c r="K495" t="s">
        <v>268</v>
      </c>
      <c r="L495">
        <v>1</v>
      </c>
      <c r="M495" t="s">
        <v>281</v>
      </c>
      <c r="N495" t="s">
        <v>237</v>
      </c>
      <c r="O495">
        <v>1</v>
      </c>
      <c r="P495" s="6" t="str">
        <f>VLOOKUP(J495,'Store lookup'!A:C,2,0)</f>
        <v>S002</v>
      </c>
      <c r="Q495" s="6" t="str">
        <f>VLOOKUP(J495,'Store lookup'!A:C,3,0)</f>
        <v>Spotlight Box Hill</v>
      </c>
      <c r="R495" s="6" t="str">
        <f t="shared" si="7"/>
        <v>Spotlight</v>
      </c>
      <c r="S495" s="6" t="str">
        <f>VLOOKUP(I495,'FIN CAL LOOKUP'!A:J,7,1)</f>
        <v>DEC, FY25</v>
      </c>
      <c r="T495" s="6" t="str">
        <f>VLOOKUP(I495,'FIN CAL LOOKUP'!A:J,10,1)</f>
        <v>Q2, FY25</v>
      </c>
    </row>
    <row r="496" spans="1:20" x14ac:dyDescent="0.25">
      <c r="A496">
        <v>229776</v>
      </c>
      <c r="B496" t="s">
        <v>555</v>
      </c>
      <c r="C496" t="s">
        <v>556</v>
      </c>
      <c r="D496" t="s">
        <v>278</v>
      </c>
      <c r="E496" t="s">
        <v>264</v>
      </c>
      <c r="F496" t="s">
        <v>927</v>
      </c>
      <c r="G496" t="s">
        <v>266</v>
      </c>
      <c r="H496" s="5">
        <v>45621</v>
      </c>
      <c r="I496" s="5">
        <v>45632</v>
      </c>
      <c r="J496" t="s">
        <v>927</v>
      </c>
      <c r="K496" t="s">
        <v>268</v>
      </c>
      <c r="L496">
        <v>1</v>
      </c>
      <c r="M496" t="s">
        <v>928</v>
      </c>
      <c r="N496" t="s">
        <v>237</v>
      </c>
      <c r="O496">
        <v>1</v>
      </c>
      <c r="P496" s="6" t="str">
        <f>VLOOKUP(J496,'Store lookup'!A:C,2,0)</f>
        <v>S159</v>
      </c>
      <c r="Q496" s="6" t="str">
        <f>VLOOKUP(J496,'Store lookup'!A:C,3,0)</f>
        <v>Spotlight The Glen Creative</v>
      </c>
      <c r="R496" s="6" t="str">
        <f t="shared" si="7"/>
        <v>Spotlight</v>
      </c>
      <c r="S496" s="6" t="str">
        <f>VLOOKUP(I496,'FIN CAL LOOKUP'!A:J,7,1)</f>
        <v>DEC, FY25</v>
      </c>
      <c r="T496" s="6" t="str">
        <f>VLOOKUP(I496,'FIN CAL LOOKUP'!A:J,10,1)</f>
        <v>Q2, FY25</v>
      </c>
    </row>
    <row r="497" spans="1:20" x14ac:dyDescent="0.25">
      <c r="A497">
        <v>229776</v>
      </c>
      <c r="B497" t="s">
        <v>555</v>
      </c>
      <c r="C497" t="s">
        <v>556</v>
      </c>
      <c r="D497" t="s">
        <v>278</v>
      </c>
      <c r="E497" t="s">
        <v>264</v>
      </c>
      <c r="F497" t="s">
        <v>935</v>
      </c>
      <c r="G497" t="s">
        <v>266</v>
      </c>
      <c r="H497" s="5">
        <v>45621</v>
      </c>
      <c r="I497" s="5">
        <v>45630</v>
      </c>
      <c r="J497" t="s">
        <v>935</v>
      </c>
      <c r="K497" t="s">
        <v>268</v>
      </c>
      <c r="L497">
        <v>1</v>
      </c>
      <c r="M497" t="s">
        <v>676</v>
      </c>
      <c r="N497" t="s">
        <v>237</v>
      </c>
      <c r="O497">
        <v>1</v>
      </c>
      <c r="P497" s="6" t="str">
        <f>VLOOKUP(J497,'Store lookup'!A:C,2,0)</f>
        <v>S027</v>
      </c>
      <c r="Q497" s="6" t="str">
        <f>VLOOKUP(J497,'Store lookup'!A:C,3,0)</f>
        <v>Spotlight South Melbourne</v>
      </c>
      <c r="R497" s="6" t="str">
        <f t="shared" si="7"/>
        <v>Spotlight</v>
      </c>
      <c r="S497" s="6" t="str">
        <f>VLOOKUP(I497,'FIN CAL LOOKUP'!A:J,7,1)</f>
        <v>DEC, FY25</v>
      </c>
      <c r="T497" s="6" t="str">
        <f>VLOOKUP(I497,'FIN CAL LOOKUP'!A:J,10,1)</f>
        <v>Q2, FY25</v>
      </c>
    </row>
    <row r="498" spans="1:20" x14ac:dyDescent="0.25">
      <c r="A498">
        <v>298250</v>
      </c>
      <c r="B498" t="s">
        <v>442</v>
      </c>
      <c r="C498" t="s">
        <v>443</v>
      </c>
      <c r="D498" t="s">
        <v>278</v>
      </c>
      <c r="E498" t="s">
        <v>264</v>
      </c>
      <c r="F498" t="s">
        <v>970</v>
      </c>
      <c r="G498" t="s">
        <v>266</v>
      </c>
      <c r="H498" s="5">
        <v>45617</v>
      </c>
      <c r="I498" s="5">
        <v>45624</v>
      </c>
      <c r="J498" t="s">
        <v>970</v>
      </c>
      <c r="K498" t="s">
        <v>268</v>
      </c>
      <c r="L498">
        <v>1</v>
      </c>
      <c r="N498" t="s">
        <v>237</v>
      </c>
      <c r="O498">
        <v>1</v>
      </c>
      <c r="P498" s="6" t="str">
        <f>VLOOKUP(J498,'Store lookup'!A:C,2,0)</f>
        <v>S074</v>
      </c>
      <c r="Q498" s="6" t="str">
        <f>VLOOKUP(J498,'Store lookup'!A:C,3,0)</f>
        <v>Spotlight Clovercrest</v>
      </c>
      <c r="R498" s="6" t="str">
        <f t="shared" si="7"/>
        <v>Spotlight</v>
      </c>
      <c r="S498" s="6" t="str">
        <f>VLOOKUP(I498,'FIN CAL LOOKUP'!A:J,7,1)</f>
        <v>NOV, FY25</v>
      </c>
      <c r="T498" s="6" t="str">
        <f>VLOOKUP(I498,'FIN CAL LOOKUP'!A:J,10,1)</f>
        <v>Q2, FY25</v>
      </c>
    </row>
    <row r="499" spans="1:20" x14ac:dyDescent="0.25">
      <c r="A499">
        <v>327036</v>
      </c>
      <c r="B499" t="s">
        <v>397</v>
      </c>
      <c r="C499" t="s">
        <v>398</v>
      </c>
      <c r="D499" t="s">
        <v>278</v>
      </c>
      <c r="E499" t="s">
        <v>264</v>
      </c>
      <c r="F499" t="s">
        <v>957</v>
      </c>
      <c r="G499" t="s">
        <v>266</v>
      </c>
      <c r="H499" s="5">
        <v>45610</v>
      </c>
      <c r="I499" s="5">
        <v>45622</v>
      </c>
      <c r="J499" t="s">
        <v>957</v>
      </c>
      <c r="K499" t="s">
        <v>268</v>
      </c>
      <c r="L499">
        <v>1</v>
      </c>
      <c r="M499" t="s">
        <v>958</v>
      </c>
      <c r="N499" t="s">
        <v>237</v>
      </c>
      <c r="O499">
        <v>1</v>
      </c>
      <c r="P499" s="6" t="str">
        <f>VLOOKUP(J499,'Store lookup'!A:C,2,0)</f>
        <v>S005</v>
      </c>
      <c r="Q499" s="6" t="str">
        <f>VLOOKUP(J499,'Store lookup'!A:C,3,0)</f>
        <v>Spotlight Sandown</v>
      </c>
      <c r="R499" s="6" t="str">
        <f t="shared" si="7"/>
        <v>Spotlight</v>
      </c>
      <c r="S499" s="6" t="str">
        <f>VLOOKUP(I499,'FIN CAL LOOKUP'!A:J,7,1)</f>
        <v>NOV, FY25</v>
      </c>
      <c r="T499" s="6" t="str">
        <f>VLOOKUP(I499,'FIN CAL LOOKUP'!A:J,10,1)</f>
        <v>Q2, FY25</v>
      </c>
    </row>
    <row r="500" spans="1:20" x14ac:dyDescent="0.25">
      <c r="A500">
        <v>326780</v>
      </c>
      <c r="B500" t="s">
        <v>971</v>
      </c>
      <c r="C500" t="s">
        <v>972</v>
      </c>
      <c r="D500" t="s">
        <v>272</v>
      </c>
      <c r="E500" t="s">
        <v>264</v>
      </c>
      <c r="F500" t="s">
        <v>924</v>
      </c>
      <c r="G500" t="s">
        <v>266</v>
      </c>
      <c r="H500" s="5">
        <v>45595</v>
      </c>
      <c r="I500" s="5">
        <v>45615</v>
      </c>
      <c r="J500" t="s">
        <v>925</v>
      </c>
      <c r="K500" t="s">
        <v>268</v>
      </c>
      <c r="L500">
        <v>1</v>
      </c>
      <c r="M500" t="s">
        <v>763</v>
      </c>
      <c r="N500" t="s">
        <v>237</v>
      </c>
      <c r="O500">
        <v>1</v>
      </c>
      <c r="P500" s="6" t="str">
        <f>VLOOKUP(J500,'Store lookup'!A:C,2,0)</f>
        <v>S114</v>
      </c>
      <c r="Q500" s="6" t="str">
        <f>VLOOKUP(J500,'Store lookup'!A:C,3,0)</f>
        <v>Spotlight Cranegie</v>
      </c>
      <c r="R500" s="6" t="str">
        <f t="shared" si="7"/>
        <v>Spotlight</v>
      </c>
      <c r="S500" s="6" t="str">
        <f>VLOOKUP(I500,'FIN CAL LOOKUP'!A:J,7,1)</f>
        <v>NOV, FY25</v>
      </c>
      <c r="T500" s="6" t="str">
        <f>VLOOKUP(I500,'FIN CAL LOOKUP'!A:J,10,1)</f>
        <v>Q2, FY25</v>
      </c>
    </row>
    <row r="501" spans="1:20" x14ac:dyDescent="0.25">
      <c r="A501">
        <v>328358</v>
      </c>
      <c r="B501" t="s">
        <v>414</v>
      </c>
      <c r="C501" t="s">
        <v>415</v>
      </c>
      <c r="D501" t="s">
        <v>278</v>
      </c>
      <c r="E501" t="s">
        <v>264</v>
      </c>
      <c r="F501" t="s">
        <v>936</v>
      </c>
      <c r="G501" t="s">
        <v>266</v>
      </c>
      <c r="H501" s="5">
        <v>45594</v>
      </c>
      <c r="I501" s="5">
        <v>45595</v>
      </c>
      <c r="J501" t="s">
        <v>937</v>
      </c>
      <c r="K501" t="s">
        <v>268</v>
      </c>
      <c r="L501">
        <v>1</v>
      </c>
      <c r="M501" t="s">
        <v>269</v>
      </c>
      <c r="N501" t="s">
        <v>237</v>
      </c>
      <c r="O501">
        <v>1</v>
      </c>
      <c r="P501" s="6" t="str">
        <f>VLOOKUP(J501,'Store lookup'!A:C,2,0)</f>
        <v>S014</v>
      </c>
      <c r="Q501" s="6" t="str">
        <f>VLOOKUP(J501,'Store lookup'!A:C,3,0)</f>
        <v>Spotlight Bayswater</v>
      </c>
      <c r="R501" s="6" t="str">
        <f t="shared" si="7"/>
        <v>Spotlight</v>
      </c>
      <c r="S501" s="6" t="str">
        <f>VLOOKUP(I501,'FIN CAL LOOKUP'!A:J,7,1)</f>
        <v>NOV, FY25</v>
      </c>
      <c r="T501" s="6" t="str">
        <f>VLOOKUP(I501,'FIN CAL LOOKUP'!A:J,10,1)</f>
        <v>Q2, FY25</v>
      </c>
    </row>
    <row r="502" spans="1:20" x14ac:dyDescent="0.25">
      <c r="A502">
        <v>317493</v>
      </c>
      <c r="B502" t="s">
        <v>448</v>
      </c>
      <c r="C502" t="s">
        <v>449</v>
      </c>
      <c r="D502" t="s">
        <v>333</v>
      </c>
      <c r="E502" t="s">
        <v>264</v>
      </c>
      <c r="F502" t="s">
        <v>924</v>
      </c>
      <c r="G502" t="s">
        <v>266</v>
      </c>
      <c r="H502" s="5">
        <v>45593</v>
      </c>
      <c r="I502" s="5">
        <v>45611</v>
      </c>
      <c r="J502" t="s">
        <v>925</v>
      </c>
      <c r="K502" t="s">
        <v>268</v>
      </c>
      <c r="L502">
        <v>1</v>
      </c>
      <c r="M502" t="s">
        <v>763</v>
      </c>
      <c r="N502" t="s">
        <v>237</v>
      </c>
      <c r="O502">
        <v>1</v>
      </c>
      <c r="P502" s="6" t="str">
        <f>VLOOKUP(J502,'Store lookup'!A:C,2,0)</f>
        <v>S114</v>
      </c>
      <c r="Q502" s="6" t="str">
        <f>VLOOKUP(J502,'Store lookup'!A:C,3,0)</f>
        <v>Spotlight Cranegie</v>
      </c>
      <c r="R502" s="6" t="str">
        <f t="shared" si="7"/>
        <v>Spotlight</v>
      </c>
      <c r="S502" s="6" t="str">
        <f>VLOOKUP(I502,'FIN CAL LOOKUP'!A:J,7,1)</f>
        <v>NOV, FY25</v>
      </c>
      <c r="T502" s="6" t="str">
        <f>VLOOKUP(I502,'FIN CAL LOOKUP'!A:J,10,1)</f>
        <v>Q2, FY25</v>
      </c>
    </row>
    <row r="503" spans="1:20" x14ac:dyDescent="0.25">
      <c r="A503">
        <v>312716</v>
      </c>
      <c r="B503" t="s">
        <v>973</v>
      </c>
      <c r="C503" t="s">
        <v>974</v>
      </c>
      <c r="D503" t="s">
        <v>272</v>
      </c>
      <c r="E503" t="s">
        <v>264</v>
      </c>
      <c r="F503" t="s">
        <v>965</v>
      </c>
      <c r="G503" t="s">
        <v>266</v>
      </c>
      <c r="H503" s="5">
        <v>45593</v>
      </c>
      <c r="I503" s="5">
        <v>45610</v>
      </c>
      <c r="J503" t="s">
        <v>965</v>
      </c>
      <c r="K503" t="s">
        <v>268</v>
      </c>
      <c r="L503">
        <v>1</v>
      </c>
      <c r="M503" t="s">
        <v>338</v>
      </c>
      <c r="N503" t="s">
        <v>237</v>
      </c>
      <c r="O503">
        <v>1</v>
      </c>
      <c r="P503" s="6" t="str">
        <f>VLOOKUP(J503,'Store lookup'!A:C,2,0)</f>
        <v>S010</v>
      </c>
      <c r="Q503" s="6" t="str">
        <f>VLOOKUP(J503,'Store lookup'!A:C,3,0)</f>
        <v>Spotlight Maribyrnong</v>
      </c>
      <c r="R503" s="6" t="str">
        <f t="shared" si="7"/>
        <v>Spotlight</v>
      </c>
      <c r="S503" s="6" t="str">
        <f>VLOOKUP(I503,'FIN CAL LOOKUP'!A:J,7,1)</f>
        <v>NOV, FY25</v>
      </c>
      <c r="T503" s="6" t="str">
        <f>VLOOKUP(I503,'FIN CAL LOOKUP'!A:J,10,1)</f>
        <v>Q2, FY25</v>
      </c>
    </row>
    <row r="504" spans="1:20" x14ac:dyDescent="0.25">
      <c r="A504">
        <v>329636</v>
      </c>
      <c r="B504" t="s">
        <v>975</v>
      </c>
      <c r="C504" t="s">
        <v>976</v>
      </c>
      <c r="D504" t="s">
        <v>272</v>
      </c>
      <c r="E504" t="s">
        <v>264</v>
      </c>
      <c r="F504" t="s">
        <v>938</v>
      </c>
      <c r="G504" t="s">
        <v>266</v>
      </c>
      <c r="H504" s="5">
        <v>45593</v>
      </c>
      <c r="I504" s="5">
        <v>45610</v>
      </c>
      <c r="J504" t="s">
        <v>938</v>
      </c>
      <c r="K504" t="s">
        <v>268</v>
      </c>
      <c r="L504">
        <v>1</v>
      </c>
      <c r="M504" t="s">
        <v>281</v>
      </c>
      <c r="N504" t="s">
        <v>237</v>
      </c>
      <c r="O504">
        <v>1</v>
      </c>
      <c r="P504" s="6" t="str">
        <f>VLOOKUP(J504,'Store lookup'!A:C,2,0)</f>
        <v>S002</v>
      </c>
      <c r="Q504" s="6" t="str">
        <f>VLOOKUP(J504,'Store lookup'!A:C,3,0)</f>
        <v>Spotlight Box Hill</v>
      </c>
      <c r="R504" s="6" t="str">
        <f t="shared" si="7"/>
        <v>Spotlight</v>
      </c>
      <c r="S504" s="6" t="str">
        <f>VLOOKUP(I504,'FIN CAL LOOKUP'!A:J,7,1)</f>
        <v>NOV, FY25</v>
      </c>
      <c r="T504" s="6" t="str">
        <f>VLOOKUP(I504,'FIN CAL LOOKUP'!A:J,10,1)</f>
        <v>Q2, FY25</v>
      </c>
    </row>
    <row r="505" spans="1:20" x14ac:dyDescent="0.25">
      <c r="A505">
        <v>239766</v>
      </c>
      <c r="B505" t="s">
        <v>840</v>
      </c>
      <c r="C505" t="s">
        <v>884</v>
      </c>
      <c r="D505" t="s">
        <v>307</v>
      </c>
      <c r="E505" t="s">
        <v>264</v>
      </c>
      <c r="F505" t="s">
        <v>935</v>
      </c>
      <c r="G505" t="s">
        <v>266</v>
      </c>
      <c r="H505" s="5">
        <v>45582</v>
      </c>
      <c r="I505" s="5">
        <v>45615</v>
      </c>
      <c r="J505" t="s">
        <v>935</v>
      </c>
      <c r="K505" t="s">
        <v>268</v>
      </c>
      <c r="L505">
        <v>1</v>
      </c>
      <c r="M505" t="s">
        <v>676</v>
      </c>
      <c r="N505" t="s">
        <v>237</v>
      </c>
      <c r="O505">
        <v>1</v>
      </c>
      <c r="P505" s="6" t="str">
        <f>VLOOKUP(J505,'Store lookup'!A:C,2,0)</f>
        <v>S027</v>
      </c>
      <c r="Q505" s="6" t="str">
        <f>VLOOKUP(J505,'Store lookup'!A:C,3,0)</f>
        <v>Spotlight South Melbourne</v>
      </c>
      <c r="R505" s="6" t="str">
        <f t="shared" si="7"/>
        <v>Spotlight</v>
      </c>
      <c r="S505" s="6" t="str">
        <f>VLOOKUP(I505,'FIN CAL LOOKUP'!A:J,7,1)</f>
        <v>NOV, FY25</v>
      </c>
      <c r="T505" s="6" t="str">
        <f>VLOOKUP(I505,'FIN CAL LOOKUP'!A:J,10,1)</f>
        <v>Q2, FY25</v>
      </c>
    </row>
    <row r="506" spans="1:20" x14ac:dyDescent="0.25">
      <c r="A506">
        <v>329850</v>
      </c>
      <c r="B506" t="s">
        <v>831</v>
      </c>
      <c r="C506" t="s">
        <v>832</v>
      </c>
      <c r="D506" t="s">
        <v>272</v>
      </c>
      <c r="E506" t="s">
        <v>264</v>
      </c>
      <c r="F506" t="s">
        <v>924</v>
      </c>
      <c r="G506" t="s">
        <v>266</v>
      </c>
      <c r="H506" s="5">
        <v>45582</v>
      </c>
      <c r="I506" s="5">
        <v>45602</v>
      </c>
      <c r="J506" t="s">
        <v>925</v>
      </c>
      <c r="K506" t="s">
        <v>268</v>
      </c>
      <c r="L506">
        <v>1</v>
      </c>
      <c r="M506" t="s">
        <v>763</v>
      </c>
      <c r="N506" t="s">
        <v>237</v>
      </c>
      <c r="O506">
        <v>1</v>
      </c>
      <c r="P506" s="6" t="str">
        <f>VLOOKUP(J506,'Store lookup'!A:C,2,0)</f>
        <v>S114</v>
      </c>
      <c r="Q506" s="6" t="str">
        <f>VLOOKUP(J506,'Store lookup'!A:C,3,0)</f>
        <v>Spotlight Cranegie</v>
      </c>
      <c r="R506" s="6" t="str">
        <f t="shared" si="7"/>
        <v>Spotlight</v>
      </c>
      <c r="S506" s="6" t="str">
        <f>VLOOKUP(I506,'FIN CAL LOOKUP'!A:J,7,1)</f>
        <v>NOV, FY25</v>
      </c>
      <c r="T506" s="6" t="str">
        <f>VLOOKUP(I506,'FIN CAL LOOKUP'!A:J,10,1)</f>
        <v>Q2, FY25</v>
      </c>
    </row>
    <row r="507" spans="1:20" x14ac:dyDescent="0.25">
      <c r="A507">
        <v>314085</v>
      </c>
      <c r="B507" t="s">
        <v>331</v>
      </c>
      <c r="C507" t="s">
        <v>332</v>
      </c>
      <c r="D507" t="s">
        <v>333</v>
      </c>
      <c r="E507" t="s">
        <v>264</v>
      </c>
      <c r="F507" t="s">
        <v>957</v>
      </c>
      <c r="G507" t="s">
        <v>266</v>
      </c>
      <c r="H507" s="5">
        <v>45575</v>
      </c>
      <c r="I507" s="5">
        <v>45608</v>
      </c>
      <c r="J507" t="s">
        <v>957</v>
      </c>
      <c r="K507" t="s">
        <v>268</v>
      </c>
      <c r="L507">
        <v>1</v>
      </c>
      <c r="M507" t="s">
        <v>958</v>
      </c>
      <c r="N507" t="s">
        <v>237</v>
      </c>
      <c r="O507">
        <v>1</v>
      </c>
      <c r="P507" s="6" t="str">
        <f>VLOOKUP(J507,'Store lookup'!A:C,2,0)</f>
        <v>S005</v>
      </c>
      <c r="Q507" s="6" t="str">
        <f>VLOOKUP(J507,'Store lookup'!A:C,3,0)</f>
        <v>Spotlight Sandown</v>
      </c>
      <c r="R507" s="6" t="str">
        <f t="shared" si="7"/>
        <v>Spotlight</v>
      </c>
      <c r="S507" s="6" t="str">
        <f>VLOOKUP(I507,'FIN CAL LOOKUP'!A:J,7,1)</f>
        <v>NOV, FY25</v>
      </c>
      <c r="T507" s="6" t="str">
        <f>VLOOKUP(I507,'FIN CAL LOOKUP'!A:J,10,1)</f>
        <v>Q2, FY25</v>
      </c>
    </row>
    <row r="508" spans="1:20" x14ac:dyDescent="0.25">
      <c r="A508">
        <v>323017</v>
      </c>
      <c r="B508" t="s">
        <v>795</v>
      </c>
      <c r="C508" t="s">
        <v>796</v>
      </c>
      <c r="D508" t="s">
        <v>278</v>
      </c>
      <c r="E508" t="s">
        <v>264</v>
      </c>
      <c r="F508" t="s">
        <v>949</v>
      </c>
      <c r="G508" t="s">
        <v>266</v>
      </c>
      <c r="H508" s="5">
        <v>45555</v>
      </c>
      <c r="I508" s="5">
        <v>45574</v>
      </c>
      <c r="J508" t="s">
        <v>949</v>
      </c>
      <c r="K508" t="s">
        <v>268</v>
      </c>
      <c r="L508">
        <v>1</v>
      </c>
      <c r="M508" t="s">
        <v>950</v>
      </c>
      <c r="N508" t="s">
        <v>237</v>
      </c>
      <c r="O508">
        <v>1</v>
      </c>
      <c r="P508" s="6" t="str">
        <f>VLOOKUP(J508,'Store lookup'!A:C,2,0)</f>
        <v>S098</v>
      </c>
      <c r="Q508" s="6" t="str">
        <f>VLOOKUP(J508,'Store lookup'!A:C,3,0)</f>
        <v>Spotlight Burnside</v>
      </c>
      <c r="R508" s="6" t="str">
        <f t="shared" si="7"/>
        <v>Spotlight</v>
      </c>
      <c r="S508" s="6" t="str">
        <f>VLOOKUP(I508,'FIN CAL LOOKUP'!A:J,7,1)</f>
        <v>OCT, FY25</v>
      </c>
      <c r="T508" s="6" t="str">
        <f>VLOOKUP(I508,'FIN CAL LOOKUP'!A:J,10,1)</f>
        <v>Q2, FY25</v>
      </c>
    </row>
    <row r="509" spans="1:20" x14ac:dyDescent="0.25">
      <c r="A509">
        <v>326463</v>
      </c>
      <c r="B509" t="s">
        <v>657</v>
      </c>
      <c r="C509" t="s">
        <v>658</v>
      </c>
      <c r="D509" t="s">
        <v>307</v>
      </c>
      <c r="E509" t="s">
        <v>264</v>
      </c>
      <c r="F509" t="s">
        <v>926</v>
      </c>
      <c r="G509" t="s">
        <v>266</v>
      </c>
      <c r="H509" s="5">
        <v>45555</v>
      </c>
      <c r="I509" s="5">
        <v>45568</v>
      </c>
      <c r="J509" t="s">
        <v>926</v>
      </c>
      <c r="K509" t="s">
        <v>268</v>
      </c>
      <c r="L509">
        <v>1</v>
      </c>
      <c r="M509" t="s">
        <v>360</v>
      </c>
      <c r="N509" t="s">
        <v>237</v>
      </c>
      <c r="O509">
        <v>1</v>
      </c>
      <c r="P509" s="6" t="str">
        <f>VLOOKUP(J509,'Store lookup'!A:C,2,0)</f>
        <v>S034</v>
      </c>
      <c r="Q509" s="6" t="str">
        <f>VLOOKUP(J509,'Store lookup'!A:C,3,0)</f>
        <v>Spotlight Hoppers Crossing</v>
      </c>
      <c r="R509" s="6" t="str">
        <f t="shared" si="7"/>
        <v>Spotlight</v>
      </c>
      <c r="S509" s="6" t="str">
        <f>VLOOKUP(I509,'FIN CAL LOOKUP'!A:J,7,1)</f>
        <v>OCT, FY25</v>
      </c>
      <c r="T509" s="6" t="str">
        <f>VLOOKUP(I509,'FIN CAL LOOKUP'!A:J,10,1)</f>
        <v>Q2, FY25</v>
      </c>
    </row>
    <row r="510" spans="1:20" x14ac:dyDescent="0.25">
      <c r="A510">
        <v>231160</v>
      </c>
      <c r="B510" t="s">
        <v>977</v>
      </c>
      <c r="C510" t="s">
        <v>978</v>
      </c>
      <c r="D510" t="s">
        <v>333</v>
      </c>
      <c r="E510" t="s">
        <v>264</v>
      </c>
      <c r="F510" t="s">
        <v>949</v>
      </c>
      <c r="G510" t="s">
        <v>266</v>
      </c>
      <c r="H510" s="5">
        <v>45551</v>
      </c>
      <c r="I510" s="5">
        <v>45646</v>
      </c>
      <c r="J510" t="s">
        <v>949</v>
      </c>
      <c r="K510" t="s">
        <v>268</v>
      </c>
      <c r="L510">
        <v>1</v>
      </c>
      <c r="M510" t="s">
        <v>950</v>
      </c>
      <c r="N510" t="s">
        <v>237</v>
      </c>
      <c r="O510">
        <v>1</v>
      </c>
      <c r="P510" s="6" t="str">
        <f>VLOOKUP(J510,'Store lookup'!A:C,2,0)</f>
        <v>S098</v>
      </c>
      <c r="Q510" s="6" t="str">
        <f>VLOOKUP(J510,'Store lookup'!A:C,3,0)</f>
        <v>Spotlight Burnside</v>
      </c>
      <c r="R510" s="6" t="str">
        <f t="shared" si="7"/>
        <v>Spotlight</v>
      </c>
      <c r="S510" s="6" t="str">
        <f>VLOOKUP(I510,'FIN CAL LOOKUP'!A:J,7,1)</f>
        <v>DEC, FY25</v>
      </c>
      <c r="T510" s="6" t="str">
        <f>VLOOKUP(I510,'FIN CAL LOOKUP'!A:J,10,1)</f>
        <v>Q2, FY25</v>
      </c>
    </row>
    <row r="511" spans="1:20" x14ac:dyDescent="0.25">
      <c r="A511">
        <v>323469</v>
      </c>
      <c r="B511" t="s">
        <v>793</v>
      </c>
      <c r="C511" t="s">
        <v>794</v>
      </c>
      <c r="D511" t="s">
        <v>272</v>
      </c>
      <c r="E511" t="s">
        <v>264</v>
      </c>
      <c r="F511" t="s">
        <v>965</v>
      </c>
      <c r="G511" t="s">
        <v>266</v>
      </c>
      <c r="H511" s="5">
        <v>45547</v>
      </c>
      <c r="I511" s="5">
        <v>45576</v>
      </c>
      <c r="J511" t="s">
        <v>965</v>
      </c>
      <c r="K511" t="s">
        <v>268</v>
      </c>
      <c r="L511">
        <v>1</v>
      </c>
      <c r="M511" t="s">
        <v>338</v>
      </c>
      <c r="N511" t="s">
        <v>237</v>
      </c>
      <c r="O511">
        <v>1</v>
      </c>
      <c r="P511" s="6" t="str">
        <f>VLOOKUP(J511,'Store lookup'!A:C,2,0)</f>
        <v>S010</v>
      </c>
      <c r="Q511" s="6" t="str">
        <f>VLOOKUP(J511,'Store lookup'!A:C,3,0)</f>
        <v>Spotlight Maribyrnong</v>
      </c>
      <c r="R511" s="6" t="str">
        <f t="shared" si="7"/>
        <v>Spotlight</v>
      </c>
      <c r="S511" s="6" t="str">
        <f>VLOOKUP(I511,'FIN CAL LOOKUP'!A:J,7,1)</f>
        <v>OCT, FY25</v>
      </c>
      <c r="T511" s="6" t="str">
        <f>VLOOKUP(I511,'FIN CAL LOOKUP'!A:J,10,1)</f>
        <v>Q2, FY25</v>
      </c>
    </row>
    <row r="512" spans="1:20" x14ac:dyDescent="0.25">
      <c r="A512">
        <v>335621</v>
      </c>
      <c r="B512" t="s">
        <v>282</v>
      </c>
      <c r="C512" t="s">
        <v>283</v>
      </c>
      <c r="D512" t="s">
        <v>284</v>
      </c>
      <c r="E512" t="s">
        <v>264</v>
      </c>
      <c r="F512" t="s">
        <v>949</v>
      </c>
      <c r="G512" t="s">
        <v>266</v>
      </c>
      <c r="H512" s="5">
        <v>45539</v>
      </c>
      <c r="I512" s="5">
        <v>45548</v>
      </c>
      <c r="J512" t="s">
        <v>949</v>
      </c>
      <c r="K512" t="s">
        <v>268</v>
      </c>
      <c r="L512">
        <v>1</v>
      </c>
      <c r="M512" t="s">
        <v>950</v>
      </c>
      <c r="N512" t="s">
        <v>237</v>
      </c>
      <c r="O512">
        <v>1</v>
      </c>
      <c r="P512" s="6" t="str">
        <f>VLOOKUP(J512,'Store lookup'!A:C,2,0)</f>
        <v>S098</v>
      </c>
      <c r="Q512" s="6" t="str">
        <f>VLOOKUP(J512,'Store lookup'!A:C,3,0)</f>
        <v>Spotlight Burnside</v>
      </c>
      <c r="R512" s="6" t="str">
        <f t="shared" si="7"/>
        <v>Spotlight</v>
      </c>
      <c r="S512" s="6" t="str">
        <f>VLOOKUP(I512,'FIN CAL LOOKUP'!A:J,7,1)</f>
        <v>SEP, FY25</v>
      </c>
      <c r="T512" s="6" t="str">
        <f>VLOOKUP(I512,'FIN CAL LOOKUP'!A:J,10,1)</f>
        <v>Q1, FY25</v>
      </c>
    </row>
    <row r="513" spans="1:20" x14ac:dyDescent="0.25">
      <c r="A513">
        <v>335714</v>
      </c>
      <c r="B513" t="s">
        <v>979</v>
      </c>
      <c r="C513" t="s">
        <v>980</v>
      </c>
      <c r="D513" t="s">
        <v>307</v>
      </c>
      <c r="E513" t="s">
        <v>264</v>
      </c>
      <c r="F513" t="s">
        <v>926</v>
      </c>
      <c r="G513" t="s">
        <v>266</v>
      </c>
      <c r="H513" s="5">
        <v>45537</v>
      </c>
      <c r="I513" s="5">
        <v>45541</v>
      </c>
      <c r="J513" t="s">
        <v>926</v>
      </c>
      <c r="K513" t="s">
        <v>268</v>
      </c>
      <c r="L513">
        <v>1</v>
      </c>
      <c r="M513" t="s">
        <v>360</v>
      </c>
      <c r="N513" t="s">
        <v>237</v>
      </c>
      <c r="O513">
        <v>1</v>
      </c>
      <c r="P513" s="6" t="str">
        <f>VLOOKUP(J513,'Store lookup'!A:C,2,0)</f>
        <v>S034</v>
      </c>
      <c r="Q513" s="6" t="str">
        <f>VLOOKUP(J513,'Store lookup'!A:C,3,0)</f>
        <v>Spotlight Hoppers Crossing</v>
      </c>
      <c r="R513" s="6" t="str">
        <f t="shared" si="7"/>
        <v>Spotlight</v>
      </c>
      <c r="S513" s="6" t="str">
        <f>VLOOKUP(I513,'FIN CAL LOOKUP'!A:J,7,1)</f>
        <v>SEP, FY25</v>
      </c>
      <c r="T513" s="6" t="str">
        <f>VLOOKUP(I513,'FIN CAL LOOKUP'!A:J,10,1)</f>
        <v>Q1, FY25</v>
      </c>
    </row>
    <row r="514" spans="1:20" x14ac:dyDescent="0.25">
      <c r="A514">
        <v>324851</v>
      </c>
      <c r="B514" t="s">
        <v>538</v>
      </c>
      <c r="C514" t="s">
        <v>539</v>
      </c>
      <c r="D514" t="s">
        <v>272</v>
      </c>
      <c r="E514" t="s">
        <v>264</v>
      </c>
      <c r="F514" t="s">
        <v>981</v>
      </c>
      <c r="G514" t="s">
        <v>266</v>
      </c>
      <c r="H514" s="5">
        <v>45534</v>
      </c>
      <c r="I514" s="5">
        <v>45538</v>
      </c>
      <c r="J514" t="s">
        <v>981</v>
      </c>
      <c r="K514" t="s">
        <v>268</v>
      </c>
      <c r="L514">
        <v>1</v>
      </c>
      <c r="M514" t="s">
        <v>982</v>
      </c>
      <c r="N514" t="s">
        <v>237</v>
      </c>
      <c r="O514">
        <v>1</v>
      </c>
      <c r="P514" s="6" t="str">
        <f>VLOOKUP(J514,'Store lookup'!A:C,2,0)</f>
        <v>S113</v>
      </c>
      <c r="Q514" s="6" t="str">
        <f>VLOOKUP(J514,'Store lookup'!A:C,3,0)</f>
        <v>Spotlight South Morang</v>
      </c>
      <c r="R514" s="6" t="str">
        <f t="shared" ref="R514:R577" si="8">IF(LEFT(Q514,1)="A","Ananconda",IF(LEFT(Q514,1)="H","Harris Scarfe",IF(LEFT(Q514,1)="S","Spotlight","Exempt")))</f>
        <v>Spotlight</v>
      </c>
      <c r="S514" s="6" t="str">
        <f>VLOOKUP(I514,'FIN CAL LOOKUP'!A:J,7,1)</f>
        <v>SEP, FY25</v>
      </c>
      <c r="T514" s="6" t="str">
        <f>VLOOKUP(I514,'FIN CAL LOOKUP'!A:J,10,1)</f>
        <v>Q1, FY25</v>
      </c>
    </row>
    <row r="515" spans="1:20" x14ac:dyDescent="0.25">
      <c r="A515">
        <v>313819</v>
      </c>
      <c r="B515" t="s">
        <v>716</v>
      </c>
      <c r="C515" t="s">
        <v>717</v>
      </c>
      <c r="D515" t="s">
        <v>307</v>
      </c>
      <c r="E515" t="s">
        <v>264</v>
      </c>
      <c r="F515" t="s">
        <v>926</v>
      </c>
      <c r="G515" t="s">
        <v>266</v>
      </c>
      <c r="H515" s="5">
        <v>45533</v>
      </c>
      <c r="I515" s="5">
        <v>45601</v>
      </c>
      <c r="J515" t="s">
        <v>926</v>
      </c>
      <c r="K515" t="s">
        <v>268</v>
      </c>
      <c r="L515">
        <v>1</v>
      </c>
      <c r="M515" t="s">
        <v>360</v>
      </c>
      <c r="N515" t="s">
        <v>237</v>
      </c>
      <c r="O515">
        <v>1</v>
      </c>
      <c r="P515" s="6" t="str">
        <f>VLOOKUP(J515,'Store lookup'!A:C,2,0)</f>
        <v>S034</v>
      </c>
      <c r="Q515" s="6" t="str">
        <f>VLOOKUP(J515,'Store lookup'!A:C,3,0)</f>
        <v>Spotlight Hoppers Crossing</v>
      </c>
      <c r="R515" s="6" t="str">
        <f t="shared" si="8"/>
        <v>Spotlight</v>
      </c>
      <c r="S515" s="6" t="str">
        <f>VLOOKUP(I515,'FIN CAL LOOKUP'!A:J,7,1)</f>
        <v>NOV, FY25</v>
      </c>
      <c r="T515" s="6" t="str">
        <f>VLOOKUP(I515,'FIN CAL LOOKUP'!A:J,10,1)</f>
        <v>Q2, FY25</v>
      </c>
    </row>
    <row r="516" spans="1:20" x14ac:dyDescent="0.25">
      <c r="A516">
        <v>321839</v>
      </c>
      <c r="B516" t="s">
        <v>270</v>
      </c>
      <c r="C516" t="s">
        <v>271</v>
      </c>
      <c r="D516" t="s">
        <v>272</v>
      </c>
      <c r="E516" t="s">
        <v>264</v>
      </c>
      <c r="F516" t="s">
        <v>938</v>
      </c>
      <c r="G516" t="s">
        <v>266</v>
      </c>
      <c r="H516" s="5">
        <v>45532</v>
      </c>
      <c r="I516" s="5">
        <v>45561</v>
      </c>
      <c r="J516" t="s">
        <v>938</v>
      </c>
      <c r="K516" t="s">
        <v>268</v>
      </c>
      <c r="L516">
        <v>1</v>
      </c>
      <c r="M516" t="s">
        <v>281</v>
      </c>
      <c r="N516" t="s">
        <v>237</v>
      </c>
      <c r="O516">
        <v>1</v>
      </c>
      <c r="P516" s="6" t="str">
        <f>VLOOKUP(J516,'Store lookup'!A:C,2,0)</f>
        <v>S002</v>
      </c>
      <c r="Q516" s="6" t="str">
        <f>VLOOKUP(J516,'Store lookup'!A:C,3,0)</f>
        <v>Spotlight Box Hill</v>
      </c>
      <c r="R516" s="6" t="str">
        <f t="shared" si="8"/>
        <v>Spotlight</v>
      </c>
      <c r="S516" s="6" t="str">
        <f>VLOOKUP(I516,'FIN CAL LOOKUP'!A:J,7,1)</f>
        <v>SEP, FY25</v>
      </c>
      <c r="T516" s="6" t="str">
        <f>VLOOKUP(I516,'FIN CAL LOOKUP'!A:J,10,1)</f>
        <v>Q1, FY25</v>
      </c>
    </row>
    <row r="517" spans="1:20" x14ac:dyDescent="0.25">
      <c r="A517">
        <v>321483</v>
      </c>
      <c r="B517" t="s">
        <v>951</v>
      </c>
      <c r="C517" t="s">
        <v>952</v>
      </c>
      <c r="D517" t="s">
        <v>307</v>
      </c>
      <c r="E517" t="s">
        <v>264</v>
      </c>
      <c r="F517" t="s">
        <v>935</v>
      </c>
      <c r="G517" t="s">
        <v>266</v>
      </c>
      <c r="H517" s="5">
        <v>45527</v>
      </c>
      <c r="I517" s="5">
        <v>45554</v>
      </c>
      <c r="J517" t="s">
        <v>935</v>
      </c>
      <c r="K517" t="s">
        <v>268</v>
      </c>
      <c r="L517">
        <v>1</v>
      </c>
      <c r="M517" t="s">
        <v>676</v>
      </c>
      <c r="N517" t="s">
        <v>237</v>
      </c>
      <c r="O517">
        <v>1</v>
      </c>
      <c r="P517" s="6" t="str">
        <f>VLOOKUP(J517,'Store lookup'!A:C,2,0)</f>
        <v>S027</v>
      </c>
      <c r="Q517" s="6" t="str">
        <f>VLOOKUP(J517,'Store lookup'!A:C,3,0)</f>
        <v>Spotlight South Melbourne</v>
      </c>
      <c r="R517" s="6" t="str">
        <f t="shared" si="8"/>
        <v>Spotlight</v>
      </c>
      <c r="S517" s="6" t="str">
        <f>VLOOKUP(I517,'FIN CAL LOOKUP'!A:J,7,1)</f>
        <v>SEP, FY25</v>
      </c>
      <c r="T517" s="6" t="str">
        <f>VLOOKUP(I517,'FIN CAL LOOKUP'!A:J,10,1)</f>
        <v>Q1, FY25</v>
      </c>
    </row>
    <row r="518" spans="1:20" x14ac:dyDescent="0.25">
      <c r="A518">
        <v>335473</v>
      </c>
      <c r="B518" t="s">
        <v>334</v>
      </c>
      <c r="C518" t="s">
        <v>335</v>
      </c>
      <c r="D518" t="s">
        <v>307</v>
      </c>
      <c r="E518" t="s">
        <v>264</v>
      </c>
      <c r="F518" t="s">
        <v>935</v>
      </c>
      <c r="G518" t="s">
        <v>266</v>
      </c>
      <c r="H518" s="5">
        <v>45525</v>
      </c>
      <c r="I518" s="5">
        <v>45533</v>
      </c>
      <c r="J518" t="s">
        <v>935</v>
      </c>
      <c r="K518" t="s">
        <v>268</v>
      </c>
      <c r="L518">
        <v>1</v>
      </c>
      <c r="M518" t="s">
        <v>676</v>
      </c>
      <c r="N518" t="s">
        <v>237</v>
      </c>
      <c r="O518">
        <v>1</v>
      </c>
      <c r="P518" s="6" t="str">
        <f>VLOOKUP(J518,'Store lookup'!A:C,2,0)</f>
        <v>S027</v>
      </c>
      <c r="Q518" s="6" t="str">
        <f>VLOOKUP(J518,'Store lookup'!A:C,3,0)</f>
        <v>Spotlight South Melbourne</v>
      </c>
      <c r="R518" s="6" t="str">
        <f t="shared" si="8"/>
        <v>Spotlight</v>
      </c>
      <c r="S518" s="6" t="str">
        <f>VLOOKUP(I518,'FIN CAL LOOKUP'!A:J,7,1)</f>
        <v>AUG, FY25</v>
      </c>
      <c r="T518" s="6" t="str">
        <f>VLOOKUP(I518,'FIN CAL LOOKUP'!A:J,10,1)</f>
        <v>Q1, FY25</v>
      </c>
    </row>
    <row r="519" spans="1:20" x14ac:dyDescent="0.25">
      <c r="A519">
        <v>323623</v>
      </c>
      <c r="B519" t="s">
        <v>939</v>
      </c>
      <c r="C519" t="s">
        <v>940</v>
      </c>
      <c r="D519" t="s">
        <v>307</v>
      </c>
      <c r="E519" t="s">
        <v>264</v>
      </c>
      <c r="F519" t="s">
        <v>938</v>
      </c>
      <c r="G519" t="s">
        <v>266</v>
      </c>
      <c r="H519" s="5">
        <v>45511</v>
      </c>
      <c r="I519" s="5">
        <v>45569</v>
      </c>
      <c r="J519" t="s">
        <v>938</v>
      </c>
      <c r="K519" t="s">
        <v>268</v>
      </c>
      <c r="L519">
        <v>2</v>
      </c>
      <c r="M519" t="s">
        <v>281</v>
      </c>
      <c r="N519" t="s">
        <v>237</v>
      </c>
      <c r="O519">
        <v>0</v>
      </c>
      <c r="P519" s="6" t="str">
        <f>VLOOKUP(J519,'Store lookup'!A:C,2,0)</f>
        <v>S002</v>
      </c>
      <c r="Q519" s="6" t="str">
        <f>VLOOKUP(J519,'Store lookup'!A:C,3,0)</f>
        <v>Spotlight Box Hill</v>
      </c>
      <c r="R519" s="6" t="str">
        <f t="shared" si="8"/>
        <v>Spotlight</v>
      </c>
      <c r="S519" s="6" t="str">
        <f>VLOOKUP(I519,'FIN CAL LOOKUP'!A:J,7,1)</f>
        <v>OCT, FY25</v>
      </c>
      <c r="T519" s="6" t="str">
        <f>VLOOKUP(I519,'FIN CAL LOOKUP'!A:J,10,1)</f>
        <v>Q2, FY25</v>
      </c>
    </row>
    <row r="520" spans="1:20" x14ac:dyDescent="0.25">
      <c r="A520">
        <v>328014</v>
      </c>
      <c r="B520" t="s">
        <v>321</v>
      </c>
      <c r="C520" t="s">
        <v>322</v>
      </c>
      <c r="D520" t="s">
        <v>307</v>
      </c>
      <c r="E520" t="s">
        <v>264</v>
      </c>
      <c r="F520" t="s">
        <v>938</v>
      </c>
      <c r="G520" t="s">
        <v>266</v>
      </c>
      <c r="H520" s="5">
        <v>45511</v>
      </c>
      <c r="I520" s="5">
        <v>45569</v>
      </c>
      <c r="J520" t="s">
        <v>938</v>
      </c>
      <c r="K520" t="s">
        <v>268</v>
      </c>
      <c r="L520">
        <v>2</v>
      </c>
      <c r="M520" t="s">
        <v>281</v>
      </c>
      <c r="N520" t="s">
        <v>237</v>
      </c>
      <c r="O520">
        <v>0</v>
      </c>
      <c r="P520" s="6" t="str">
        <f>VLOOKUP(J520,'Store lookup'!A:C,2,0)</f>
        <v>S002</v>
      </c>
      <c r="Q520" s="6" t="str">
        <f>VLOOKUP(J520,'Store lookup'!A:C,3,0)</f>
        <v>Spotlight Box Hill</v>
      </c>
      <c r="R520" s="6" t="str">
        <f t="shared" si="8"/>
        <v>Spotlight</v>
      </c>
      <c r="S520" s="6" t="str">
        <f>VLOOKUP(I520,'FIN CAL LOOKUP'!A:J,7,1)</f>
        <v>OCT, FY25</v>
      </c>
      <c r="T520" s="6" t="str">
        <f>VLOOKUP(I520,'FIN CAL LOOKUP'!A:J,10,1)</f>
        <v>Q2, FY25</v>
      </c>
    </row>
    <row r="521" spans="1:20" x14ac:dyDescent="0.25">
      <c r="A521">
        <v>335130</v>
      </c>
      <c r="B521" t="s">
        <v>474</v>
      </c>
      <c r="C521" t="s">
        <v>475</v>
      </c>
      <c r="D521" t="s">
        <v>307</v>
      </c>
      <c r="E521" t="s">
        <v>264</v>
      </c>
      <c r="F521" t="s">
        <v>926</v>
      </c>
      <c r="G521" t="s">
        <v>266</v>
      </c>
      <c r="H521" s="5">
        <v>45506</v>
      </c>
      <c r="I521" s="5">
        <v>45532</v>
      </c>
      <c r="J521" t="s">
        <v>926</v>
      </c>
      <c r="K521" t="s">
        <v>268</v>
      </c>
      <c r="L521">
        <v>1</v>
      </c>
      <c r="M521" t="s">
        <v>360</v>
      </c>
      <c r="N521" t="s">
        <v>237</v>
      </c>
      <c r="O521">
        <v>1</v>
      </c>
      <c r="P521" s="6" t="str">
        <f>VLOOKUP(J521,'Store lookup'!A:C,2,0)</f>
        <v>S034</v>
      </c>
      <c r="Q521" s="6" t="str">
        <f>VLOOKUP(J521,'Store lookup'!A:C,3,0)</f>
        <v>Spotlight Hoppers Crossing</v>
      </c>
      <c r="R521" s="6" t="str">
        <f t="shared" si="8"/>
        <v>Spotlight</v>
      </c>
      <c r="S521" s="6" t="str">
        <f>VLOOKUP(I521,'FIN CAL LOOKUP'!A:J,7,1)</f>
        <v>AUG, FY25</v>
      </c>
      <c r="T521" s="6" t="str">
        <f>VLOOKUP(I521,'FIN CAL LOOKUP'!A:J,10,1)</f>
        <v>Q1, FY25</v>
      </c>
    </row>
    <row r="522" spans="1:20" x14ac:dyDescent="0.25">
      <c r="A522">
        <v>334546</v>
      </c>
      <c r="B522" t="s">
        <v>806</v>
      </c>
      <c r="C522" t="s">
        <v>983</v>
      </c>
      <c r="D522" t="s">
        <v>263</v>
      </c>
      <c r="E522" t="s">
        <v>264</v>
      </c>
      <c r="F522" t="s">
        <v>984</v>
      </c>
      <c r="G522" t="s">
        <v>266</v>
      </c>
      <c r="H522" s="5">
        <v>45503</v>
      </c>
      <c r="I522" s="5">
        <v>45512</v>
      </c>
      <c r="J522" t="s">
        <v>984</v>
      </c>
      <c r="K522" t="s">
        <v>268</v>
      </c>
      <c r="L522">
        <v>1</v>
      </c>
      <c r="M522" t="s">
        <v>985</v>
      </c>
      <c r="N522" t="s">
        <v>237</v>
      </c>
      <c r="O522">
        <v>1</v>
      </c>
      <c r="P522" s="6" t="str">
        <f>VLOOKUP(J522,'Store lookup'!A:C,2,0)</f>
        <v>S135</v>
      </c>
      <c r="Q522" s="6" t="str">
        <f>VLOOKUP(J522,'Store lookup'!A:C,3,0)</f>
        <v>Spotlight Cranbourne</v>
      </c>
      <c r="R522" s="6" t="str">
        <f t="shared" si="8"/>
        <v>Spotlight</v>
      </c>
      <c r="S522" s="6" t="str">
        <f>VLOOKUP(I522,'FIN CAL LOOKUP'!A:J,7,1)</f>
        <v>AUG, FY25</v>
      </c>
      <c r="T522" s="6" t="str">
        <f>VLOOKUP(I522,'FIN CAL LOOKUP'!A:J,10,1)</f>
        <v>Q1, FY25</v>
      </c>
    </row>
    <row r="523" spans="1:20" x14ac:dyDescent="0.25">
      <c r="A523">
        <v>314741</v>
      </c>
      <c r="B523" t="s">
        <v>349</v>
      </c>
      <c r="C523" t="s">
        <v>986</v>
      </c>
      <c r="D523" t="s">
        <v>278</v>
      </c>
      <c r="E523" t="s">
        <v>264</v>
      </c>
      <c r="F523" t="s">
        <v>935</v>
      </c>
      <c r="G523" t="s">
        <v>266</v>
      </c>
      <c r="H523" s="5">
        <v>45457</v>
      </c>
      <c r="I523" s="5">
        <v>45525</v>
      </c>
      <c r="J523" t="s">
        <v>935</v>
      </c>
      <c r="K523" t="s">
        <v>268</v>
      </c>
      <c r="L523">
        <v>1</v>
      </c>
      <c r="M523" t="s">
        <v>676</v>
      </c>
      <c r="N523" t="s">
        <v>237</v>
      </c>
      <c r="O523">
        <v>1</v>
      </c>
      <c r="P523" s="6" t="str">
        <f>VLOOKUP(J523,'Store lookup'!A:C,2,0)</f>
        <v>S027</v>
      </c>
      <c r="Q523" s="6" t="str">
        <f>VLOOKUP(J523,'Store lookup'!A:C,3,0)</f>
        <v>Spotlight South Melbourne</v>
      </c>
      <c r="R523" s="6" t="str">
        <f t="shared" si="8"/>
        <v>Spotlight</v>
      </c>
      <c r="S523" s="6" t="str">
        <f>VLOOKUP(I523,'FIN CAL LOOKUP'!A:J,7,1)</f>
        <v>AUG, FY25</v>
      </c>
      <c r="T523" s="6" t="str">
        <f>VLOOKUP(I523,'FIN CAL LOOKUP'!A:J,10,1)</f>
        <v>Q1, FY25</v>
      </c>
    </row>
    <row r="524" spans="1:20" x14ac:dyDescent="0.25">
      <c r="A524">
        <v>326463</v>
      </c>
      <c r="B524" t="s">
        <v>657</v>
      </c>
      <c r="C524" t="s">
        <v>658</v>
      </c>
      <c r="D524" t="s">
        <v>307</v>
      </c>
      <c r="E524" t="s">
        <v>264</v>
      </c>
      <c r="F524" t="s">
        <v>926</v>
      </c>
      <c r="G524" t="s">
        <v>266</v>
      </c>
      <c r="H524" s="5">
        <v>45429</v>
      </c>
      <c r="I524" s="5">
        <v>45433</v>
      </c>
      <c r="J524" t="s">
        <v>926</v>
      </c>
      <c r="K524" t="s">
        <v>268</v>
      </c>
      <c r="L524">
        <v>1</v>
      </c>
      <c r="M524" t="s">
        <v>360</v>
      </c>
      <c r="N524" t="s">
        <v>237</v>
      </c>
      <c r="O524">
        <v>1</v>
      </c>
      <c r="P524" s="6" t="str">
        <f>VLOOKUP(J524,'Store lookup'!A:C,2,0)</f>
        <v>S034</v>
      </c>
      <c r="Q524" s="6" t="str">
        <f>VLOOKUP(J524,'Store lookup'!A:C,3,0)</f>
        <v>Spotlight Hoppers Crossing</v>
      </c>
      <c r="R524" s="6" t="str">
        <f t="shared" si="8"/>
        <v>Spotlight</v>
      </c>
      <c r="S524" s="6" t="str">
        <f>VLOOKUP(I524,'FIN CAL LOOKUP'!A:J,7,1)</f>
        <v>MAY, FY24</v>
      </c>
      <c r="T524" s="6" t="str">
        <f>VLOOKUP(I524,'FIN CAL LOOKUP'!A:J,10,1)</f>
        <v>Q4, FY24</v>
      </c>
    </row>
    <row r="525" spans="1:20" x14ac:dyDescent="0.25">
      <c r="A525">
        <v>326639</v>
      </c>
      <c r="B525" t="s">
        <v>806</v>
      </c>
      <c r="C525" t="s">
        <v>987</v>
      </c>
      <c r="D525" t="s">
        <v>263</v>
      </c>
      <c r="E525" t="s">
        <v>264</v>
      </c>
      <c r="F525" t="s">
        <v>936</v>
      </c>
      <c r="G525" t="s">
        <v>266</v>
      </c>
      <c r="H525" s="5">
        <v>45414</v>
      </c>
      <c r="I525" s="5">
        <v>45617</v>
      </c>
      <c r="J525" t="s">
        <v>937</v>
      </c>
      <c r="K525" t="s">
        <v>268</v>
      </c>
      <c r="L525">
        <v>1</v>
      </c>
      <c r="M525" t="s">
        <v>269</v>
      </c>
      <c r="N525" t="s">
        <v>237</v>
      </c>
      <c r="O525">
        <v>1</v>
      </c>
      <c r="P525" s="6" t="str">
        <f>VLOOKUP(J525,'Store lookup'!A:C,2,0)</f>
        <v>S014</v>
      </c>
      <c r="Q525" s="6" t="str">
        <f>VLOOKUP(J525,'Store lookup'!A:C,3,0)</f>
        <v>Spotlight Bayswater</v>
      </c>
      <c r="R525" s="6" t="str">
        <f t="shared" si="8"/>
        <v>Spotlight</v>
      </c>
      <c r="S525" s="6" t="str">
        <f>VLOOKUP(I525,'FIN CAL LOOKUP'!A:J,7,1)</f>
        <v>NOV, FY25</v>
      </c>
      <c r="T525" s="6" t="str">
        <f>VLOOKUP(I525,'FIN CAL LOOKUP'!A:J,10,1)</f>
        <v>Q2, FY25</v>
      </c>
    </row>
    <row r="526" spans="1:20" x14ac:dyDescent="0.25">
      <c r="A526">
        <v>302779</v>
      </c>
      <c r="B526" t="s">
        <v>583</v>
      </c>
      <c r="C526" t="s">
        <v>584</v>
      </c>
      <c r="D526" t="s">
        <v>333</v>
      </c>
      <c r="E526" t="s">
        <v>264</v>
      </c>
      <c r="F526" t="s">
        <v>926</v>
      </c>
      <c r="G526" t="s">
        <v>266</v>
      </c>
      <c r="H526" s="5">
        <v>45414</v>
      </c>
      <c r="I526" s="5">
        <v>45604</v>
      </c>
      <c r="J526" t="s">
        <v>926</v>
      </c>
      <c r="K526" t="s">
        <v>268</v>
      </c>
      <c r="L526">
        <v>1</v>
      </c>
      <c r="M526" t="s">
        <v>360</v>
      </c>
      <c r="N526" t="s">
        <v>237</v>
      </c>
      <c r="O526">
        <v>1</v>
      </c>
      <c r="P526" s="6" t="str">
        <f>VLOOKUP(J526,'Store lookup'!A:C,2,0)</f>
        <v>S034</v>
      </c>
      <c r="Q526" s="6" t="str">
        <f>VLOOKUP(J526,'Store lookup'!A:C,3,0)</f>
        <v>Spotlight Hoppers Crossing</v>
      </c>
      <c r="R526" s="6" t="str">
        <f t="shared" si="8"/>
        <v>Spotlight</v>
      </c>
      <c r="S526" s="6" t="str">
        <f>VLOOKUP(I526,'FIN CAL LOOKUP'!A:J,7,1)</f>
        <v>NOV, FY25</v>
      </c>
      <c r="T526" s="6" t="str">
        <f>VLOOKUP(I526,'FIN CAL LOOKUP'!A:J,10,1)</f>
        <v>Q2, FY25</v>
      </c>
    </row>
    <row r="527" spans="1:20" x14ac:dyDescent="0.25">
      <c r="A527">
        <v>311842</v>
      </c>
      <c r="B527" t="s">
        <v>607</v>
      </c>
      <c r="C527" t="s">
        <v>608</v>
      </c>
      <c r="D527" t="s">
        <v>278</v>
      </c>
      <c r="E527" t="s">
        <v>264</v>
      </c>
      <c r="F527" t="s">
        <v>926</v>
      </c>
      <c r="G527" t="s">
        <v>266</v>
      </c>
      <c r="H527" s="5">
        <v>45411</v>
      </c>
      <c r="I527" s="5">
        <v>45421</v>
      </c>
      <c r="J527" t="s">
        <v>926</v>
      </c>
      <c r="K527" t="s">
        <v>268</v>
      </c>
      <c r="L527">
        <v>1</v>
      </c>
      <c r="M527" t="s">
        <v>360</v>
      </c>
      <c r="N527" t="s">
        <v>237</v>
      </c>
      <c r="O527">
        <v>1</v>
      </c>
      <c r="P527" s="6" t="str">
        <f>VLOOKUP(J527,'Store lookup'!A:C,2,0)</f>
        <v>S034</v>
      </c>
      <c r="Q527" s="6" t="str">
        <f>VLOOKUP(J527,'Store lookup'!A:C,3,0)</f>
        <v>Spotlight Hoppers Crossing</v>
      </c>
      <c r="R527" s="6" t="str">
        <f t="shared" si="8"/>
        <v>Spotlight</v>
      </c>
      <c r="S527" s="6" t="str">
        <f>VLOOKUP(I527,'FIN CAL LOOKUP'!A:J,7,1)</f>
        <v>MAY, FY24</v>
      </c>
      <c r="T527" s="6" t="str">
        <f>VLOOKUP(I527,'FIN CAL LOOKUP'!A:J,10,1)</f>
        <v>Q4, FY24</v>
      </c>
    </row>
    <row r="528" spans="1:20" x14ac:dyDescent="0.25">
      <c r="A528">
        <v>333888</v>
      </c>
      <c r="B528" t="s">
        <v>313</v>
      </c>
      <c r="C528" t="s">
        <v>314</v>
      </c>
      <c r="D528" t="s">
        <v>263</v>
      </c>
      <c r="E528" t="s">
        <v>264</v>
      </c>
      <c r="F528" t="s">
        <v>935</v>
      </c>
      <c r="G528" t="s">
        <v>266</v>
      </c>
      <c r="H528" s="5">
        <v>45411</v>
      </c>
      <c r="I528" s="5">
        <v>45415</v>
      </c>
      <c r="J528" t="s">
        <v>935</v>
      </c>
      <c r="K528" t="s">
        <v>268</v>
      </c>
      <c r="L528">
        <v>2</v>
      </c>
      <c r="M528" t="s">
        <v>676</v>
      </c>
      <c r="N528" t="s">
        <v>237</v>
      </c>
      <c r="O528">
        <v>0</v>
      </c>
      <c r="P528" s="6" t="str">
        <f>VLOOKUP(J528,'Store lookup'!A:C,2,0)</f>
        <v>S027</v>
      </c>
      <c r="Q528" s="6" t="str">
        <f>VLOOKUP(J528,'Store lookup'!A:C,3,0)</f>
        <v>Spotlight South Melbourne</v>
      </c>
      <c r="R528" s="6" t="str">
        <f t="shared" si="8"/>
        <v>Spotlight</v>
      </c>
      <c r="S528" s="6" t="str">
        <f>VLOOKUP(I528,'FIN CAL LOOKUP'!A:J,7,1)</f>
        <v>MAY, FY24</v>
      </c>
      <c r="T528" s="6" t="str">
        <f>VLOOKUP(I528,'FIN CAL LOOKUP'!A:J,10,1)</f>
        <v>Q4, FY24</v>
      </c>
    </row>
    <row r="529" spans="1:20" x14ac:dyDescent="0.25">
      <c r="A529">
        <v>321483</v>
      </c>
      <c r="B529" t="s">
        <v>951</v>
      </c>
      <c r="C529" t="s">
        <v>952</v>
      </c>
      <c r="D529" t="s">
        <v>307</v>
      </c>
      <c r="E529" t="s">
        <v>264</v>
      </c>
      <c r="F529" t="s">
        <v>935</v>
      </c>
      <c r="G529" t="s">
        <v>266</v>
      </c>
      <c r="H529" s="5">
        <v>45406</v>
      </c>
      <c r="I529" s="5">
        <v>45415</v>
      </c>
      <c r="J529" t="s">
        <v>935</v>
      </c>
      <c r="K529" t="s">
        <v>268</v>
      </c>
      <c r="L529">
        <v>2</v>
      </c>
      <c r="M529" t="s">
        <v>676</v>
      </c>
      <c r="N529" t="s">
        <v>237</v>
      </c>
      <c r="O529">
        <v>0</v>
      </c>
      <c r="P529" s="6" t="str">
        <f>VLOOKUP(J529,'Store lookup'!A:C,2,0)</f>
        <v>S027</v>
      </c>
      <c r="Q529" s="6" t="str">
        <f>VLOOKUP(J529,'Store lookup'!A:C,3,0)</f>
        <v>Spotlight South Melbourne</v>
      </c>
      <c r="R529" s="6" t="str">
        <f t="shared" si="8"/>
        <v>Spotlight</v>
      </c>
      <c r="S529" s="6" t="str">
        <f>VLOOKUP(I529,'FIN CAL LOOKUP'!A:J,7,1)</f>
        <v>MAY, FY24</v>
      </c>
      <c r="T529" s="6" t="str">
        <f>VLOOKUP(I529,'FIN CAL LOOKUP'!A:J,10,1)</f>
        <v>Q4, FY24</v>
      </c>
    </row>
    <row r="530" spans="1:20" x14ac:dyDescent="0.25">
      <c r="A530">
        <v>333888</v>
      </c>
      <c r="B530" t="s">
        <v>313</v>
      </c>
      <c r="C530" t="s">
        <v>314</v>
      </c>
      <c r="D530" t="s">
        <v>263</v>
      </c>
      <c r="E530" t="s">
        <v>264</v>
      </c>
      <c r="F530" t="s">
        <v>935</v>
      </c>
      <c r="G530" t="s">
        <v>266</v>
      </c>
      <c r="H530" s="5">
        <v>45404</v>
      </c>
      <c r="I530" s="5">
        <v>45408</v>
      </c>
      <c r="J530" t="s">
        <v>935</v>
      </c>
      <c r="K530" t="s">
        <v>268</v>
      </c>
      <c r="L530">
        <v>1</v>
      </c>
      <c r="M530" t="s">
        <v>676</v>
      </c>
      <c r="N530" t="s">
        <v>237</v>
      </c>
      <c r="O530">
        <v>1</v>
      </c>
      <c r="P530" s="6" t="str">
        <f>VLOOKUP(J530,'Store lookup'!A:C,2,0)</f>
        <v>S027</v>
      </c>
      <c r="Q530" s="6" t="str">
        <f>VLOOKUP(J530,'Store lookup'!A:C,3,0)</f>
        <v>Spotlight South Melbourne</v>
      </c>
      <c r="R530" s="6" t="str">
        <f t="shared" si="8"/>
        <v>Spotlight</v>
      </c>
      <c r="S530" s="6" t="str">
        <f>VLOOKUP(I530,'FIN CAL LOOKUP'!A:J,7,1)</f>
        <v>MAY, FY24</v>
      </c>
      <c r="T530" s="6" t="str">
        <f>VLOOKUP(I530,'FIN CAL LOOKUP'!A:J,10,1)</f>
        <v>Q4, FY24</v>
      </c>
    </row>
    <row r="531" spans="1:20" x14ac:dyDescent="0.25">
      <c r="A531">
        <v>327843</v>
      </c>
      <c r="B531" t="s">
        <v>808</v>
      </c>
      <c r="C531" t="s">
        <v>809</v>
      </c>
      <c r="D531" t="s">
        <v>263</v>
      </c>
      <c r="E531" t="s">
        <v>264</v>
      </c>
      <c r="F531" t="s">
        <v>926</v>
      </c>
      <c r="G531" t="s">
        <v>266</v>
      </c>
      <c r="H531" s="5">
        <v>45391</v>
      </c>
      <c r="I531" s="5">
        <v>45490</v>
      </c>
      <c r="J531" t="s">
        <v>926</v>
      </c>
      <c r="K531" t="s">
        <v>268</v>
      </c>
      <c r="L531">
        <v>1</v>
      </c>
      <c r="M531" t="s">
        <v>360</v>
      </c>
      <c r="N531" t="s">
        <v>237</v>
      </c>
      <c r="O531">
        <v>1</v>
      </c>
      <c r="P531" s="6" t="str">
        <f>VLOOKUP(J531,'Store lookup'!A:C,2,0)</f>
        <v>S034</v>
      </c>
      <c r="Q531" s="6" t="str">
        <f>VLOOKUP(J531,'Store lookup'!A:C,3,0)</f>
        <v>Spotlight Hoppers Crossing</v>
      </c>
      <c r="R531" s="6" t="str">
        <f t="shared" si="8"/>
        <v>Spotlight</v>
      </c>
      <c r="S531" s="6" t="str">
        <f>VLOOKUP(I531,'FIN CAL LOOKUP'!A:J,7,1)</f>
        <v>JUL, FY25</v>
      </c>
      <c r="T531" s="6" t="str">
        <f>VLOOKUP(I531,'FIN CAL LOOKUP'!A:J,10,1)</f>
        <v>Q1, FY25</v>
      </c>
    </row>
    <row r="532" spans="1:20" x14ac:dyDescent="0.25">
      <c r="A532">
        <v>225218</v>
      </c>
      <c r="B532" t="s">
        <v>547</v>
      </c>
      <c r="C532" t="s">
        <v>671</v>
      </c>
      <c r="D532" t="s">
        <v>263</v>
      </c>
      <c r="E532" t="s">
        <v>264</v>
      </c>
      <c r="F532" t="s">
        <v>924</v>
      </c>
      <c r="G532" t="s">
        <v>266</v>
      </c>
      <c r="H532" s="5">
        <v>45384</v>
      </c>
      <c r="I532" s="5">
        <v>45590</v>
      </c>
      <c r="J532" t="s">
        <v>925</v>
      </c>
      <c r="K532" t="s">
        <v>268</v>
      </c>
      <c r="L532">
        <v>1</v>
      </c>
      <c r="M532" t="s">
        <v>763</v>
      </c>
      <c r="N532" t="s">
        <v>237</v>
      </c>
      <c r="O532">
        <v>1</v>
      </c>
      <c r="P532" s="6" t="str">
        <f>VLOOKUP(J532,'Store lookup'!A:C,2,0)</f>
        <v>S114</v>
      </c>
      <c r="Q532" s="6" t="str">
        <f>VLOOKUP(J532,'Store lookup'!A:C,3,0)</f>
        <v>Spotlight Cranegie</v>
      </c>
      <c r="R532" s="6" t="str">
        <f t="shared" si="8"/>
        <v>Spotlight</v>
      </c>
      <c r="S532" s="6" t="str">
        <f>VLOOKUP(I532,'FIN CAL LOOKUP'!A:J,7,1)</f>
        <v>OCT, FY25</v>
      </c>
      <c r="T532" s="6" t="str">
        <f>VLOOKUP(I532,'FIN CAL LOOKUP'!A:J,10,1)</f>
        <v>Q2, FY25</v>
      </c>
    </row>
    <row r="533" spans="1:20" x14ac:dyDescent="0.25">
      <c r="A533">
        <v>317899</v>
      </c>
      <c r="B533" t="s">
        <v>665</v>
      </c>
      <c r="C533" t="s">
        <v>988</v>
      </c>
      <c r="D533" t="s">
        <v>272</v>
      </c>
      <c r="E533" t="s">
        <v>264</v>
      </c>
      <c r="F533" t="s">
        <v>935</v>
      </c>
      <c r="G533" t="s">
        <v>266</v>
      </c>
      <c r="H533" s="5">
        <v>45378</v>
      </c>
      <c r="I533" s="5">
        <v>45406</v>
      </c>
      <c r="J533" t="s">
        <v>935</v>
      </c>
      <c r="K533" t="s">
        <v>268</v>
      </c>
      <c r="L533">
        <v>1</v>
      </c>
      <c r="M533" t="s">
        <v>676</v>
      </c>
      <c r="N533" t="s">
        <v>237</v>
      </c>
      <c r="O533">
        <v>1</v>
      </c>
      <c r="P533" s="6" t="str">
        <f>VLOOKUP(J533,'Store lookup'!A:C,2,0)</f>
        <v>S027</v>
      </c>
      <c r="Q533" s="6" t="str">
        <f>VLOOKUP(J533,'Store lookup'!A:C,3,0)</f>
        <v>Spotlight South Melbourne</v>
      </c>
      <c r="R533" s="6" t="str">
        <f t="shared" si="8"/>
        <v>Spotlight</v>
      </c>
      <c r="S533" s="6" t="str">
        <f>VLOOKUP(I533,'FIN CAL LOOKUP'!A:J,7,1)</f>
        <v>MAY, FY24</v>
      </c>
      <c r="T533" s="6" t="str">
        <f>VLOOKUP(I533,'FIN CAL LOOKUP'!A:J,10,1)</f>
        <v>Q4, FY24</v>
      </c>
    </row>
    <row r="534" spans="1:20" x14ac:dyDescent="0.25">
      <c r="A534">
        <v>231954</v>
      </c>
      <c r="B534" t="s">
        <v>810</v>
      </c>
      <c r="C534" t="s">
        <v>811</v>
      </c>
      <c r="D534" t="s">
        <v>272</v>
      </c>
      <c r="E534" t="s">
        <v>264</v>
      </c>
      <c r="F534" t="s">
        <v>965</v>
      </c>
      <c r="G534" t="s">
        <v>266</v>
      </c>
      <c r="H534" s="5">
        <v>45369</v>
      </c>
      <c r="I534" s="5">
        <v>45371</v>
      </c>
      <c r="J534" t="s">
        <v>965</v>
      </c>
      <c r="K534" t="s">
        <v>268</v>
      </c>
      <c r="L534">
        <v>1</v>
      </c>
      <c r="M534" t="s">
        <v>338</v>
      </c>
      <c r="N534" t="s">
        <v>237</v>
      </c>
      <c r="O534">
        <v>1</v>
      </c>
      <c r="P534" s="6" t="str">
        <f>VLOOKUP(J534,'Store lookup'!A:C,2,0)</f>
        <v>S010</v>
      </c>
      <c r="Q534" s="6" t="str">
        <f>VLOOKUP(J534,'Store lookup'!A:C,3,0)</f>
        <v>Spotlight Maribyrnong</v>
      </c>
      <c r="R534" s="6" t="str">
        <f t="shared" si="8"/>
        <v>Spotlight</v>
      </c>
      <c r="S534" s="6" t="str">
        <f>VLOOKUP(I534,'FIN CAL LOOKUP'!A:J,7,1)</f>
        <v>MAR, FY24</v>
      </c>
      <c r="T534" s="6" t="str">
        <f>VLOOKUP(I534,'FIN CAL LOOKUP'!A:J,10,1)</f>
        <v>Q3, FY24</v>
      </c>
    </row>
    <row r="535" spans="1:20" x14ac:dyDescent="0.25">
      <c r="A535">
        <v>215865</v>
      </c>
      <c r="B535" t="s">
        <v>764</v>
      </c>
      <c r="C535" t="s">
        <v>891</v>
      </c>
      <c r="D535" t="s">
        <v>263</v>
      </c>
      <c r="E535" t="s">
        <v>264</v>
      </c>
      <c r="F535" t="s">
        <v>931</v>
      </c>
      <c r="G535" t="s">
        <v>266</v>
      </c>
      <c r="H535" s="5">
        <v>45364</v>
      </c>
      <c r="I535" s="5">
        <v>45393</v>
      </c>
      <c r="J535" t="s">
        <v>931</v>
      </c>
      <c r="K535" t="s">
        <v>268</v>
      </c>
      <c r="L535">
        <v>1</v>
      </c>
      <c r="M535" t="s">
        <v>932</v>
      </c>
      <c r="N535" t="s">
        <v>237</v>
      </c>
      <c r="O535">
        <v>1</v>
      </c>
      <c r="P535" s="6" t="str">
        <f>VLOOKUP(J535,'Store lookup'!A:C,2,0)</f>
        <v>S008</v>
      </c>
      <c r="Q535" s="6" t="str">
        <f>VLOOKUP(J535,'Store lookup'!A:C,3,0)</f>
        <v>Spotlight Essendon</v>
      </c>
      <c r="R535" s="6" t="str">
        <f t="shared" si="8"/>
        <v>Spotlight</v>
      </c>
      <c r="S535" s="6" t="str">
        <f>VLOOKUP(I535,'FIN CAL LOOKUP'!A:J,7,1)</f>
        <v>APR, FY24</v>
      </c>
      <c r="T535" s="6" t="str">
        <f>VLOOKUP(I535,'FIN CAL LOOKUP'!A:J,10,1)</f>
        <v>Q4, FY24</v>
      </c>
    </row>
    <row r="536" spans="1:20" x14ac:dyDescent="0.25">
      <c r="A536">
        <v>314778</v>
      </c>
      <c r="B536" t="s">
        <v>465</v>
      </c>
      <c r="C536" t="s">
        <v>466</v>
      </c>
      <c r="D536" t="s">
        <v>307</v>
      </c>
      <c r="E536" t="s">
        <v>264</v>
      </c>
      <c r="F536" t="s">
        <v>938</v>
      </c>
      <c r="G536" t="s">
        <v>266</v>
      </c>
      <c r="H536" s="5">
        <v>45349</v>
      </c>
      <c r="I536" s="5">
        <v>45415</v>
      </c>
      <c r="J536" t="s">
        <v>938</v>
      </c>
      <c r="K536" t="s">
        <v>268</v>
      </c>
      <c r="L536">
        <v>1</v>
      </c>
      <c r="M536" t="s">
        <v>281</v>
      </c>
      <c r="N536" t="s">
        <v>237</v>
      </c>
      <c r="O536">
        <v>1</v>
      </c>
      <c r="P536" s="6" t="str">
        <f>VLOOKUP(J536,'Store lookup'!A:C,2,0)</f>
        <v>S002</v>
      </c>
      <c r="Q536" s="6" t="str">
        <f>VLOOKUP(J536,'Store lookup'!A:C,3,0)</f>
        <v>Spotlight Box Hill</v>
      </c>
      <c r="R536" s="6" t="str">
        <f t="shared" si="8"/>
        <v>Spotlight</v>
      </c>
      <c r="S536" s="6" t="str">
        <f>VLOOKUP(I536,'FIN CAL LOOKUP'!A:J,7,1)</f>
        <v>MAY, FY24</v>
      </c>
      <c r="T536" s="6" t="str">
        <f>VLOOKUP(I536,'FIN CAL LOOKUP'!A:J,10,1)</f>
        <v>Q4, FY24</v>
      </c>
    </row>
    <row r="537" spans="1:20" x14ac:dyDescent="0.25">
      <c r="A537">
        <v>325564</v>
      </c>
      <c r="B537" t="s">
        <v>681</v>
      </c>
      <c r="C537" t="s">
        <v>682</v>
      </c>
      <c r="D537" t="s">
        <v>263</v>
      </c>
      <c r="E537" t="s">
        <v>264</v>
      </c>
      <c r="F537" t="s">
        <v>926</v>
      </c>
      <c r="G537" t="s">
        <v>266</v>
      </c>
      <c r="H537" s="5">
        <v>45349</v>
      </c>
      <c r="I537" s="5">
        <v>45408</v>
      </c>
      <c r="J537" t="s">
        <v>926</v>
      </c>
      <c r="K537" t="s">
        <v>268</v>
      </c>
      <c r="L537">
        <v>1</v>
      </c>
      <c r="M537" t="s">
        <v>360</v>
      </c>
      <c r="N537" t="s">
        <v>237</v>
      </c>
      <c r="O537">
        <v>1</v>
      </c>
      <c r="P537" s="6" t="str">
        <f>VLOOKUP(J537,'Store lookup'!A:C,2,0)</f>
        <v>S034</v>
      </c>
      <c r="Q537" s="6" t="str">
        <f>VLOOKUP(J537,'Store lookup'!A:C,3,0)</f>
        <v>Spotlight Hoppers Crossing</v>
      </c>
      <c r="R537" s="6" t="str">
        <f t="shared" si="8"/>
        <v>Spotlight</v>
      </c>
      <c r="S537" s="6" t="str">
        <f>VLOOKUP(I537,'FIN CAL LOOKUP'!A:J,7,1)</f>
        <v>MAY, FY24</v>
      </c>
      <c r="T537" s="6" t="str">
        <f>VLOOKUP(I537,'FIN CAL LOOKUP'!A:J,10,1)</f>
        <v>Q4, FY24</v>
      </c>
    </row>
    <row r="538" spans="1:20" x14ac:dyDescent="0.25">
      <c r="A538">
        <v>318222</v>
      </c>
      <c r="B538" t="s">
        <v>623</v>
      </c>
      <c r="C538" t="s">
        <v>624</v>
      </c>
      <c r="D538" t="s">
        <v>272</v>
      </c>
      <c r="E538" t="s">
        <v>264</v>
      </c>
      <c r="F538" t="s">
        <v>926</v>
      </c>
      <c r="G538" t="s">
        <v>266</v>
      </c>
      <c r="H538" s="5">
        <v>45349</v>
      </c>
      <c r="I538" s="5">
        <v>45365</v>
      </c>
      <c r="J538" t="s">
        <v>926</v>
      </c>
      <c r="K538" t="s">
        <v>268</v>
      </c>
      <c r="L538">
        <v>2</v>
      </c>
      <c r="M538" t="s">
        <v>360</v>
      </c>
      <c r="N538" t="s">
        <v>237</v>
      </c>
      <c r="O538">
        <v>0</v>
      </c>
      <c r="P538" s="6" t="str">
        <f>VLOOKUP(J538,'Store lookup'!A:C,2,0)</f>
        <v>S034</v>
      </c>
      <c r="Q538" s="6" t="str">
        <f>VLOOKUP(J538,'Store lookup'!A:C,3,0)</f>
        <v>Spotlight Hoppers Crossing</v>
      </c>
      <c r="R538" s="6" t="str">
        <f t="shared" si="8"/>
        <v>Spotlight</v>
      </c>
      <c r="S538" s="6" t="str">
        <f>VLOOKUP(I538,'FIN CAL LOOKUP'!A:J,7,1)</f>
        <v>MAR, FY24</v>
      </c>
      <c r="T538" s="6" t="str">
        <f>VLOOKUP(I538,'FIN CAL LOOKUP'!A:J,10,1)</f>
        <v>Q3, FY24</v>
      </c>
    </row>
    <row r="539" spans="1:20" x14ac:dyDescent="0.25">
      <c r="A539">
        <v>324195</v>
      </c>
      <c r="B539" t="s">
        <v>637</v>
      </c>
      <c r="C539" t="s">
        <v>638</v>
      </c>
      <c r="D539" t="s">
        <v>272</v>
      </c>
      <c r="E539" t="s">
        <v>264</v>
      </c>
      <c r="F539" t="s">
        <v>926</v>
      </c>
      <c r="G539" t="s">
        <v>266</v>
      </c>
      <c r="H539" s="5">
        <v>45349</v>
      </c>
      <c r="I539" s="5">
        <v>45365</v>
      </c>
      <c r="J539" t="s">
        <v>926</v>
      </c>
      <c r="K539" t="s">
        <v>268</v>
      </c>
      <c r="L539">
        <v>2</v>
      </c>
      <c r="M539" t="s">
        <v>360</v>
      </c>
      <c r="N539" t="s">
        <v>237</v>
      </c>
      <c r="O539">
        <v>0</v>
      </c>
      <c r="P539" s="6" t="str">
        <f>VLOOKUP(J539,'Store lookup'!A:C,2,0)</f>
        <v>S034</v>
      </c>
      <c r="Q539" s="6" t="str">
        <f>VLOOKUP(J539,'Store lookup'!A:C,3,0)</f>
        <v>Spotlight Hoppers Crossing</v>
      </c>
      <c r="R539" s="6" t="str">
        <f t="shared" si="8"/>
        <v>Spotlight</v>
      </c>
      <c r="S539" s="6" t="str">
        <f>VLOOKUP(I539,'FIN CAL LOOKUP'!A:J,7,1)</f>
        <v>MAR, FY24</v>
      </c>
      <c r="T539" s="6" t="str">
        <f>VLOOKUP(I539,'FIN CAL LOOKUP'!A:J,10,1)</f>
        <v>Q3, FY24</v>
      </c>
    </row>
    <row r="540" spans="1:20" x14ac:dyDescent="0.25">
      <c r="A540">
        <v>203902</v>
      </c>
      <c r="B540" t="s">
        <v>319</v>
      </c>
      <c r="C540" t="s">
        <v>320</v>
      </c>
      <c r="D540" t="s">
        <v>278</v>
      </c>
      <c r="E540" t="s">
        <v>264</v>
      </c>
      <c r="F540" t="s">
        <v>935</v>
      </c>
      <c r="G540" t="s">
        <v>266</v>
      </c>
      <c r="H540" s="5">
        <v>45348</v>
      </c>
      <c r="I540" s="5">
        <v>45386</v>
      </c>
      <c r="J540" t="s">
        <v>935</v>
      </c>
      <c r="K540" t="s">
        <v>268</v>
      </c>
      <c r="L540">
        <v>1</v>
      </c>
      <c r="M540" t="s">
        <v>676</v>
      </c>
      <c r="N540" t="s">
        <v>237</v>
      </c>
      <c r="O540">
        <v>1</v>
      </c>
      <c r="P540" s="6" t="str">
        <f>VLOOKUP(J540,'Store lookup'!A:C,2,0)</f>
        <v>S027</v>
      </c>
      <c r="Q540" s="6" t="str">
        <f>VLOOKUP(J540,'Store lookup'!A:C,3,0)</f>
        <v>Spotlight South Melbourne</v>
      </c>
      <c r="R540" s="6" t="str">
        <f t="shared" si="8"/>
        <v>Spotlight</v>
      </c>
      <c r="S540" s="6" t="str">
        <f>VLOOKUP(I540,'FIN CAL LOOKUP'!A:J,7,1)</f>
        <v>APR, FY24</v>
      </c>
      <c r="T540" s="6" t="str">
        <f>VLOOKUP(I540,'FIN CAL LOOKUP'!A:J,10,1)</f>
        <v>Q4, FY24</v>
      </c>
    </row>
    <row r="541" spans="1:20" x14ac:dyDescent="0.25">
      <c r="A541">
        <v>238720</v>
      </c>
      <c r="B541" t="s">
        <v>743</v>
      </c>
      <c r="C541" t="s">
        <v>744</v>
      </c>
      <c r="D541" t="s">
        <v>263</v>
      </c>
      <c r="E541" t="s">
        <v>264</v>
      </c>
      <c r="F541" t="s">
        <v>935</v>
      </c>
      <c r="G541" t="s">
        <v>266</v>
      </c>
      <c r="H541" s="5">
        <v>45348</v>
      </c>
      <c r="I541" s="5">
        <v>45363</v>
      </c>
      <c r="J541" t="s">
        <v>935</v>
      </c>
      <c r="K541" t="s">
        <v>268</v>
      </c>
      <c r="L541">
        <v>1</v>
      </c>
      <c r="M541" t="s">
        <v>676</v>
      </c>
      <c r="N541" t="s">
        <v>237</v>
      </c>
      <c r="O541">
        <v>1</v>
      </c>
      <c r="P541" s="6" t="str">
        <f>VLOOKUP(J541,'Store lookup'!A:C,2,0)</f>
        <v>S027</v>
      </c>
      <c r="Q541" s="6" t="str">
        <f>VLOOKUP(J541,'Store lookup'!A:C,3,0)</f>
        <v>Spotlight South Melbourne</v>
      </c>
      <c r="R541" s="6" t="str">
        <f t="shared" si="8"/>
        <v>Spotlight</v>
      </c>
      <c r="S541" s="6" t="str">
        <f>VLOOKUP(I541,'FIN CAL LOOKUP'!A:J,7,1)</f>
        <v>MAR, FY24</v>
      </c>
      <c r="T541" s="6" t="str">
        <f>VLOOKUP(I541,'FIN CAL LOOKUP'!A:J,10,1)</f>
        <v>Q3, FY24</v>
      </c>
    </row>
    <row r="542" spans="1:20" x14ac:dyDescent="0.25">
      <c r="A542">
        <v>328014</v>
      </c>
      <c r="B542" t="s">
        <v>321</v>
      </c>
      <c r="C542" t="s">
        <v>322</v>
      </c>
      <c r="D542" t="s">
        <v>307</v>
      </c>
      <c r="E542" t="s">
        <v>264</v>
      </c>
      <c r="F542" t="s">
        <v>938</v>
      </c>
      <c r="G542" t="s">
        <v>266</v>
      </c>
      <c r="H542" s="5">
        <v>45345</v>
      </c>
      <c r="I542" s="5">
        <v>45429</v>
      </c>
      <c r="J542" t="s">
        <v>938</v>
      </c>
      <c r="K542" t="s">
        <v>268</v>
      </c>
      <c r="L542">
        <v>2</v>
      </c>
      <c r="M542" t="s">
        <v>281</v>
      </c>
      <c r="N542" t="s">
        <v>237</v>
      </c>
      <c r="O542">
        <v>0</v>
      </c>
      <c r="P542" s="6" t="str">
        <f>VLOOKUP(J542,'Store lookup'!A:C,2,0)</f>
        <v>S002</v>
      </c>
      <c r="Q542" s="6" t="str">
        <f>VLOOKUP(J542,'Store lookup'!A:C,3,0)</f>
        <v>Spotlight Box Hill</v>
      </c>
      <c r="R542" s="6" t="str">
        <f t="shared" si="8"/>
        <v>Spotlight</v>
      </c>
      <c r="S542" s="6" t="str">
        <f>VLOOKUP(I542,'FIN CAL LOOKUP'!A:J,7,1)</f>
        <v>MAY, FY24</v>
      </c>
      <c r="T542" s="6" t="str">
        <f>VLOOKUP(I542,'FIN CAL LOOKUP'!A:J,10,1)</f>
        <v>Q4, FY24</v>
      </c>
    </row>
    <row r="543" spans="1:20" x14ac:dyDescent="0.25">
      <c r="A543">
        <v>240591</v>
      </c>
      <c r="B543" t="s">
        <v>797</v>
      </c>
      <c r="C543" t="s">
        <v>798</v>
      </c>
      <c r="D543" t="s">
        <v>263</v>
      </c>
      <c r="E543" t="s">
        <v>264</v>
      </c>
      <c r="F543" t="s">
        <v>965</v>
      </c>
      <c r="G543" t="s">
        <v>266</v>
      </c>
      <c r="H543" s="5">
        <v>45345</v>
      </c>
      <c r="I543" s="5">
        <v>45379</v>
      </c>
      <c r="J543" t="s">
        <v>965</v>
      </c>
      <c r="K543" t="s">
        <v>268</v>
      </c>
      <c r="L543">
        <v>1</v>
      </c>
      <c r="M543" t="s">
        <v>338</v>
      </c>
      <c r="N543" t="s">
        <v>237</v>
      </c>
      <c r="O543">
        <v>1</v>
      </c>
      <c r="P543" s="6" t="str">
        <f>VLOOKUP(J543,'Store lookup'!A:C,2,0)</f>
        <v>S010</v>
      </c>
      <c r="Q543" s="6" t="str">
        <f>VLOOKUP(J543,'Store lookup'!A:C,3,0)</f>
        <v>Spotlight Maribyrnong</v>
      </c>
      <c r="R543" s="6" t="str">
        <f t="shared" si="8"/>
        <v>Spotlight</v>
      </c>
      <c r="S543" s="6" t="str">
        <f>VLOOKUP(I543,'FIN CAL LOOKUP'!A:J,7,1)</f>
        <v>APR, FY24</v>
      </c>
      <c r="T543" s="6" t="str">
        <f>VLOOKUP(I543,'FIN CAL LOOKUP'!A:J,10,1)</f>
        <v>Q4, FY24</v>
      </c>
    </row>
    <row r="544" spans="1:20" x14ac:dyDescent="0.25">
      <c r="A544">
        <v>323623</v>
      </c>
      <c r="B544" t="s">
        <v>939</v>
      </c>
      <c r="C544" t="s">
        <v>940</v>
      </c>
      <c r="D544" t="s">
        <v>307</v>
      </c>
      <c r="E544" t="s">
        <v>264</v>
      </c>
      <c r="F544" t="s">
        <v>938</v>
      </c>
      <c r="G544" t="s">
        <v>266</v>
      </c>
      <c r="H544" s="5">
        <v>45344</v>
      </c>
      <c r="I544" s="5">
        <v>45429</v>
      </c>
      <c r="J544" t="s">
        <v>938</v>
      </c>
      <c r="K544" t="s">
        <v>268</v>
      </c>
      <c r="L544">
        <v>2</v>
      </c>
      <c r="M544" t="s">
        <v>281</v>
      </c>
      <c r="N544" t="s">
        <v>237</v>
      </c>
      <c r="O544">
        <v>0</v>
      </c>
      <c r="P544" s="6" t="str">
        <f>VLOOKUP(J544,'Store lookup'!A:C,2,0)</f>
        <v>S002</v>
      </c>
      <c r="Q544" s="6" t="str">
        <f>VLOOKUP(J544,'Store lookup'!A:C,3,0)</f>
        <v>Spotlight Box Hill</v>
      </c>
      <c r="R544" s="6" t="str">
        <f t="shared" si="8"/>
        <v>Spotlight</v>
      </c>
      <c r="S544" s="6" t="str">
        <f>VLOOKUP(I544,'FIN CAL LOOKUP'!A:J,7,1)</f>
        <v>MAY, FY24</v>
      </c>
      <c r="T544" s="6" t="str">
        <f>VLOOKUP(I544,'FIN CAL LOOKUP'!A:J,10,1)</f>
        <v>Q4, FY24</v>
      </c>
    </row>
    <row r="545" spans="1:20" x14ac:dyDescent="0.25">
      <c r="A545">
        <v>305938</v>
      </c>
      <c r="B545" t="s">
        <v>494</v>
      </c>
      <c r="C545" t="s">
        <v>495</v>
      </c>
      <c r="D545" t="s">
        <v>263</v>
      </c>
      <c r="E545" t="s">
        <v>264</v>
      </c>
      <c r="F545" t="s">
        <v>927</v>
      </c>
      <c r="G545" t="s">
        <v>266</v>
      </c>
      <c r="H545" s="5">
        <v>45342</v>
      </c>
      <c r="I545" s="5">
        <v>45471</v>
      </c>
      <c r="J545" t="s">
        <v>927</v>
      </c>
      <c r="K545" t="s">
        <v>268</v>
      </c>
      <c r="L545">
        <v>1</v>
      </c>
      <c r="M545" t="s">
        <v>928</v>
      </c>
      <c r="N545" t="s">
        <v>237</v>
      </c>
      <c r="O545">
        <v>1</v>
      </c>
      <c r="P545" s="6" t="str">
        <f>VLOOKUP(J545,'Store lookup'!A:C,2,0)</f>
        <v>S159</v>
      </c>
      <c r="Q545" s="6" t="str">
        <f>VLOOKUP(J545,'Store lookup'!A:C,3,0)</f>
        <v>Spotlight The Glen Creative</v>
      </c>
      <c r="R545" s="6" t="str">
        <f t="shared" si="8"/>
        <v>Spotlight</v>
      </c>
      <c r="S545" s="6" t="str">
        <f>VLOOKUP(I545,'FIN CAL LOOKUP'!A:J,7,1)</f>
        <v>JUN, FY24</v>
      </c>
      <c r="T545" s="6" t="str">
        <f>VLOOKUP(I545,'FIN CAL LOOKUP'!A:J,10,1)</f>
        <v>Q4, FY24</v>
      </c>
    </row>
    <row r="546" spans="1:20" x14ac:dyDescent="0.25">
      <c r="A546">
        <v>329837</v>
      </c>
      <c r="B546" t="s">
        <v>562</v>
      </c>
      <c r="C546" t="s">
        <v>563</v>
      </c>
      <c r="D546" t="s">
        <v>278</v>
      </c>
      <c r="E546" t="s">
        <v>264</v>
      </c>
      <c r="F546" t="s">
        <v>926</v>
      </c>
      <c r="G546" t="s">
        <v>266</v>
      </c>
      <c r="H546" s="5">
        <v>45330</v>
      </c>
      <c r="I546" s="5">
        <v>45379</v>
      </c>
      <c r="J546" t="s">
        <v>926</v>
      </c>
      <c r="K546" t="s">
        <v>268</v>
      </c>
      <c r="L546">
        <v>1</v>
      </c>
      <c r="M546" t="s">
        <v>360</v>
      </c>
      <c r="N546" t="s">
        <v>237</v>
      </c>
      <c r="O546">
        <v>1</v>
      </c>
      <c r="P546" s="6" t="str">
        <f>VLOOKUP(J546,'Store lookup'!A:C,2,0)</f>
        <v>S034</v>
      </c>
      <c r="Q546" s="6" t="str">
        <f>VLOOKUP(J546,'Store lookup'!A:C,3,0)</f>
        <v>Spotlight Hoppers Crossing</v>
      </c>
      <c r="R546" s="6" t="str">
        <f t="shared" si="8"/>
        <v>Spotlight</v>
      </c>
      <c r="S546" s="6" t="str">
        <f>VLOOKUP(I546,'FIN CAL LOOKUP'!A:J,7,1)</f>
        <v>APR, FY24</v>
      </c>
      <c r="T546" s="6" t="str">
        <f>VLOOKUP(I546,'FIN CAL LOOKUP'!A:J,10,1)</f>
        <v>Q4, FY24</v>
      </c>
    </row>
    <row r="547" spans="1:20" x14ac:dyDescent="0.25">
      <c r="A547">
        <v>327314</v>
      </c>
      <c r="B547" t="s">
        <v>621</v>
      </c>
      <c r="C547" t="s">
        <v>622</v>
      </c>
      <c r="D547" t="s">
        <v>263</v>
      </c>
      <c r="E547" t="s">
        <v>264</v>
      </c>
      <c r="F547" t="s">
        <v>926</v>
      </c>
      <c r="G547" t="s">
        <v>266</v>
      </c>
      <c r="H547" s="5">
        <v>45329</v>
      </c>
      <c r="I547" s="5">
        <v>45351</v>
      </c>
      <c r="J547" t="s">
        <v>926</v>
      </c>
      <c r="K547" t="s">
        <v>268</v>
      </c>
      <c r="L547">
        <v>1</v>
      </c>
      <c r="M547" t="s">
        <v>360</v>
      </c>
      <c r="N547" t="s">
        <v>237</v>
      </c>
      <c r="O547">
        <v>1</v>
      </c>
      <c r="P547" s="6" t="str">
        <f>VLOOKUP(J547,'Store lookup'!A:C,2,0)</f>
        <v>S034</v>
      </c>
      <c r="Q547" s="6" t="str">
        <f>VLOOKUP(J547,'Store lookup'!A:C,3,0)</f>
        <v>Spotlight Hoppers Crossing</v>
      </c>
      <c r="R547" s="6" t="str">
        <f t="shared" si="8"/>
        <v>Spotlight</v>
      </c>
      <c r="S547" s="6" t="str">
        <f>VLOOKUP(I547,'FIN CAL LOOKUP'!A:J,7,1)</f>
        <v>MAR, FY24</v>
      </c>
      <c r="T547" s="6" t="str">
        <f>VLOOKUP(I547,'FIN CAL LOOKUP'!A:J,10,1)</f>
        <v>Q3, FY24</v>
      </c>
    </row>
    <row r="548" spans="1:20" x14ac:dyDescent="0.25">
      <c r="A548">
        <v>321931</v>
      </c>
      <c r="B548" t="s">
        <v>625</v>
      </c>
      <c r="C548" t="s">
        <v>626</v>
      </c>
      <c r="D548" t="s">
        <v>272</v>
      </c>
      <c r="E548" t="s">
        <v>264</v>
      </c>
      <c r="F548" t="s">
        <v>927</v>
      </c>
      <c r="G548" t="s">
        <v>266</v>
      </c>
      <c r="H548" s="5">
        <v>45328</v>
      </c>
      <c r="I548" s="5">
        <v>45373</v>
      </c>
      <c r="J548" t="s">
        <v>927</v>
      </c>
      <c r="K548" t="s">
        <v>268</v>
      </c>
      <c r="L548">
        <v>1</v>
      </c>
      <c r="M548" t="s">
        <v>928</v>
      </c>
      <c r="N548" t="s">
        <v>237</v>
      </c>
      <c r="O548">
        <v>1</v>
      </c>
      <c r="P548" s="6" t="str">
        <f>VLOOKUP(J548,'Store lookup'!A:C,2,0)</f>
        <v>S159</v>
      </c>
      <c r="Q548" s="6" t="str">
        <f>VLOOKUP(J548,'Store lookup'!A:C,3,0)</f>
        <v>Spotlight The Glen Creative</v>
      </c>
      <c r="R548" s="6" t="str">
        <f t="shared" si="8"/>
        <v>Spotlight</v>
      </c>
      <c r="S548" s="6" t="str">
        <f>VLOOKUP(I548,'FIN CAL LOOKUP'!A:J,7,1)</f>
        <v>MAR, FY24</v>
      </c>
      <c r="T548" s="6" t="str">
        <f>VLOOKUP(I548,'FIN CAL LOOKUP'!A:J,10,1)</f>
        <v>Q3, FY24</v>
      </c>
    </row>
    <row r="549" spans="1:20" x14ac:dyDescent="0.25">
      <c r="A549">
        <v>235135</v>
      </c>
      <c r="B549" t="s">
        <v>459</v>
      </c>
      <c r="C549" t="s">
        <v>460</v>
      </c>
      <c r="D549" t="s">
        <v>278</v>
      </c>
      <c r="E549" t="s">
        <v>264</v>
      </c>
      <c r="F549" t="s">
        <v>924</v>
      </c>
      <c r="G549" t="s">
        <v>266</v>
      </c>
      <c r="H549" s="5">
        <v>45328</v>
      </c>
      <c r="I549" s="5">
        <v>45372</v>
      </c>
      <c r="J549" t="s">
        <v>925</v>
      </c>
      <c r="K549" t="s">
        <v>268</v>
      </c>
      <c r="L549">
        <v>1</v>
      </c>
      <c r="M549" t="s">
        <v>763</v>
      </c>
      <c r="N549" t="s">
        <v>237</v>
      </c>
      <c r="O549">
        <v>1</v>
      </c>
      <c r="P549" s="6" t="str">
        <f>VLOOKUP(J549,'Store lookup'!A:C,2,0)</f>
        <v>S114</v>
      </c>
      <c r="Q549" s="6" t="str">
        <f>VLOOKUP(J549,'Store lookup'!A:C,3,0)</f>
        <v>Spotlight Cranegie</v>
      </c>
      <c r="R549" s="6" t="str">
        <f t="shared" si="8"/>
        <v>Spotlight</v>
      </c>
      <c r="S549" s="6" t="str">
        <f>VLOOKUP(I549,'FIN CAL LOOKUP'!A:J,7,1)</f>
        <v>MAR, FY24</v>
      </c>
      <c r="T549" s="6" t="str">
        <f>VLOOKUP(I549,'FIN CAL LOOKUP'!A:J,10,1)</f>
        <v>Q3, FY24</v>
      </c>
    </row>
    <row r="550" spans="1:20" x14ac:dyDescent="0.25">
      <c r="A550">
        <v>333286</v>
      </c>
      <c r="B550" t="s">
        <v>498</v>
      </c>
      <c r="C550" t="s">
        <v>499</v>
      </c>
      <c r="D550" t="s">
        <v>500</v>
      </c>
      <c r="E550" t="s">
        <v>264</v>
      </c>
      <c r="F550" t="s">
        <v>935</v>
      </c>
      <c r="G550" t="s">
        <v>266</v>
      </c>
      <c r="H550" s="5">
        <v>45328</v>
      </c>
      <c r="I550" s="5">
        <v>45372</v>
      </c>
      <c r="J550" t="s">
        <v>935</v>
      </c>
      <c r="K550" t="s">
        <v>268</v>
      </c>
      <c r="L550">
        <v>1</v>
      </c>
      <c r="M550" t="s">
        <v>676</v>
      </c>
      <c r="N550" t="s">
        <v>237</v>
      </c>
      <c r="O550">
        <v>1</v>
      </c>
      <c r="P550" s="6" t="str">
        <f>VLOOKUP(J550,'Store lookup'!A:C,2,0)</f>
        <v>S027</v>
      </c>
      <c r="Q550" s="6" t="str">
        <f>VLOOKUP(J550,'Store lookup'!A:C,3,0)</f>
        <v>Spotlight South Melbourne</v>
      </c>
      <c r="R550" s="6" t="str">
        <f t="shared" si="8"/>
        <v>Spotlight</v>
      </c>
      <c r="S550" s="6" t="str">
        <f>VLOOKUP(I550,'FIN CAL LOOKUP'!A:J,7,1)</f>
        <v>MAR, FY24</v>
      </c>
      <c r="T550" s="6" t="str">
        <f>VLOOKUP(I550,'FIN CAL LOOKUP'!A:J,10,1)</f>
        <v>Q3, FY24</v>
      </c>
    </row>
    <row r="551" spans="1:20" x14ac:dyDescent="0.25">
      <c r="A551">
        <v>215865</v>
      </c>
      <c r="B551" t="s">
        <v>764</v>
      </c>
      <c r="C551" t="s">
        <v>891</v>
      </c>
      <c r="D551" t="s">
        <v>263</v>
      </c>
      <c r="E551" t="s">
        <v>264</v>
      </c>
      <c r="F551" t="s">
        <v>931</v>
      </c>
      <c r="G551" t="s">
        <v>266</v>
      </c>
      <c r="H551" s="5">
        <v>45328</v>
      </c>
      <c r="I551" s="5">
        <v>45358</v>
      </c>
      <c r="J551" t="s">
        <v>931</v>
      </c>
      <c r="K551" t="s">
        <v>268</v>
      </c>
      <c r="L551">
        <v>1</v>
      </c>
      <c r="M551" t="s">
        <v>932</v>
      </c>
      <c r="N551" t="s">
        <v>237</v>
      </c>
      <c r="O551">
        <v>1</v>
      </c>
      <c r="P551" s="6" t="str">
        <f>VLOOKUP(J551,'Store lookup'!A:C,2,0)</f>
        <v>S008</v>
      </c>
      <c r="Q551" s="6" t="str">
        <f>VLOOKUP(J551,'Store lookup'!A:C,3,0)</f>
        <v>Spotlight Essendon</v>
      </c>
      <c r="R551" s="6" t="str">
        <f t="shared" si="8"/>
        <v>Spotlight</v>
      </c>
      <c r="S551" s="6" t="str">
        <f>VLOOKUP(I551,'FIN CAL LOOKUP'!A:J,7,1)</f>
        <v>MAR, FY24</v>
      </c>
      <c r="T551" s="6" t="str">
        <f>VLOOKUP(I551,'FIN CAL LOOKUP'!A:J,10,1)</f>
        <v>Q3, FY24</v>
      </c>
    </row>
    <row r="552" spans="1:20" x14ac:dyDescent="0.25">
      <c r="A552">
        <v>318222</v>
      </c>
      <c r="B552" t="s">
        <v>623</v>
      </c>
      <c r="C552" t="s">
        <v>624</v>
      </c>
      <c r="D552" t="s">
        <v>272</v>
      </c>
      <c r="E552" t="s">
        <v>264</v>
      </c>
      <c r="F552" t="s">
        <v>935</v>
      </c>
      <c r="G552" t="s">
        <v>266</v>
      </c>
      <c r="H552" s="5">
        <v>45328</v>
      </c>
      <c r="I552" s="5">
        <v>45358</v>
      </c>
      <c r="J552" t="s">
        <v>935</v>
      </c>
      <c r="K552" t="s">
        <v>268</v>
      </c>
      <c r="L552">
        <v>2</v>
      </c>
      <c r="M552" t="s">
        <v>676</v>
      </c>
      <c r="N552" t="s">
        <v>237</v>
      </c>
      <c r="O552">
        <v>0</v>
      </c>
      <c r="P552" s="6" t="str">
        <f>VLOOKUP(J552,'Store lookup'!A:C,2,0)</f>
        <v>S027</v>
      </c>
      <c r="Q552" s="6" t="str">
        <f>VLOOKUP(J552,'Store lookup'!A:C,3,0)</f>
        <v>Spotlight South Melbourne</v>
      </c>
      <c r="R552" s="6" t="str">
        <f t="shared" si="8"/>
        <v>Spotlight</v>
      </c>
      <c r="S552" s="6" t="str">
        <f>VLOOKUP(I552,'FIN CAL LOOKUP'!A:J,7,1)</f>
        <v>MAR, FY24</v>
      </c>
      <c r="T552" s="6" t="str">
        <f>VLOOKUP(I552,'FIN CAL LOOKUP'!A:J,10,1)</f>
        <v>Q3, FY24</v>
      </c>
    </row>
    <row r="553" spans="1:20" x14ac:dyDescent="0.25">
      <c r="A553">
        <v>325608</v>
      </c>
      <c r="B553" t="s">
        <v>730</v>
      </c>
      <c r="C553" t="s">
        <v>731</v>
      </c>
      <c r="D553" t="s">
        <v>263</v>
      </c>
      <c r="E553" t="s">
        <v>264</v>
      </c>
      <c r="F553" t="s">
        <v>927</v>
      </c>
      <c r="G553" t="s">
        <v>266</v>
      </c>
      <c r="H553" s="5">
        <v>45328</v>
      </c>
      <c r="I553" s="5">
        <v>45351</v>
      </c>
      <c r="J553" t="s">
        <v>927</v>
      </c>
      <c r="K553" t="s">
        <v>268</v>
      </c>
      <c r="L553">
        <v>1</v>
      </c>
      <c r="M553" t="s">
        <v>928</v>
      </c>
      <c r="N553" t="s">
        <v>237</v>
      </c>
      <c r="O553">
        <v>1</v>
      </c>
      <c r="P553" s="6" t="str">
        <f>VLOOKUP(J553,'Store lookup'!A:C,2,0)</f>
        <v>S159</v>
      </c>
      <c r="Q553" s="6" t="str">
        <f>VLOOKUP(J553,'Store lookup'!A:C,3,0)</f>
        <v>Spotlight The Glen Creative</v>
      </c>
      <c r="R553" s="6" t="str">
        <f t="shared" si="8"/>
        <v>Spotlight</v>
      </c>
      <c r="S553" s="6" t="str">
        <f>VLOOKUP(I553,'FIN CAL LOOKUP'!A:J,7,1)</f>
        <v>MAR, FY24</v>
      </c>
      <c r="T553" s="6" t="str">
        <f>VLOOKUP(I553,'FIN CAL LOOKUP'!A:J,10,1)</f>
        <v>Q3, FY24</v>
      </c>
    </row>
    <row r="554" spans="1:20" x14ac:dyDescent="0.25">
      <c r="A554">
        <v>317899</v>
      </c>
      <c r="B554" t="s">
        <v>665</v>
      </c>
      <c r="C554" t="s">
        <v>988</v>
      </c>
      <c r="D554" t="s">
        <v>272</v>
      </c>
      <c r="E554" t="s">
        <v>264</v>
      </c>
      <c r="F554" t="s">
        <v>935</v>
      </c>
      <c r="G554" t="s">
        <v>266</v>
      </c>
      <c r="H554" s="5">
        <v>45328</v>
      </c>
      <c r="I554" s="5">
        <v>45350</v>
      </c>
      <c r="J554" t="s">
        <v>935</v>
      </c>
      <c r="K554" t="s">
        <v>268</v>
      </c>
      <c r="L554">
        <v>1</v>
      </c>
      <c r="M554" t="s">
        <v>676</v>
      </c>
      <c r="N554" t="s">
        <v>237</v>
      </c>
      <c r="O554">
        <v>1</v>
      </c>
      <c r="P554" s="6" t="str">
        <f>VLOOKUP(J554,'Store lookup'!A:C,2,0)</f>
        <v>S027</v>
      </c>
      <c r="Q554" s="6" t="str">
        <f>VLOOKUP(J554,'Store lookup'!A:C,3,0)</f>
        <v>Spotlight South Melbourne</v>
      </c>
      <c r="R554" s="6" t="str">
        <f t="shared" si="8"/>
        <v>Spotlight</v>
      </c>
      <c r="S554" s="6" t="str">
        <f>VLOOKUP(I554,'FIN CAL LOOKUP'!A:J,7,1)</f>
        <v>MAR, FY24</v>
      </c>
      <c r="T554" s="6" t="str">
        <f>VLOOKUP(I554,'FIN CAL LOOKUP'!A:J,10,1)</f>
        <v>Q3, FY24</v>
      </c>
    </row>
    <row r="555" spans="1:20" x14ac:dyDescent="0.25">
      <c r="A555">
        <v>321931</v>
      </c>
      <c r="B555" t="s">
        <v>625</v>
      </c>
      <c r="C555" t="s">
        <v>626</v>
      </c>
      <c r="D555" t="s">
        <v>272</v>
      </c>
      <c r="E555" t="s">
        <v>264</v>
      </c>
      <c r="F555" t="s">
        <v>938</v>
      </c>
      <c r="G555" t="s">
        <v>266</v>
      </c>
      <c r="H555" s="5">
        <v>45328</v>
      </c>
      <c r="I555" s="5">
        <v>45350</v>
      </c>
      <c r="J555" t="s">
        <v>938</v>
      </c>
      <c r="K555" t="s">
        <v>268</v>
      </c>
      <c r="L555">
        <v>1</v>
      </c>
      <c r="M555" t="s">
        <v>281</v>
      </c>
      <c r="N555" t="s">
        <v>237</v>
      </c>
      <c r="O555">
        <v>1</v>
      </c>
      <c r="P555" s="6" t="str">
        <f>VLOOKUP(J555,'Store lookup'!A:C,2,0)</f>
        <v>S002</v>
      </c>
      <c r="Q555" s="6" t="str">
        <f>VLOOKUP(J555,'Store lookup'!A:C,3,0)</f>
        <v>Spotlight Box Hill</v>
      </c>
      <c r="R555" s="6" t="str">
        <f t="shared" si="8"/>
        <v>Spotlight</v>
      </c>
      <c r="S555" s="6" t="str">
        <f>VLOOKUP(I555,'FIN CAL LOOKUP'!A:J,7,1)</f>
        <v>MAR, FY24</v>
      </c>
      <c r="T555" s="6" t="str">
        <f>VLOOKUP(I555,'FIN CAL LOOKUP'!A:J,10,1)</f>
        <v>Q3, FY24</v>
      </c>
    </row>
    <row r="556" spans="1:20" x14ac:dyDescent="0.25">
      <c r="A556">
        <v>321433</v>
      </c>
      <c r="B556" t="s">
        <v>461</v>
      </c>
      <c r="C556" t="s">
        <v>462</v>
      </c>
      <c r="D556" t="s">
        <v>272</v>
      </c>
      <c r="E556" t="s">
        <v>264</v>
      </c>
      <c r="F556" t="s">
        <v>924</v>
      </c>
      <c r="G556" t="s">
        <v>266</v>
      </c>
      <c r="H556" s="5">
        <v>45320</v>
      </c>
      <c r="I556" s="5">
        <v>45364</v>
      </c>
      <c r="J556" t="s">
        <v>925</v>
      </c>
      <c r="K556" t="s">
        <v>268</v>
      </c>
      <c r="L556">
        <v>1</v>
      </c>
      <c r="M556" t="s">
        <v>763</v>
      </c>
      <c r="N556" t="s">
        <v>237</v>
      </c>
      <c r="O556">
        <v>1</v>
      </c>
      <c r="P556" s="6" t="str">
        <f>VLOOKUP(J556,'Store lookup'!A:C,2,0)</f>
        <v>S114</v>
      </c>
      <c r="Q556" s="6" t="str">
        <f>VLOOKUP(J556,'Store lookup'!A:C,3,0)</f>
        <v>Spotlight Cranegie</v>
      </c>
      <c r="R556" s="6" t="str">
        <f t="shared" si="8"/>
        <v>Spotlight</v>
      </c>
      <c r="S556" s="6" t="str">
        <f>VLOOKUP(I556,'FIN CAL LOOKUP'!A:J,7,1)</f>
        <v>MAR, FY24</v>
      </c>
      <c r="T556" s="6" t="str">
        <f>VLOOKUP(I556,'FIN CAL LOOKUP'!A:J,10,1)</f>
        <v>Q3, FY24</v>
      </c>
    </row>
    <row r="557" spans="1:20" x14ac:dyDescent="0.25">
      <c r="A557">
        <v>312878</v>
      </c>
      <c r="B557" t="s">
        <v>745</v>
      </c>
      <c r="C557" t="s">
        <v>746</v>
      </c>
      <c r="D557" t="s">
        <v>278</v>
      </c>
      <c r="E557" t="s">
        <v>264</v>
      </c>
      <c r="F557" t="s">
        <v>931</v>
      </c>
      <c r="G557" t="s">
        <v>266</v>
      </c>
      <c r="H557" s="5">
        <v>45307</v>
      </c>
      <c r="I557" s="5">
        <v>45330</v>
      </c>
      <c r="J557" t="s">
        <v>931</v>
      </c>
      <c r="K557" t="s">
        <v>268</v>
      </c>
      <c r="L557">
        <v>1</v>
      </c>
      <c r="M557" t="s">
        <v>932</v>
      </c>
      <c r="N557" t="s">
        <v>237</v>
      </c>
      <c r="O557">
        <v>1</v>
      </c>
      <c r="P557" s="6" t="str">
        <f>VLOOKUP(J557,'Store lookup'!A:C,2,0)</f>
        <v>S008</v>
      </c>
      <c r="Q557" s="6" t="str">
        <f>VLOOKUP(J557,'Store lookup'!A:C,3,0)</f>
        <v>Spotlight Essendon</v>
      </c>
      <c r="R557" s="6" t="str">
        <f t="shared" si="8"/>
        <v>Spotlight</v>
      </c>
      <c r="S557" s="6" t="str">
        <f>VLOOKUP(I557,'FIN CAL LOOKUP'!A:J,7,1)</f>
        <v>FEB, FY24</v>
      </c>
      <c r="T557" s="6" t="str">
        <f>VLOOKUP(I557,'FIN CAL LOOKUP'!A:J,10,1)</f>
        <v>Q3, FY24</v>
      </c>
    </row>
    <row r="558" spans="1:20" x14ac:dyDescent="0.25">
      <c r="A558">
        <v>329250</v>
      </c>
      <c r="B558" t="s">
        <v>870</v>
      </c>
      <c r="C558" t="s">
        <v>871</v>
      </c>
      <c r="D558" t="s">
        <v>278</v>
      </c>
      <c r="E558" t="s">
        <v>264</v>
      </c>
      <c r="F558" t="s">
        <v>920</v>
      </c>
      <c r="G558" t="s">
        <v>266</v>
      </c>
      <c r="H558" s="5">
        <v>45307</v>
      </c>
      <c r="I558" s="5">
        <v>45316</v>
      </c>
      <c r="J558" t="s">
        <v>920</v>
      </c>
      <c r="K558" t="s">
        <v>268</v>
      </c>
      <c r="L558">
        <v>1</v>
      </c>
      <c r="M558" t="s">
        <v>921</v>
      </c>
      <c r="N558" t="s">
        <v>237</v>
      </c>
      <c r="O558">
        <v>1</v>
      </c>
      <c r="P558" s="6" t="str">
        <f>VLOOKUP(J558,'Store lookup'!A:C,2,0)</f>
        <v>S145</v>
      </c>
      <c r="Q558" s="6" t="str">
        <f>VLOOKUP(J558,'Store lookup'!A:C,3,0)</f>
        <v>Spotlight Roxburgh Park</v>
      </c>
      <c r="R558" s="6" t="str">
        <f t="shared" si="8"/>
        <v>Spotlight</v>
      </c>
      <c r="S558" s="6" t="str">
        <f>VLOOKUP(I558,'FIN CAL LOOKUP'!A:J,7,1)</f>
        <v>FEB, FY24</v>
      </c>
      <c r="T558" s="6" t="str">
        <f>VLOOKUP(I558,'FIN CAL LOOKUP'!A:J,10,1)</f>
        <v>Q3, FY24</v>
      </c>
    </row>
    <row r="559" spans="1:20" hidden="1" x14ac:dyDescent="0.25">
      <c r="A559">
        <v>314778</v>
      </c>
      <c r="B559" t="s">
        <v>465</v>
      </c>
      <c r="C559" t="s">
        <v>466</v>
      </c>
      <c r="D559" t="s">
        <v>307</v>
      </c>
      <c r="E559" t="s">
        <v>264</v>
      </c>
      <c r="F559" t="s">
        <v>938</v>
      </c>
      <c r="G559" t="s">
        <v>266</v>
      </c>
      <c r="H559" s="5">
        <v>45250</v>
      </c>
      <c r="I559" s="5">
        <v>45259</v>
      </c>
      <c r="J559" t="s">
        <v>938</v>
      </c>
      <c r="K559" t="s">
        <v>268</v>
      </c>
      <c r="L559">
        <v>1</v>
      </c>
      <c r="M559" t="s">
        <v>281</v>
      </c>
      <c r="N559" t="s">
        <v>237</v>
      </c>
      <c r="O559">
        <v>1</v>
      </c>
      <c r="P559" s="6" t="str">
        <f>VLOOKUP(J559,'Store lookup'!A:C,2,0)</f>
        <v>S002</v>
      </c>
      <c r="Q559" s="6" t="str">
        <f>VLOOKUP(J559,'Store lookup'!A:C,3,0)</f>
        <v>Spotlight Box Hill</v>
      </c>
      <c r="R559" s="6" t="str">
        <f t="shared" si="8"/>
        <v>Spotlight</v>
      </c>
      <c r="S559" s="6" t="str">
        <f>VLOOKUP(I559,'FIN CAL LOOKUP'!A:J,7,1)</f>
        <v>DEC, FY24</v>
      </c>
      <c r="T559" s="6" t="str">
        <f>VLOOKUP(I559,'FIN CAL LOOKUP'!A:J,10,1)</f>
        <v>Q2, FY24</v>
      </c>
    </row>
    <row r="560" spans="1:20" hidden="1" x14ac:dyDescent="0.25">
      <c r="A560">
        <v>314085</v>
      </c>
      <c r="B560" t="s">
        <v>331</v>
      </c>
      <c r="C560" t="s">
        <v>332</v>
      </c>
      <c r="D560" t="s">
        <v>333</v>
      </c>
      <c r="E560" t="s">
        <v>264</v>
      </c>
      <c r="F560" t="s">
        <v>957</v>
      </c>
      <c r="G560" t="s">
        <v>266</v>
      </c>
      <c r="H560" s="5">
        <v>45226</v>
      </c>
      <c r="I560" s="5">
        <v>45244</v>
      </c>
      <c r="J560" t="s">
        <v>957</v>
      </c>
      <c r="K560" t="s">
        <v>268</v>
      </c>
      <c r="L560">
        <v>1</v>
      </c>
      <c r="M560" t="s">
        <v>958</v>
      </c>
      <c r="N560" t="s">
        <v>237</v>
      </c>
      <c r="O560">
        <v>1</v>
      </c>
      <c r="P560" s="6" t="str">
        <f>VLOOKUP(J560,'Store lookup'!A:C,2,0)</f>
        <v>S005</v>
      </c>
      <c r="Q560" s="6" t="str">
        <f>VLOOKUP(J560,'Store lookup'!A:C,3,0)</f>
        <v>Spotlight Sandown</v>
      </c>
      <c r="R560" s="6" t="str">
        <f t="shared" si="8"/>
        <v>Spotlight</v>
      </c>
      <c r="S560" s="6" t="str">
        <f>VLOOKUP(I560,'FIN CAL LOOKUP'!A:J,7,1)</f>
        <v>NOV, FY24</v>
      </c>
      <c r="T560" s="6" t="str">
        <f>VLOOKUP(I560,'FIN CAL LOOKUP'!A:J,10,1)</f>
        <v>Q2, FY24</v>
      </c>
    </row>
    <row r="561" spans="1:20" hidden="1" x14ac:dyDescent="0.25">
      <c r="A561">
        <v>324696</v>
      </c>
      <c r="B561" t="s">
        <v>912</v>
      </c>
      <c r="C561" t="s">
        <v>913</v>
      </c>
      <c r="D561" t="s">
        <v>278</v>
      </c>
      <c r="E561" t="s">
        <v>264</v>
      </c>
      <c r="F561" t="s">
        <v>989</v>
      </c>
      <c r="G561" t="s">
        <v>266</v>
      </c>
      <c r="H561" s="5">
        <v>45226</v>
      </c>
      <c r="I561" s="5">
        <v>45238</v>
      </c>
      <c r="J561" t="s">
        <v>989</v>
      </c>
      <c r="K561" t="s">
        <v>268</v>
      </c>
      <c r="L561">
        <v>1</v>
      </c>
      <c r="M561" t="s">
        <v>990</v>
      </c>
      <c r="N561" t="s">
        <v>237</v>
      </c>
      <c r="O561">
        <v>0</v>
      </c>
      <c r="P561" s="6" t="str">
        <f>VLOOKUP(J561,'Store lookup'!A:C,2,0)</f>
        <v>S037</v>
      </c>
      <c r="Q561" s="6" t="str">
        <f>VLOOKUP(J561,'Store lookup'!A:C,3,0)</f>
        <v>Spotlight Campbelltown</v>
      </c>
      <c r="R561" s="6" t="str">
        <f t="shared" si="8"/>
        <v>Spotlight</v>
      </c>
      <c r="S561" s="6" t="str">
        <f>VLOOKUP(I561,'FIN CAL LOOKUP'!A:J,7,1)</f>
        <v>NOV, FY24</v>
      </c>
      <c r="T561" s="6" t="str">
        <f>VLOOKUP(I561,'FIN CAL LOOKUP'!A:J,10,1)</f>
        <v>Q2, FY24</v>
      </c>
    </row>
    <row r="562" spans="1:20" hidden="1" x14ac:dyDescent="0.25">
      <c r="A562">
        <v>321421</v>
      </c>
      <c r="B562" t="s">
        <v>391</v>
      </c>
      <c r="C562" t="s">
        <v>392</v>
      </c>
      <c r="D562" t="s">
        <v>272</v>
      </c>
      <c r="E562" t="s">
        <v>264</v>
      </c>
      <c r="F562" t="s">
        <v>991</v>
      </c>
      <c r="G562" t="s">
        <v>266</v>
      </c>
      <c r="H562" s="5">
        <v>45217</v>
      </c>
      <c r="I562" s="5">
        <v>45244</v>
      </c>
      <c r="J562" t="s">
        <v>991</v>
      </c>
      <c r="K562" t="s">
        <v>268</v>
      </c>
      <c r="L562">
        <v>1</v>
      </c>
      <c r="M562" t="s">
        <v>304</v>
      </c>
      <c r="N562" t="s">
        <v>237</v>
      </c>
      <c r="O562">
        <v>1</v>
      </c>
      <c r="P562" s="6" t="str">
        <f>VLOOKUP(J562,'Store lookup'!A:C,2,0)</f>
        <v>S120</v>
      </c>
      <c r="Q562" s="6" t="str">
        <f>VLOOKUP(J562,'Store lookup'!A:C,3,0)</f>
        <v>Spotlight Preston</v>
      </c>
      <c r="R562" s="6" t="str">
        <f t="shared" si="8"/>
        <v>Spotlight</v>
      </c>
      <c r="S562" s="6" t="str">
        <f>VLOOKUP(I562,'FIN CAL LOOKUP'!A:J,7,1)</f>
        <v>NOV, FY24</v>
      </c>
      <c r="T562" s="6" t="str">
        <f>VLOOKUP(I562,'FIN CAL LOOKUP'!A:J,10,1)</f>
        <v>Q2, FY24</v>
      </c>
    </row>
    <row r="563" spans="1:20" hidden="1" x14ac:dyDescent="0.25">
      <c r="A563">
        <v>323285</v>
      </c>
      <c r="B563" t="s">
        <v>501</v>
      </c>
      <c r="C563" t="s">
        <v>502</v>
      </c>
      <c r="D563" t="s">
        <v>278</v>
      </c>
      <c r="E563" t="s">
        <v>264</v>
      </c>
      <c r="F563" t="s">
        <v>924</v>
      </c>
      <c r="G563" t="s">
        <v>266</v>
      </c>
      <c r="H563" s="5">
        <v>45210</v>
      </c>
      <c r="I563" s="5">
        <v>45239</v>
      </c>
      <c r="J563" t="s">
        <v>925</v>
      </c>
      <c r="K563" t="s">
        <v>268</v>
      </c>
      <c r="L563">
        <v>1</v>
      </c>
      <c r="M563" t="s">
        <v>763</v>
      </c>
      <c r="N563" t="s">
        <v>237</v>
      </c>
      <c r="O563">
        <v>1</v>
      </c>
      <c r="P563" s="6" t="str">
        <f>VLOOKUP(J563,'Store lookup'!A:C,2,0)</f>
        <v>S114</v>
      </c>
      <c r="Q563" s="6" t="str">
        <f>VLOOKUP(J563,'Store lookup'!A:C,3,0)</f>
        <v>Spotlight Cranegie</v>
      </c>
      <c r="R563" s="6" t="str">
        <f t="shared" si="8"/>
        <v>Spotlight</v>
      </c>
      <c r="S563" s="6" t="str">
        <f>VLOOKUP(I563,'FIN CAL LOOKUP'!A:J,7,1)</f>
        <v>NOV, FY24</v>
      </c>
      <c r="T563" s="6" t="str">
        <f>VLOOKUP(I563,'FIN CAL LOOKUP'!A:J,10,1)</f>
        <v>Q2, FY24</v>
      </c>
    </row>
    <row r="564" spans="1:20" hidden="1" x14ac:dyDescent="0.25">
      <c r="A564">
        <v>326463</v>
      </c>
      <c r="B564" t="s">
        <v>657</v>
      </c>
      <c r="C564" t="s">
        <v>658</v>
      </c>
      <c r="D564" t="s">
        <v>307</v>
      </c>
      <c r="E564" t="s">
        <v>264</v>
      </c>
      <c r="F564" t="s">
        <v>926</v>
      </c>
      <c r="G564" t="s">
        <v>266</v>
      </c>
      <c r="H564" s="5">
        <v>45208</v>
      </c>
      <c r="I564" s="5">
        <v>45219</v>
      </c>
      <c r="J564" t="s">
        <v>926</v>
      </c>
      <c r="K564" t="s">
        <v>268</v>
      </c>
      <c r="L564">
        <v>1</v>
      </c>
      <c r="M564" t="s">
        <v>360</v>
      </c>
      <c r="N564" t="s">
        <v>237</v>
      </c>
      <c r="O564">
        <v>1</v>
      </c>
      <c r="P564" s="6" t="str">
        <f>VLOOKUP(J564,'Store lookup'!A:C,2,0)</f>
        <v>S034</v>
      </c>
      <c r="Q564" s="6" t="str">
        <f>VLOOKUP(J564,'Store lookup'!A:C,3,0)</f>
        <v>Spotlight Hoppers Crossing</v>
      </c>
      <c r="R564" s="6" t="str">
        <f t="shared" si="8"/>
        <v>Spotlight</v>
      </c>
      <c r="S564" s="6" t="str">
        <f>VLOOKUP(I564,'FIN CAL LOOKUP'!A:J,7,1)</f>
        <v>OCT, FY24</v>
      </c>
      <c r="T564" s="6" t="str">
        <f>VLOOKUP(I564,'FIN CAL LOOKUP'!A:J,10,1)</f>
        <v>Q2, FY24</v>
      </c>
    </row>
    <row r="565" spans="1:20" hidden="1" x14ac:dyDescent="0.25">
      <c r="A565">
        <v>298783</v>
      </c>
      <c r="B565" t="s">
        <v>992</v>
      </c>
      <c r="C565" t="s">
        <v>993</v>
      </c>
      <c r="D565" t="s">
        <v>272</v>
      </c>
      <c r="E565" t="s">
        <v>264</v>
      </c>
      <c r="F565" t="s">
        <v>938</v>
      </c>
      <c r="G565" t="s">
        <v>266</v>
      </c>
      <c r="H565" s="5">
        <v>45204</v>
      </c>
      <c r="I565" s="5">
        <v>45209</v>
      </c>
      <c r="J565" t="s">
        <v>938</v>
      </c>
      <c r="K565" t="s">
        <v>268</v>
      </c>
      <c r="L565">
        <v>1</v>
      </c>
      <c r="M565" t="s">
        <v>281</v>
      </c>
      <c r="N565" t="s">
        <v>237</v>
      </c>
      <c r="O565">
        <v>1</v>
      </c>
      <c r="P565" s="6" t="str">
        <f>VLOOKUP(J565,'Store lookup'!A:C,2,0)</f>
        <v>S002</v>
      </c>
      <c r="Q565" s="6" t="str">
        <f>VLOOKUP(J565,'Store lookup'!A:C,3,0)</f>
        <v>Spotlight Box Hill</v>
      </c>
      <c r="R565" s="6" t="str">
        <f t="shared" si="8"/>
        <v>Spotlight</v>
      </c>
      <c r="S565" s="6" t="str">
        <f>VLOOKUP(I565,'FIN CAL LOOKUP'!A:J,7,1)</f>
        <v>OCT, FY24</v>
      </c>
      <c r="T565" s="6" t="str">
        <f>VLOOKUP(I565,'FIN CAL LOOKUP'!A:J,10,1)</f>
        <v>Q2, FY24</v>
      </c>
    </row>
    <row r="566" spans="1:20" hidden="1" x14ac:dyDescent="0.25">
      <c r="A566">
        <v>329438</v>
      </c>
      <c r="B566" t="s">
        <v>994</v>
      </c>
      <c r="C566" t="s">
        <v>995</v>
      </c>
      <c r="D566" t="s">
        <v>284</v>
      </c>
      <c r="E566" t="s">
        <v>264</v>
      </c>
      <c r="F566" t="s">
        <v>949</v>
      </c>
      <c r="G566" t="s">
        <v>266</v>
      </c>
      <c r="H566" s="5">
        <v>45196</v>
      </c>
      <c r="I566" s="5">
        <v>45245</v>
      </c>
      <c r="J566" t="s">
        <v>949</v>
      </c>
      <c r="K566" t="s">
        <v>268</v>
      </c>
      <c r="L566">
        <v>1</v>
      </c>
      <c r="M566" t="s">
        <v>950</v>
      </c>
      <c r="N566" t="s">
        <v>237</v>
      </c>
      <c r="O566">
        <v>1</v>
      </c>
      <c r="P566" s="6" t="str">
        <f>VLOOKUP(J566,'Store lookup'!A:C,2,0)</f>
        <v>S098</v>
      </c>
      <c r="Q566" s="6" t="str">
        <f>VLOOKUP(J566,'Store lookup'!A:C,3,0)</f>
        <v>Spotlight Burnside</v>
      </c>
      <c r="R566" s="6" t="str">
        <f t="shared" si="8"/>
        <v>Spotlight</v>
      </c>
      <c r="S566" s="6" t="str">
        <f>VLOOKUP(I566,'FIN CAL LOOKUP'!A:J,7,1)</f>
        <v>NOV, FY24</v>
      </c>
      <c r="T566" s="6" t="str">
        <f>VLOOKUP(I566,'FIN CAL LOOKUP'!A:J,10,1)</f>
        <v>Q2, FY24</v>
      </c>
    </row>
    <row r="567" spans="1:20" hidden="1" x14ac:dyDescent="0.25">
      <c r="A567">
        <v>324262</v>
      </c>
      <c r="B567" t="s">
        <v>906</v>
      </c>
      <c r="C567" t="s">
        <v>907</v>
      </c>
      <c r="D567" t="s">
        <v>278</v>
      </c>
      <c r="E567" t="s">
        <v>264</v>
      </c>
      <c r="F567" t="s">
        <v>996</v>
      </c>
      <c r="G567" t="s">
        <v>266</v>
      </c>
      <c r="H567" s="5">
        <v>45191</v>
      </c>
      <c r="I567" s="5">
        <v>45203</v>
      </c>
      <c r="J567" t="s">
        <v>996</v>
      </c>
      <c r="K567" t="s">
        <v>268</v>
      </c>
      <c r="L567">
        <v>1</v>
      </c>
      <c r="N567" t="s">
        <v>237</v>
      </c>
      <c r="O567">
        <v>1</v>
      </c>
      <c r="P567" s="6" t="str">
        <f>VLOOKUP(J567,'Store lookup'!A:C,2,0)</f>
        <v>S088</v>
      </c>
      <c r="Q567" s="6" t="str">
        <f>VLOOKUP(J567,'Store lookup'!A:C,3,0)</f>
        <v>Spotlight Castle Hill</v>
      </c>
      <c r="R567" s="6" t="str">
        <f t="shared" si="8"/>
        <v>Spotlight</v>
      </c>
      <c r="S567" s="6" t="str">
        <f>VLOOKUP(I567,'FIN CAL LOOKUP'!A:J,7,1)</f>
        <v>OCT, FY24</v>
      </c>
      <c r="T567" s="6" t="str">
        <f>VLOOKUP(I567,'FIN CAL LOOKUP'!A:J,10,1)</f>
        <v>Q2, FY24</v>
      </c>
    </row>
    <row r="568" spans="1:20" hidden="1" x14ac:dyDescent="0.25">
      <c r="A568">
        <v>312445</v>
      </c>
      <c r="B568" t="s">
        <v>914</v>
      </c>
      <c r="C568" t="s">
        <v>915</v>
      </c>
      <c r="D568" t="s">
        <v>278</v>
      </c>
      <c r="E568" t="s">
        <v>264</v>
      </c>
      <c r="F568" t="s">
        <v>981</v>
      </c>
      <c r="G568" t="s">
        <v>266</v>
      </c>
      <c r="H568" s="5">
        <v>45190</v>
      </c>
      <c r="I568" s="5">
        <v>45196</v>
      </c>
      <c r="J568" t="s">
        <v>981</v>
      </c>
      <c r="K568" t="s">
        <v>268</v>
      </c>
      <c r="L568">
        <v>1</v>
      </c>
      <c r="M568" t="s">
        <v>982</v>
      </c>
      <c r="N568" t="s">
        <v>237</v>
      </c>
      <c r="O568">
        <v>1</v>
      </c>
      <c r="P568" s="6" t="str">
        <f>VLOOKUP(J568,'Store lookup'!A:C,2,0)</f>
        <v>S113</v>
      </c>
      <c r="Q568" s="6" t="str">
        <f>VLOOKUP(J568,'Store lookup'!A:C,3,0)</f>
        <v>Spotlight South Morang</v>
      </c>
      <c r="R568" s="6" t="str">
        <f t="shared" si="8"/>
        <v>Spotlight</v>
      </c>
      <c r="S568" s="6" t="str">
        <f>VLOOKUP(I568,'FIN CAL LOOKUP'!A:J,7,1)</f>
        <v>OCT, FY24</v>
      </c>
      <c r="T568" s="6" t="str">
        <f>VLOOKUP(I568,'FIN CAL LOOKUP'!A:J,10,1)</f>
        <v>Q2, FY24</v>
      </c>
    </row>
    <row r="569" spans="1:20" hidden="1" x14ac:dyDescent="0.25">
      <c r="A569">
        <v>317899</v>
      </c>
      <c r="B569" t="s">
        <v>665</v>
      </c>
      <c r="C569" t="s">
        <v>988</v>
      </c>
      <c r="D569" t="s">
        <v>272</v>
      </c>
      <c r="E569" t="s">
        <v>264</v>
      </c>
      <c r="F569" t="s">
        <v>935</v>
      </c>
      <c r="G569" t="s">
        <v>266</v>
      </c>
      <c r="H569" s="5">
        <v>45189</v>
      </c>
      <c r="I569" s="5">
        <v>45238</v>
      </c>
      <c r="J569" t="s">
        <v>935</v>
      </c>
      <c r="K569" t="s">
        <v>268</v>
      </c>
      <c r="L569">
        <v>1</v>
      </c>
      <c r="M569" t="s">
        <v>676</v>
      </c>
      <c r="N569" t="s">
        <v>237</v>
      </c>
      <c r="O569">
        <v>1</v>
      </c>
      <c r="P569" s="6" t="str">
        <f>VLOOKUP(J569,'Store lookup'!A:C,2,0)</f>
        <v>S027</v>
      </c>
      <c r="Q569" s="6" t="str">
        <f>VLOOKUP(J569,'Store lookup'!A:C,3,0)</f>
        <v>Spotlight South Melbourne</v>
      </c>
      <c r="R569" s="6" t="str">
        <f t="shared" si="8"/>
        <v>Spotlight</v>
      </c>
      <c r="S569" s="6" t="str">
        <f>VLOOKUP(I569,'FIN CAL LOOKUP'!A:J,7,1)</f>
        <v>NOV, FY24</v>
      </c>
      <c r="T569" s="6" t="str">
        <f>VLOOKUP(I569,'FIN CAL LOOKUP'!A:J,10,1)</f>
        <v>Q2, FY24</v>
      </c>
    </row>
    <row r="570" spans="1:20" hidden="1" x14ac:dyDescent="0.25">
      <c r="A570">
        <v>301059</v>
      </c>
      <c r="B570" t="s">
        <v>679</v>
      </c>
      <c r="C570" t="s">
        <v>997</v>
      </c>
      <c r="D570" t="s">
        <v>284</v>
      </c>
      <c r="E570" t="s">
        <v>264</v>
      </c>
      <c r="F570" t="s">
        <v>920</v>
      </c>
      <c r="G570" t="s">
        <v>266</v>
      </c>
      <c r="H570" s="5">
        <v>45188</v>
      </c>
      <c r="I570" s="5">
        <v>45205</v>
      </c>
      <c r="J570" t="s">
        <v>920</v>
      </c>
      <c r="K570" t="s">
        <v>268</v>
      </c>
      <c r="L570">
        <v>1</v>
      </c>
      <c r="M570" t="s">
        <v>921</v>
      </c>
      <c r="N570" t="s">
        <v>237</v>
      </c>
      <c r="O570">
        <v>1</v>
      </c>
      <c r="P570" s="6" t="str">
        <f>VLOOKUP(J570,'Store lookup'!A:C,2,0)</f>
        <v>S145</v>
      </c>
      <c r="Q570" s="6" t="str">
        <f>VLOOKUP(J570,'Store lookup'!A:C,3,0)</f>
        <v>Spotlight Roxburgh Park</v>
      </c>
      <c r="R570" s="6" t="str">
        <f t="shared" si="8"/>
        <v>Spotlight</v>
      </c>
      <c r="S570" s="6" t="str">
        <f>VLOOKUP(I570,'FIN CAL LOOKUP'!A:J,7,1)</f>
        <v>OCT, FY24</v>
      </c>
      <c r="T570" s="6" t="str">
        <f>VLOOKUP(I570,'FIN CAL LOOKUP'!A:J,10,1)</f>
        <v>Q2, FY24</v>
      </c>
    </row>
    <row r="571" spans="1:20" hidden="1" x14ac:dyDescent="0.25">
      <c r="A571">
        <v>326639</v>
      </c>
      <c r="B571" t="s">
        <v>806</v>
      </c>
      <c r="C571" t="s">
        <v>987</v>
      </c>
      <c r="D571" t="s">
        <v>263</v>
      </c>
      <c r="E571" t="s">
        <v>264</v>
      </c>
      <c r="F571" t="s">
        <v>936</v>
      </c>
      <c r="G571" t="s">
        <v>266</v>
      </c>
      <c r="H571" s="5">
        <v>45177</v>
      </c>
      <c r="I571" s="5">
        <v>45268</v>
      </c>
      <c r="J571" t="s">
        <v>937</v>
      </c>
      <c r="K571" t="s">
        <v>268</v>
      </c>
      <c r="L571">
        <v>1</v>
      </c>
      <c r="M571" t="s">
        <v>269</v>
      </c>
      <c r="N571" t="s">
        <v>237</v>
      </c>
      <c r="O571">
        <v>1</v>
      </c>
      <c r="P571" s="6" t="str">
        <f>VLOOKUP(J571,'Store lookup'!A:C,2,0)</f>
        <v>S014</v>
      </c>
      <c r="Q571" s="6" t="str">
        <f>VLOOKUP(J571,'Store lookup'!A:C,3,0)</f>
        <v>Spotlight Bayswater</v>
      </c>
      <c r="R571" s="6" t="str">
        <f t="shared" si="8"/>
        <v>Spotlight</v>
      </c>
      <c r="S571" s="6" t="str">
        <f>VLOOKUP(I571,'FIN CAL LOOKUP'!A:J,7,1)</f>
        <v>DEC, FY24</v>
      </c>
      <c r="T571" s="6" t="str">
        <f>VLOOKUP(I571,'FIN CAL LOOKUP'!A:J,10,1)</f>
        <v>Q2, FY24</v>
      </c>
    </row>
    <row r="572" spans="1:20" hidden="1" x14ac:dyDescent="0.25">
      <c r="A572">
        <v>240963</v>
      </c>
      <c r="B572" t="s">
        <v>896</v>
      </c>
      <c r="C572" t="s">
        <v>897</v>
      </c>
      <c r="D572" t="s">
        <v>272</v>
      </c>
      <c r="E572" t="s">
        <v>264</v>
      </c>
      <c r="F572" t="s">
        <v>935</v>
      </c>
      <c r="G572" t="s">
        <v>266</v>
      </c>
      <c r="H572" s="5">
        <v>45177</v>
      </c>
      <c r="I572" s="5">
        <v>45202</v>
      </c>
      <c r="J572" t="s">
        <v>935</v>
      </c>
      <c r="K572" t="s">
        <v>268</v>
      </c>
      <c r="L572">
        <v>1</v>
      </c>
      <c r="M572" t="s">
        <v>676</v>
      </c>
      <c r="N572" t="s">
        <v>237</v>
      </c>
      <c r="O572">
        <v>1</v>
      </c>
      <c r="P572" s="6" t="str">
        <f>VLOOKUP(J572,'Store lookup'!A:C,2,0)</f>
        <v>S027</v>
      </c>
      <c r="Q572" s="6" t="str">
        <f>VLOOKUP(J572,'Store lookup'!A:C,3,0)</f>
        <v>Spotlight South Melbourne</v>
      </c>
      <c r="R572" s="6" t="str">
        <f t="shared" si="8"/>
        <v>Spotlight</v>
      </c>
      <c r="S572" s="6" t="str">
        <f>VLOOKUP(I572,'FIN CAL LOOKUP'!A:J,7,1)</f>
        <v>OCT, FY24</v>
      </c>
      <c r="T572" s="6" t="str">
        <f>VLOOKUP(I572,'FIN CAL LOOKUP'!A:J,10,1)</f>
        <v>Q2, FY24</v>
      </c>
    </row>
    <row r="573" spans="1:20" hidden="1" x14ac:dyDescent="0.25">
      <c r="A573">
        <v>320135</v>
      </c>
      <c r="B573" t="s">
        <v>817</v>
      </c>
      <c r="C573" t="s">
        <v>818</v>
      </c>
      <c r="D573" t="s">
        <v>307</v>
      </c>
      <c r="E573" t="s">
        <v>264</v>
      </c>
      <c r="F573" t="s">
        <v>924</v>
      </c>
      <c r="G573" t="s">
        <v>266</v>
      </c>
      <c r="H573" s="5">
        <v>45176</v>
      </c>
      <c r="I573" s="5">
        <v>45265</v>
      </c>
      <c r="J573" t="s">
        <v>925</v>
      </c>
      <c r="K573" t="s">
        <v>268</v>
      </c>
      <c r="L573">
        <v>1</v>
      </c>
      <c r="M573" t="s">
        <v>763</v>
      </c>
      <c r="N573" t="s">
        <v>237</v>
      </c>
      <c r="O573">
        <v>1</v>
      </c>
      <c r="P573" s="6" t="str">
        <f>VLOOKUP(J573,'Store lookup'!A:C,2,0)</f>
        <v>S114</v>
      </c>
      <c r="Q573" s="6" t="str">
        <f>VLOOKUP(J573,'Store lookup'!A:C,3,0)</f>
        <v>Spotlight Cranegie</v>
      </c>
      <c r="R573" s="6" t="str">
        <f t="shared" si="8"/>
        <v>Spotlight</v>
      </c>
      <c r="S573" s="6" t="str">
        <f>VLOOKUP(I573,'FIN CAL LOOKUP'!A:J,7,1)</f>
        <v>DEC, FY24</v>
      </c>
      <c r="T573" s="6" t="str">
        <f>VLOOKUP(I573,'FIN CAL LOOKUP'!A:J,10,1)</f>
        <v>Q2, FY24</v>
      </c>
    </row>
    <row r="574" spans="1:20" hidden="1" x14ac:dyDescent="0.25">
      <c r="A574">
        <v>229776</v>
      </c>
      <c r="B574" t="s">
        <v>555</v>
      </c>
      <c r="C574" t="s">
        <v>556</v>
      </c>
      <c r="D574" t="s">
        <v>278</v>
      </c>
      <c r="E574" t="s">
        <v>264</v>
      </c>
      <c r="F574" t="s">
        <v>957</v>
      </c>
      <c r="G574" t="s">
        <v>266</v>
      </c>
      <c r="H574" s="5">
        <v>45175</v>
      </c>
      <c r="I574" s="5">
        <v>45258</v>
      </c>
      <c r="J574" t="s">
        <v>957</v>
      </c>
      <c r="K574" t="s">
        <v>268</v>
      </c>
      <c r="L574">
        <v>1</v>
      </c>
      <c r="M574" t="s">
        <v>958</v>
      </c>
      <c r="N574" t="s">
        <v>237</v>
      </c>
      <c r="O574">
        <v>1</v>
      </c>
      <c r="P574" s="6" t="str">
        <f>VLOOKUP(J574,'Store lookup'!A:C,2,0)</f>
        <v>S005</v>
      </c>
      <c r="Q574" s="6" t="str">
        <f>VLOOKUP(J574,'Store lookup'!A:C,3,0)</f>
        <v>Spotlight Sandown</v>
      </c>
      <c r="R574" s="6" t="str">
        <f t="shared" si="8"/>
        <v>Spotlight</v>
      </c>
      <c r="S574" s="6" t="str">
        <f>VLOOKUP(I574,'FIN CAL LOOKUP'!A:J,7,1)</f>
        <v>DEC, FY24</v>
      </c>
      <c r="T574" s="6" t="str">
        <f>VLOOKUP(I574,'FIN CAL LOOKUP'!A:J,10,1)</f>
        <v>Q2, FY24</v>
      </c>
    </row>
    <row r="575" spans="1:20" hidden="1" x14ac:dyDescent="0.25">
      <c r="A575">
        <v>329636</v>
      </c>
      <c r="B575" t="s">
        <v>975</v>
      </c>
      <c r="C575" t="s">
        <v>976</v>
      </c>
      <c r="D575" t="s">
        <v>272</v>
      </c>
      <c r="E575" t="s">
        <v>264</v>
      </c>
      <c r="F575" t="s">
        <v>938</v>
      </c>
      <c r="G575" t="s">
        <v>266</v>
      </c>
      <c r="H575" s="5">
        <v>45174</v>
      </c>
      <c r="I575" s="5">
        <v>45190</v>
      </c>
      <c r="J575" t="s">
        <v>938</v>
      </c>
      <c r="K575" t="s">
        <v>268</v>
      </c>
      <c r="L575">
        <v>1</v>
      </c>
      <c r="M575" t="s">
        <v>281</v>
      </c>
      <c r="N575" t="s">
        <v>237</v>
      </c>
      <c r="O575">
        <v>1</v>
      </c>
      <c r="P575" s="6" t="str">
        <f>VLOOKUP(J575,'Store lookup'!A:C,2,0)</f>
        <v>S002</v>
      </c>
      <c r="Q575" s="6" t="str">
        <f>VLOOKUP(J575,'Store lookup'!A:C,3,0)</f>
        <v>Spotlight Box Hill</v>
      </c>
      <c r="R575" s="6" t="str">
        <f t="shared" si="8"/>
        <v>Spotlight</v>
      </c>
      <c r="S575" s="6" t="str">
        <f>VLOOKUP(I575,'FIN CAL LOOKUP'!A:J,7,1)</f>
        <v>SEP, FY24</v>
      </c>
      <c r="T575" s="6" t="str">
        <f>VLOOKUP(I575,'FIN CAL LOOKUP'!A:J,10,1)</f>
        <v>Q1, FY24</v>
      </c>
    </row>
    <row r="576" spans="1:20" hidden="1" x14ac:dyDescent="0.25">
      <c r="A576">
        <v>317842</v>
      </c>
      <c r="B576" t="s">
        <v>857</v>
      </c>
      <c r="C576" t="s">
        <v>888</v>
      </c>
      <c r="D576" t="s">
        <v>284</v>
      </c>
      <c r="E576" t="s">
        <v>264</v>
      </c>
      <c r="F576" t="s">
        <v>998</v>
      </c>
      <c r="G576" t="s">
        <v>266</v>
      </c>
      <c r="H576" s="5">
        <v>45173</v>
      </c>
      <c r="I576" s="5">
        <v>45211</v>
      </c>
      <c r="J576" t="s">
        <v>998</v>
      </c>
      <c r="K576" t="s">
        <v>268</v>
      </c>
      <c r="L576">
        <v>1</v>
      </c>
      <c r="M576" t="s">
        <v>292</v>
      </c>
      <c r="N576" t="s">
        <v>237</v>
      </c>
      <c r="O576">
        <v>1</v>
      </c>
      <c r="P576" s="6" t="str">
        <f>VLOOKUP(J576,'Store lookup'!A:C,2,0)</f>
        <v>S013</v>
      </c>
      <c r="Q576" s="6" t="str">
        <f>VLOOKUP(J576,'Store lookup'!A:C,3,0)</f>
        <v>Spotlight Ballarat</v>
      </c>
      <c r="R576" s="6" t="str">
        <f t="shared" si="8"/>
        <v>Spotlight</v>
      </c>
      <c r="S576" s="6" t="str">
        <f>VLOOKUP(I576,'FIN CAL LOOKUP'!A:J,7,1)</f>
        <v>OCT, FY24</v>
      </c>
      <c r="T576" s="6" t="str">
        <f>VLOOKUP(I576,'FIN CAL LOOKUP'!A:J,10,1)</f>
        <v>Q2, FY24</v>
      </c>
    </row>
    <row r="577" spans="1:20" hidden="1" x14ac:dyDescent="0.25">
      <c r="A577">
        <v>329628</v>
      </c>
      <c r="B577" t="s">
        <v>446</v>
      </c>
      <c r="C577" t="s">
        <v>447</v>
      </c>
      <c r="D577" t="s">
        <v>272</v>
      </c>
      <c r="E577" t="s">
        <v>264</v>
      </c>
      <c r="F577" t="s">
        <v>991</v>
      </c>
      <c r="G577" t="s">
        <v>266</v>
      </c>
      <c r="H577" s="5">
        <v>45160</v>
      </c>
      <c r="I577" s="5">
        <v>45190</v>
      </c>
      <c r="J577" t="s">
        <v>991</v>
      </c>
      <c r="K577" t="s">
        <v>268</v>
      </c>
      <c r="L577">
        <v>1</v>
      </c>
      <c r="M577" t="s">
        <v>304</v>
      </c>
      <c r="N577" t="s">
        <v>237</v>
      </c>
      <c r="O577">
        <v>1</v>
      </c>
      <c r="P577" s="6" t="str">
        <f>VLOOKUP(J577,'Store lookup'!A:C,2,0)</f>
        <v>S120</v>
      </c>
      <c r="Q577" s="6" t="str">
        <f>VLOOKUP(J577,'Store lookup'!A:C,3,0)</f>
        <v>Spotlight Preston</v>
      </c>
      <c r="R577" s="6" t="str">
        <f t="shared" si="8"/>
        <v>Spotlight</v>
      </c>
      <c r="S577" s="6" t="str">
        <f>VLOOKUP(I577,'FIN CAL LOOKUP'!A:J,7,1)</f>
        <v>SEP, FY24</v>
      </c>
      <c r="T577" s="6" t="str">
        <f>VLOOKUP(I577,'FIN CAL LOOKUP'!A:J,10,1)</f>
        <v>Q1, FY24</v>
      </c>
    </row>
    <row r="578" spans="1:20" hidden="1" x14ac:dyDescent="0.25">
      <c r="A578">
        <v>321483</v>
      </c>
      <c r="B578" t="s">
        <v>951</v>
      </c>
      <c r="C578" t="s">
        <v>952</v>
      </c>
      <c r="D578" t="s">
        <v>307</v>
      </c>
      <c r="E578" t="s">
        <v>264</v>
      </c>
      <c r="F578" t="s">
        <v>935</v>
      </c>
      <c r="G578" t="s">
        <v>266</v>
      </c>
      <c r="H578" s="5">
        <v>45159</v>
      </c>
      <c r="I578" s="5">
        <v>45170</v>
      </c>
      <c r="J578" t="s">
        <v>935</v>
      </c>
      <c r="K578" t="s">
        <v>268</v>
      </c>
      <c r="L578">
        <v>1</v>
      </c>
      <c r="M578" t="s">
        <v>676</v>
      </c>
      <c r="N578" t="s">
        <v>237</v>
      </c>
      <c r="O578">
        <v>1</v>
      </c>
      <c r="P578" s="6" t="str">
        <f>VLOOKUP(J578,'Store lookup'!A:C,2,0)</f>
        <v>S027</v>
      </c>
      <c r="Q578" s="6" t="str">
        <f>VLOOKUP(J578,'Store lookup'!A:C,3,0)</f>
        <v>Spotlight South Melbourne</v>
      </c>
      <c r="R578" s="6" t="str">
        <f t="shared" ref="R578:R641" si="9">IF(LEFT(Q578,1)="A","Ananconda",IF(LEFT(Q578,1)="H","Harris Scarfe",IF(LEFT(Q578,1)="S","Spotlight","Exempt")))</f>
        <v>Spotlight</v>
      </c>
      <c r="S578" s="6" t="str">
        <f>VLOOKUP(I578,'FIN CAL LOOKUP'!A:J,7,1)</f>
        <v>SEP, FY24</v>
      </c>
      <c r="T578" s="6" t="str">
        <f>VLOOKUP(I578,'FIN CAL LOOKUP'!A:J,10,1)</f>
        <v>Q1, FY24</v>
      </c>
    </row>
    <row r="579" spans="1:20" hidden="1" x14ac:dyDescent="0.25">
      <c r="A579">
        <v>225944</v>
      </c>
      <c r="B579" t="s">
        <v>872</v>
      </c>
      <c r="C579" t="s">
        <v>873</v>
      </c>
      <c r="D579" t="s">
        <v>278</v>
      </c>
      <c r="E579" t="s">
        <v>264</v>
      </c>
      <c r="F579" t="s">
        <v>981</v>
      </c>
      <c r="G579" t="s">
        <v>266</v>
      </c>
      <c r="H579" s="5">
        <v>45148</v>
      </c>
      <c r="I579" s="5">
        <v>45156</v>
      </c>
      <c r="J579" t="s">
        <v>981</v>
      </c>
      <c r="K579" t="s">
        <v>268</v>
      </c>
      <c r="L579">
        <v>1</v>
      </c>
      <c r="M579" t="s">
        <v>982</v>
      </c>
      <c r="N579" t="s">
        <v>237</v>
      </c>
      <c r="O579">
        <v>1</v>
      </c>
      <c r="P579" s="6" t="str">
        <f>VLOOKUP(J579,'Store lookup'!A:C,2,0)</f>
        <v>S113</v>
      </c>
      <c r="Q579" s="6" t="str">
        <f>VLOOKUP(J579,'Store lookup'!A:C,3,0)</f>
        <v>Spotlight South Morang</v>
      </c>
      <c r="R579" s="6" t="str">
        <f t="shared" si="9"/>
        <v>Spotlight</v>
      </c>
      <c r="S579" s="6" t="str">
        <f>VLOOKUP(I579,'FIN CAL LOOKUP'!A:J,7,1)</f>
        <v>AUG, FY24</v>
      </c>
      <c r="T579" s="6" t="str">
        <f>VLOOKUP(I579,'FIN CAL LOOKUP'!A:J,10,1)</f>
        <v>Q1, FY24</v>
      </c>
    </row>
    <row r="580" spans="1:20" hidden="1" x14ac:dyDescent="0.25">
      <c r="A580">
        <v>323623</v>
      </c>
      <c r="B580" t="s">
        <v>939</v>
      </c>
      <c r="C580" t="s">
        <v>940</v>
      </c>
      <c r="D580" t="s">
        <v>307</v>
      </c>
      <c r="E580" t="s">
        <v>264</v>
      </c>
      <c r="F580" t="s">
        <v>938</v>
      </c>
      <c r="G580" t="s">
        <v>266</v>
      </c>
      <c r="H580" s="5">
        <v>45139</v>
      </c>
      <c r="I580" s="5">
        <v>45219</v>
      </c>
      <c r="J580" t="s">
        <v>938</v>
      </c>
      <c r="K580" t="s">
        <v>268</v>
      </c>
      <c r="L580">
        <v>2</v>
      </c>
      <c r="M580" t="s">
        <v>281</v>
      </c>
      <c r="N580" t="s">
        <v>237</v>
      </c>
      <c r="O580">
        <v>0</v>
      </c>
      <c r="P580" s="6" t="str">
        <f>VLOOKUP(J580,'Store lookup'!A:C,2,0)</f>
        <v>S002</v>
      </c>
      <c r="Q580" s="6" t="str">
        <f>VLOOKUP(J580,'Store lookup'!A:C,3,0)</f>
        <v>Spotlight Box Hill</v>
      </c>
      <c r="R580" s="6" t="str">
        <f t="shared" si="9"/>
        <v>Spotlight</v>
      </c>
      <c r="S580" s="6" t="str">
        <f>VLOOKUP(I580,'FIN CAL LOOKUP'!A:J,7,1)</f>
        <v>OCT, FY24</v>
      </c>
      <c r="T580" s="6" t="str">
        <f>VLOOKUP(I580,'FIN CAL LOOKUP'!A:J,10,1)</f>
        <v>Q2, FY24</v>
      </c>
    </row>
    <row r="581" spans="1:20" hidden="1" x14ac:dyDescent="0.25">
      <c r="A581">
        <v>328014</v>
      </c>
      <c r="B581" t="s">
        <v>321</v>
      </c>
      <c r="C581" t="s">
        <v>322</v>
      </c>
      <c r="D581" t="s">
        <v>307</v>
      </c>
      <c r="E581" t="s">
        <v>264</v>
      </c>
      <c r="F581" t="s">
        <v>938</v>
      </c>
      <c r="G581" t="s">
        <v>266</v>
      </c>
      <c r="H581" s="5">
        <v>45139</v>
      </c>
      <c r="I581" s="5">
        <v>45219</v>
      </c>
      <c r="J581" t="s">
        <v>938</v>
      </c>
      <c r="K581" t="s">
        <v>268</v>
      </c>
      <c r="L581">
        <v>2</v>
      </c>
      <c r="M581" t="s">
        <v>281</v>
      </c>
      <c r="N581" t="s">
        <v>237</v>
      </c>
      <c r="O581">
        <v>0</v>
      </c>
      <c r="P581" s="6" t="str">
        <f>VLOOKUP(J581,'Store lookup'!A:C,2,0)</f>
        <v>S002</v>
      </c>
      <c r="Q581" s="6" t="str">
        <f>VLOOKUP(J581,'Store lookup'!A:C,3,0)</f>
        <v>Spotlight Box Hill</v>
      </c>
      <c r="R581" s="6" t="str">
        <f t="shared" si="9"/>
        <v>Spotlight</v>
      </c>
      <c r="S581" s="6" t="str">
        <f>VLOOKUP(I581,'FIN CAL LOOKUP'!A:J,7,1)</f>
        <v>OCT, FY24</v>
      </c>
      <c r="T581" s="6" t="str">
        <f>VLOOKUP(I581,'FIN CAL LOOKUP'!A:J,10,1)</f>
        <v>Q2, FY24</v>
      </c>
    </row>
    <row r="582" spans="1:20" hidden="1" x14ac:dyDescent="0.25">
      <c r="A582">
        <v>215248</v>
      </c>
      <c r="B582" t="s">
        <v>651</v>
      </c>
      <c r="C582" t="s">
        <v>652</v>
      </c>
      <c r="D582" t="s">
        <v>278</v>
      </c>
      <c r="E582" t="s">
        <v>264</v>
      </c>
      <c r="F582" t="s">
        <v>999</v>
      </c>
      <c r="G582" t="s">
        <v>266</v>
      </c>
      <c r="H582" s="5">
        <v>45110</v>
      </c>
      <c r="I582" s="5">
        <v>45166</v>
      </c>
      <c r="J582" t="s">
        <v>999</v>
      </c>
      <c r="K582" t="s">
        <v>268</v>
      </c>
      <c r="L582">
        <v>1</v>
      </c>
      <c r="M582" t="s">
        <v>1000</v>
      </c>
      <c r="N582" t="s">
        <v>237</v>
      </c>
      <c r="O582">
        <v>1</v>
      </c>
      <c r="P582" s="6" t="str">
        <f>VLOOKUP(J582,'Store lookup'!A:C,2,0)</f>
        <v>S017</v>
      </c>
      <c r="Q582" s="6" t="str">
        <f>VLOOKUP(J582,'Store lookup'!A:C,3,0)</f>
        <v>Spotlight Mildura</v>
      </c>
      <c r="R582" s="6" t="str">
        <f t="shared" si="9"/>
        <v>Spotlight</v>
      </c>
      <c r="S582" s="6" t="str">
        <f>VLOOKUP(I582,'FIN CAL LOOKUP'!A:J,7,1)</f>
        <v>SEP, FY24</v>
      </c>
      <c r="T582" s="6" t="str">
        <f>VLOOKUP(I582,'FIN CAL LOOKUP'!A:J,10,1)</f>
        <v>Q1, FY24</v>
      </c>
    </row>
    <row r="583" spans="1:20" hidden="1" x14ac:dyDescent="0.25">
      <c r="A583">
        <v>312878</v>
      </c>
      <c r="B583" t="s">
        <v>745</v>
      </c>
      <c r="C583" t="s">
        <v>746</v>
      </c>
      <c r="D583" t="s">
        <v>278</v>
      </c>
      <c r="E583" t="s">
        <v>264</v>
      </c>
      <c r="F583" t="s">
        <v>935</v>
      </c>
      <c r="G583" t="s">
        <v>266</v>
      </c>
      <c r="H583" s="5">
        <v>45085</v>
      </c>
      <c r="I583" s="5">
        <v>45149</v>
      </c>
      <c r="J583" t="s">
        <v>935</v>
      </c>
      <c r="K583" t="s">
        <v>268</v>
      </c>
      <c r="L583">
        <v>1</v>
      </c>
      <c r="M583" t="s">
        <v>676</v>
      </c>
      <c r="N583" t="s">
        <v>237</v>
      </c>
      <c r="O583">
        <v>1</v>
      </c>
      <c r="P583" s="6" t="str">
        <f>VLOOKUP(J583,'Store lookup'!A:C,2,0)</f>
        <v>S027</v>
      </c>
      <c r="Q583" s="6" t="str">
        <f>VLOOKUP(J583,'Store lookup'!A:C,3,0)</f>
        <v>Spotlight South Melbourne</v>
      </c>
      <c r="R583" s="6" t="str">
        <f t="shared" si="9"/>
        <v>Spotlight</v>
      </c>
      <c r="S583" s="6" t="str">
        <f>VLOOKUP(I583,'FIN CAL LOOKUP'!A:J,7,1)</f>
        <v>AUG, FY24</v>
      </c>
      <c r="T583" s="6" t="str">
        <f>VLOOKUP(I583,'FIN CAL LOOKUP'!A:J,10,1)</f>
        <v>Q1, FY24</v>
      </c>
    </row>
    <row r="584" spans="1:20" hidden="1" x14ac:dyDescent="0.25">
      <c r="A584">
        <v>298250</v>
      </c>
      <c r="B584" t="s">
        <v>442</v>
      </c>
      <c r="C584" t="s">
        <v>443</v>
      </c>
      <c r="D584" t="s">
        <v>278</v>
      </c>
      <c r="E584" t="s">
        <v>264</v>
      </c>
      <c r="F584" t="s">
        <v>1001</v>
      </c>
      <c r="G584" t="s">
        <v>266</v>
      </c>
      <c r="H584" s="5">
        <v>45085</v>
      </c>
      <c r="I584" s="5">
        <v>45120</v>
      </c>
      <c r="J584" t="s">
        <v>1001</v>
      </c>
      <c r="K584" t="s">
        <v>268</v>
      </c>
      <c r="L584">
        <v>1</v>
      </c>
      <c r="M584" t="s">
        <v>372</v>
      </c>
      <c r="N584" t="s">
        <v>237</v>
      </c>
      <c r="O584">
        <v>1</v>
      </c>
      <c r="P584" s="6" t="str">
        <f>VLOOKUP(J584,'Store lookup'!A:C,2,0)</f>
        <v>S119</v>
      </c>
      <c r="Q584" s="6" t="str">
        <f>VLOOKUP(J584,'Store lookup'!A:C,3,0)</f>
        <v>Spotlight Gepps Cross</v>
      </c>
      <c r="R584" s="6" t="str">
        <f t="shared" si="9"/>
        <v>Spotlight</v>
      </c>
      <c r="S584" s="6" t="str">
        <f>VLOOKUP(I584,'FIN CAL LOOKUP'!A:J,7,1)</f>
        <v>JUL, FY24</v>
      </c>
      <c r="T584" s="6" t="str">
        <f>VLOOKUP(I584,'FIN CAL LOOKUP'!A:J,10,1)</f>
        <v>Q1, FY24</v>
      </c>
    </row>
    <row r="585" spans="1:20" hidden="1" x14ac:dyDescent="0.25">
      <c r="A585">
        <v>297902</v>
      </c>
      <c r="B585" t="s">
        <v>1002</v>
      </c>
      <c r="C585" t="s">
        <v>1003</v>
      </c>
      <c r="D585" t="s">
        <v>1004</v>
      </c>
      <c r="E585" t="s">
        <v>264</v>
      </c>
      <c r="F585" t="s">
        <v>935</v>
      </c>
      <c r="G585" t="s">
        <v>266</v>
      </c>
      <c r="H585" s="5">
        <v>45084</v>
      </c>
      <c r="I585" s="5">
        <v>45098</v>
      </c>
      <c r="J585" t="s">
        <v>935</v>
      </c>
      <c r="K585" t="s">
        <v>268</v>
      </c>
      <c r="L585">
        <v>1</v>
      </c>
      <c r="M585" t="s">
        <v>676</v>
      </c>
      <c r="N585" t="s">
        <v>237</v>
      </c>
      <c r="O585">
        <v>1</v>
      </c>
      <c r="P585" s="6" t="str">
        <f>VLOOKUP(J585,'Store lookup'!A:C,2,0)</f>
        <v>S027</v>
      </c>
      <c r="Q585" s="6" t="str">
        <f>VLOOKUP(J585,'Store lookup'!A:C,3,0)</f>
        <v>Spotlight South Melbourne</v>
      </c>
      <c r="R585" s="6" t="str">
        <f t="shared" si="9"/>
        <v>Spotlight</v>
      </c>
      <c r="S585" s="6" t="str">
        <f>VLOOKUP(I585,'FIN CAL LOOKUP'!A:J,7,1)</f>
        <v>JUN, FY23</v>
      </c>
      <c r="T585" s="6" t="str">
        <f>VLOOKUP(I585,'FIN CAL LOOKUP'!A:J,10,1)</f>
        <v>Q4, FY23</v>
      </c>
    </row>
    <row r="586" spans="1:20" hidden="1" x14ac:dyDescent="0.25">
      <c r="A586">
        <v>297902</v>
      </c>
      <c r="B586" t="s">
        <v>1002</v>
      </c>
      <c r="C586" t="s">
        <v>1003</v>
      </c>
      <c r="D586" t="s">
        <v>1004</v>
      </c>
      <c r="E586" t="s">
        <v>264</v>
      </c>
      <c r="F586" t="s">
        <v>1005</v>
      </c>
      <c r="G586" t="s">
        <v>266</v>
      </c>
      <c r="H586" s="5">
        <v>45083</v>
      </c>
      <c r="I586" s="5">
        <v>45112</v>
      </c>
      <c r="J586" t="s">
        <v>1005</v>
      </c>
      <c r="K586" t="s">
        <v>268</v>
      </c>
      <c r="L586">
        <v>1</v>
      </c>
      <c r="M586" t="s">
        <v>1006</v>
      </c>
      <c r="N586" t="s">
        <v>237</v>
      </c>
      <c r="O586">
        <v>1</v>
      </c>
      <c r="P586" s="6" t="str">
        <f>VLOOKUP(J586,'Store lookup'!A:C,2,0)</f>
        <v>S004</v>
      </c>
      <c r="Q586" s="6" t="str">
        <f>VLOOKUP(J586,'Store lookup'!A:C,3,0)</f>
        <v>Spotlight Mentone</v>
      </c>
      <c r="R586" s="6" t="str">
        <f t="shared" si="9"/>
        <v>Spotlight</v>
      </c>
      <c r="S586" s="6" t="str">
        <f>VLOOKUP(I586,'FIN CAL LOOKUP'!A:J,7,1)</f>
        <v>JUL, FY24</v>
      </c>
      <c r="T586" s="6" t="str">
        <f>VLOOKUP(I586,'FIN CAL LOOKUP'!A:J,10,1)</f>
        <v>Q1, FY24</v>
      </c>
    </row>
    <row r="587" spans="1:20" hidden="1" x14ac:dyDescent="0.25">
      <c r="A587">
        <v>328420</v>
      </c>
      <c r="B587" t="s">
        <v>485</v>
      </c>
      <c r="C587" t="s">
        <v>486</v>
      </c>
      <c r="D587" t="s">
        <v>333</v>
      </c>
      <c r="E587" t="s">
        <v>264</v>
      </c>
      <c r="F587" t="s">
        <v>927</v>
      </c>
      <c r="G587" t="s">
        <v>266</v>
      </c>
      <c r="H587" s="5">
        <v>45072</v>
      </c>
      <c r="I587" s="5">
        <v>45118</v>
      </c>
      <c r="J587" t="s">
        <v>927</v>
      </c>
      <c r="K587" t="s">
        <v>268</v>
      </c>
      <c r="L587">
        <v>1</v>
      </c>
      <c r="M587" t="s">
        <v>928</v>
      </c>
      <c r="N587" t="s">
        <v>237</v>
      </c>
      <c r="O587">
        <v>1</v>
      </c>
      <c r="P587" s="6" t="str">
        <f>VLOOKUP(J587,'Store lookup'!A:C,2,0)</f>
        <v>S159</v>
      </c>
      <c r="Q587" s="6" t="str">
        <f>VLOOKUP(J587,'Store lookup'!A:C,3,0)</f>
        <v>Spotlight The Glen Creative</v>
      </c>
      <c r="R587" s="6" t="str">
        <f t="shared" si="9"/>
        <v>Spotlight</v>
      </c>
      <c r="S587" s="6" t="str">
        <f>VLOOKUP(I587,'FIN CAL LOOKUP'!A:J,7,1)</f>
        <v>JUL, FY24</v>
      </c>
      <c r="T587" s="6" t="str">
        <f>VLOOKUP(I587,'FIN CAL LOOKUP'!A:J,10,1)</f>
        <v>Q1, FY24</v>
      </c>
    </row>
    <row r="588" spans="1:20" hidden="1" x14ac:dyDescent="0.25">
      <c r="A588">
        <v>328927</v>
      </c>
      <c r="B588" t="s">
        <v>323</v>
      </c>
      <c r="C588" t="s">
        <v>324</v>
      </c>
      <c r="D588" t="s">
        <v>307</v>
      </c>
      <c r="E588" t="s">
        <v>264</v>
      </c>
      <c r="F588" t="s">
        <v>957</v>
      </c>
      <c r="G588" t="s">
        <v>266</v>
      </c>
      <c r="H588" s="5">
        <v>45070</v>
      </c>
      <c r="I588" s="5">
        <v>45079</v>
      </c>
      <c r="J588" t="s">
        <v>957</v>
      </c>
      <c r="K588" t="s">
        <v>268</v>
      </c>
      <c r="L588">
        <v>1</v>
      </c>
      <c r="M588" t="s">
        <v>958</v>
      </c>
      <c r="N588" t="s">
        <v>237</v>
      </c>
      <c r="O588">
        <v>1</v>
      </c>
      <c r="P588" s="6" t="str">
        <f>VLOOKUP(J588,'Store lookup'!A:C,2,0)</f>
        <v>S005</v>
      </c>
      <c r="Q588" s="6" t="str">
        <f>VLOOKUP(J588,'Store lookup'!A:C,3,0)</f>
        <v>Spotlight Sandown</v>
      </c>
      <c r="R588" s="6" t="str">
        <f t="shared" si="9"/>
        <v>Spotlight</v>
      </c>
      <c r="S588" s="6" t="str">
        <f>VLOOKUP(I588,'FIN CAL LOOKUP'!A:J,7,1)</f>
        <v>JUN, FY23</v>
      </c>
      <c r="T588" s="6" t="str">
        <f>VLOOKUP(I588,'FIN CAL LOOKUP'!A:J,10,1)</f>
        <v>Q4, FY23</v>
      </c>
    </row>
    <row r="589" spans="1:20" hidden="1" x14ac:dyDescent="0.25">
      <c r="A589">
        <v>234423</v>
      </c>
      <c r="B589" t="s">
        <v>498</v>
      </c>
      <c r="C589" t="s">
        <v>570</v>
      </c>
      <c r="D589" t="s">
        <v>333</v>
      </c>
      <c r="E589" t="s">
        <v>264</v>
      </c>
      <c r="F589" t="s">
        <v>920</v>
      </c>
      <c r="G589" t="s">
        <v>266</v>
      </c>
      <c r="H589" s="5">
        <v>45069</v>
      </c>
      <c r="I589" s="5">
        <v>45076</v>
      </c>
      <c r="J589" t="s">
        <v>920</v>
      </c>
      <c r="K589" t="s">
        <v>268</v>
      </c>
      <c r="L589">
        <v>1</v>
      </c>
      <c r="M589" t="s">
        <v>921</v>
      </c>
      <c r="N589" t="s">
        <v>237</v>
      </c>
      <c r="O589">
        <v>1</v>
      </c>
      <c r="P589" s="6" t="str">
        <f>VLOOKUP(J589,'Store lookup'!A:C,2,0)</f>
        <v>S145</v>
      </c>
      <c r="Q589" s="6" t="str">
        <f>VLOOKUP(J589,'Store lookup'!A:C,3,0)</f>
        <v>Spotlight Roxburgh Park</v>
      </c>
      <c r="R589" s="6" t="str">
        <f t="shared" si="9"/>
        <v>Spotlight</v>
      </c>
      <c r="S589" s="6" t="str">
        <f>VLOOKUP(I589,'FIN CAL LOOKUP'!A:J,7,1)</f>
        <v>JUN, FY23</v>
      </c>
      <c r="T589" s="6" t="str">
        <f>VLOOKUP(I589,'FIN CAL LOOKUP'!A:J,10,1)</f>
        <v>Q4, FY23</v>
      </c>
    </row>
    <row r="590" spans="1:20" hidden="1" x14ac:dyDescent="0.25">
      <c r="A590">
        <v>231160</v>
      </c>
      <c r="B590" t="s">
        <v>977</v>
      </c>
      <c r="C590" t="s">
        <v>978</v>
      </c>
      <c r="D590" t="s">
        <v>333</v>
      </c>
      <c r="E590" t="s">
        <v>264</v>
      </c>
      <c r="F590" t="s">
        <v>949</v>
      </c>
      <c r="G590" t="s">
        <v>266</v>
      </c>
      <c r="H590" s="5">
        <v>45064</v>
      </c>
      <c r="I590" s="5">
        <v>45275</v>
      </c>
      <c r="J590" t="s">
        <v>949</v>
      </c>
      <c r="K590" t="s">
        <v>268</v>
      </c>
      <c r="L590">
        <v>1</v>
      </c>
      <c r="M590" t="s">
        <v>950</v>
      </c>
      <c r="N590" t="s">
        <v>237</v>
      </c>
      <c r="O590">
        <v>1</v>
      </c>
      <c r="P590" s="6" t="str">
        <f>VLOOKUP(J590,'Store lookup'!A:C,2,0)</f>
        <v>S098</v>
      </c>
      <c r="Q590" s="6" t="str">
        <f>VLOOKUP(J590,'Store lookup'!A:C,3,0)</f>
        <v>Spotlight Burnside</v>
      </c>
      <c r="R590" s="6" t="str">
        <f t="shared" si="9"/>
        <v>Spotlight</v>
      </c>
      <c r="S590" s="6" t="str">
        <f>VLOOKUP(I590,'FIN CAL LOOKUP'!A:J,7,1)</f>
        <v>DEC, FY24</v>
      </c>
      <c r="T590" s="6" t="str">
        <f>VLOOKUP(I590,'FIN CAL LOOKUP'!A:J,10,1)</f>
        <v>Q2, FY24</v>
      </c>
    </row>
    <row r="591" spans="1:20" hidden="1" x14ac:dyDescent="0.25">
      <c r="A591">
        <v>312948</v>
      </c>
      <c r="B591" t="s">
        <v>1007</v>
      </c>
      <c r="C591" t="s">
        <v>1008</v>
      </c>
      <c r="D591" t="s">
        <v>333</v>
      </c>
      <c r="E591" t="s">
        <v>264</v>
      </c>
      <c r="F591" t="s">
        <v>931</v>
      </c>
      <c r="G591" t="s">
        <v>266</v>
      </c>
      <c r="H591" s="5">
        <v>45062</v>
      </c>
      <c r="I591" s="5">
        <v>45268</v>
      </c>
      <c r="J591" t="s">
        <v>931</v>
      </c>
      <c r="K591" t="s">
        <v>268</v>
      </c>
      <c r="L591">
        <v>2</v>
      </c>
      <c r="M591" t="s">
        <v>932</v>
      </c>
      <c r="N591" t="s">
        <v>237</v>
      </c>
      <c r="O591">
        <v>0</v>
      </c>
      <c r="P591" s="6" t="str">
        <f>VLOOKUP(J591,'Store lookup'!A:C,2,0)</f>
        <v>S008</v>
      </c>
      <c r="Q591" s="6" t="str">
        <f>VLOOKUP(J591,'Store lookup'!A:C,3,0)</f>
        <v>Spotlight Essendon</v>
      </c>
      <c r="R591" s="6" t="str">
        <f t="shared" si="9"/>
        <v>Spotlight</v>
      </c>
      <c r="S591" s="6" t="str">
        <f>VLOOKUP(I591,'FIN CAL LOOKUP'!A:J,7,1)</f>
        <v>DEC, FY24</v>
      </c>
      <c r="T591" s="6" t="str">
        <f>VLOOKUP(I591,'FIN CAL LOOKUP'!A:J,10,1)</f>
        <v>Q2, FY24</v>
      </c>
    </row>
    <row r="592" spans="1:20" hidden="1" x14ac:dyDescent="0.25">
      <c r="A592">
        <v>312948</v>
      </c>
      <c r="B592" t="s">
        <v>1007</v>
      </c>
      <c r="C592" t="s">
        <v>1008</v>
      </c>
      <c r="D592" t="s">
        <v>333</v>
      </c>
      <c r="E592" t="s">
        <v>264</v>
      </c>
      <c r="F592" t="s">
        <v>949</v>
      </c>
      <c r="G592" t="s">
        <v>266</v>
      </c>
      <c r="H592" s="5">
        <v>45062</v>
      </c>
      <c r="I592" s="5">
        <v>45079</v>
      </c>
      <c r="J592" t="s">
        <v>949</v>
      </c>
      <c r="K592" t="s">
        <v>268</v>
      </c>
      <c r="L592">
        <v>1</v>
      </c>
      <c r="M592" t="s">
        <v>950</v>
      </c>
      <c r="N592" t="s">
        <v>237</v>
      </c>
      <c r="O592">
        <v>1</v>
      </c>
      <c r="P592" s="6" t="str">
        <f>VLOOKUP(J592,'Store lookup'!A:C,2,0)</f>
        <v>S098</v>
      </c>
      <c r="Q592" s="6" t="str">
        <f>VLOOKUP(J592,'Store lookup'!A:C,3,0)</f>
        <v>Spotlight Burnside</v>
      </c>
      <c r="R592" s="6" t="str">
        <f t="shared" si="9"/>
        <v>Spotlight</v>
      </c>
      <c r="S592" s="6" t="str">
        <f>VLOOKUP(I592,'FIN CAL LOOKUP'!A:J,7,1)</f>
        <v>JUN, FY23</v>
      </c>
      <c r="T592" s="6" t="str">
        <f>VLOOKUP(I592,'FIN CAL LOOKUP'!A:J,10,1)</f>
        <v>Q4, FY23</v>
      </c>
    </row>
    <row r="593" spans="1:20" hidden="1" x14ac:dyDescent="0.25">
      <c r="A593">
        <v>321729</v>
      </c>
      <c r="B593" t="s">
        <v>515</v>
      </c>
      <c r="C593" t="s">
        <v>876</v>
      </c>
      <c r="D593" t="s">
        <v>508</v>
      </c>
      <c r="E593" t="s">
        <v>264</v>
      </c>
      <c r="F593" t="s">
        <v>938</v>
      </c>
      <c r="G593" t="s">
        <v>266</v>
      </c>
      <c r="H593" s="5">
        <v>45061</v>
      </c>
      <c r="I593" s="5">
        <v>45142</v>
      </c>
      <c r="J593" t="s">
        <v>938</v>
      </c>
      <c r="K593" t="s">
        <v>268</v>
      </c>
      <c r="L593">
        <v>1</v>
      </c>
      <c r="M593" t="s">
        <v>281</v>
      </c>
      <c r="N593" t="s">
        <v>237</v>
      </c>
      <c r="O593">
        <v>1</v>
      </c>
      <c r="P593" s="6" t="str">
        <f>VLOOKUP(J593,'Store lookup'!A:C,2,0)</f>
        <v>S002</v>
      </c>
      <c r="Q593" s="6" t="str">
        <f>VLOOKUP(J593,'Store lookup'!A:C,3,0)</f>
        <v>Spotlight Box Hill</v>
      </c>
      <c r="R593" s="6" t="str">
        <f t="shared" si="9"/>
        <v>Spotlight</v>
      </c>
      <c r="S593" s="6" t="str">
        <f>VLOOKUP(I593,'FIN CAL LOOKUP'!A:J,7,1)</f>
        <v>AUG, FY24</v>
      </c>
      <c r="T593" s="6" t="str">
        <f>VLOOKUP(I593,'FIN CAL LOOKUP'!A:J,10,1)</f>
        <v>Q1, FY24</v>
      </c>
    </row>
    <row r="594" spans="1:20" hidden="1" x14ac:dyDescent="0.25">
      <c r="A594">
        <v>326639</v>
      </c>
      <c r="B594" t="s">
        <v>806</v>
      </c>
      <c r="C594" t="s">
        <v>987</v>
      </c>
      <c r="D594" t="s">
        <v>263</v>
      </c>
      <c r="E594" t="s">
        <v>264</v>
      </c>
      <c r="F594" t="s">
        <v>936</v>
      </c>
      <c r="G594" t="s">
        <v>266</v>
      </c>
      <c r="H594" s="5">
        <v>45058</v>
      </c>
      <c r="I594" s="5">
        <v>45176</v>
      </c>
      <c r="J594" t="s">
        <v>937</v>
      </c>
      <c r="K594" t="s">
        <v>268</v>
      </c>
      <c r="L594">
        <v>1</v>
      </c>
      <c r="M594" t="s">
        <v>269</v>
      </c>
      <c r="N594" t="s">
        <v>237</v>
      </c>
      <c r="O594">
        <v>1</v>
      </c>
      <c r="P594" s="6" t="str">
        <f>VLOOKUP(J594,'Store lookup'!A:C,2,0)</f>
        <v>S014</v>
      </c>
      <c r="Q594" s="6" t="str">
        <f>VLOOKUP(J594,'Store lookup'!A:C,3,0)</f>
        <v>Spotlight Bayswater</v>
      </c>
      <c r="R594" s="6" t="str">
        <f t="shared" si="9"/>
        <v>Spotlight</v>
      </c>
      <c r="S594" s="6" t="str">
        <f>VLOOKUP(I594,'FIN CAL LOOKUP'!A:J,7,1)</f>
        <v>SEP, FY24</v>
      </c>
      <c r="T594" s="6" t="str">
        <f>VLOOKUP(I594,'FIN CAL LOOKUP'!A:J,10,1)</f>
        <v>Q1, FY24</v>
      </c>
    </row>
    <row r="595" spans="1:20" hidden="1" x14ac:dyDescent="0.25">
      <c r="A595">
        <v>208565</v>
      </c>
      <c r="B595" t="s">
        <v>487</v>
      </c>
      <c r="C595" t="s">
        <v>488</v>
      </c>
      <c r="D595" t="s">
        <v>333</v>
      </c>
      <c r="E595" t="s">
        <v>264</v>
      </c>
      <c r="F595" t="s">
        <v>931</v>
      </c>
      <c r="G595" t="s">
        <v>266</v>
      </c>
      <c r="H595" s="5">
        <v>45058</v>
      </c>
      <c r="I595" s="5">
        <v>45169</v>
      </c>
      <c r="J595" t="s">
        <v>931</v>
      </c>
      <c r="K595" t="s">
        <v>268</v>
      </c>
      <c r="L595">
        <v>1</v>
      </c>
      <c r="M595" t="s">
        <v>932</v>
      </c>
      <c r="N595" t="s">
        <v>237</v>
      </c>
      <c r="O595">
        <v>1</v>
      </c>
      <c r="P595" s="6" t="str">
        <f>VLOOKUP(J595,'Store lookup'!A:C,2,0)</f>
        <v>S008</v>
      </c>
      <c r="Q595" s="6" t="str">
        <f>VLOOKUP(J595,'Store lookup'!A:C,3,0)</f>
        <v>Spotlight Essendon</v>
      </c>
      <c r="R595" s="6" t="str">
        <f t="shared" si="9"/>
        <v>Spotlight</v>
      </c>
      <c r="S595" s="6" t="str">
        <f>VLOOKUP(I595,'FIN CAL LOOKUP'!A:J,7,1)</f>
        <v>SEP, FY24</v>
      </c>
      <c r="T595" s="6" t="str">
        <f>VLOOKUP(I595,'FIN CAL LOOKUP'!A:J,10,1)</f>
        <v>Q1, FY24</v>
      </c>
    </row>
    <row r="596" spans="1:20" hidden="1" x14ac:dyDescent="0.25">
      <c r="A596">
        <v>327843</v>
      </c>
      <c r="B596" t="s">
        <v>808</v>
      </c>
      <c r="C596" t="s">
        <v>809</v>
      </c>
      <c r="D596" t="s">
        <v>263</v>
      </c>
      <c r="E596" t="s">
        <v>264</v>
      </c>
      <c r="F596" t="s">
        <v>926</v>
      </c>
      <c r="G596" t="s">
        <v>266</v>
      </c>
      <c r="H596" s="5">
        <v>45058</v>
      </c>
      <c r="I596" s="5">
        <v>45146</v>
      </c>
      <c r="J596" t="s">
        <v>926</v>
      </c>
      <c r="K596" t="s">
        <v>268</v>
      </c>
      <c r="L596">
        <v>1</v>
      </c>
      <c r="M596" t="s">
        <v>360</v>
      </c>
      <c r="N596" t="s">
        <v>237</v>
      </c>
      <c r="O596">
        <v>1</v>
      </c>
      <c r="P596" s="6" t="str">
        <f>VLOOKUP(J596,'Store lookup'!A:C,2,0)</f>
        <v>S034</v>
      </c>
      <c r="Q596" s="6" t="str">
        <f>VLOOKUP(J596,'Store lookup'!A:C,3,0)</f>
        <v>Spotlight Hoppers Crossing</v>
      </c>
      <c r="R596" s="6" t="str">
        <f t="shared" si="9"/>
        <v>Spotlight</v>
      </c>
      <c r="S596" s="6" t="str">
        <f>VLOOKUP(I596,'FIN CAL LOOKUP'!A:J,7,1)</f>
        <v>AUG, FY24</v>
      </c>
      <c r="T596" s="6" t="str">
        <f>VLOOKUP(I596,'FIN CAL LOOKUP'!A:J,10,1)</f>
        <v>Q1, FY24</v>
      </c>
    </row>
    <row r="597" spans="1:20" hidden="1" x14ac:dyDescent="0.25">
      <c r="A597">
        <v>323566</v>
      </c>
      <c r="B597" t="s">
        <v>874</v>
      </c>
      <c r="C597" t="s">
        <v>875</v>
      </c>
      <c r="D597" t="s">
        <v>333</v>
      </c>
      <c r="E597" t="s">
        <v>264</v>
      </c>
      <c r="F597" t="s">
        <v>931</v>
      </c>
      <c r="G597" t="s">
        <v>266</v>
      </c>
      <c r="H597" s="5">
        <v>45057</v>
      </c>
      <c r="I597" s="5">
        <v>45268</v>
      </c>
      <c r="J597" t="s">
        <v>931</v>
      </c>
      <c r="K597" t="s">
        <v>268</v>
      </c>
      <c r="L597">
        <v>2</v>
      </c>
      <c r="M597" t="s">
        <v>932</v>
      </c>
      <c r="N597" t="s">
        <v>237</v>
      </c>
      <c r="O597">
        <v>0</v>
      </c>
      <c r="P597" s="6" t="str">
        <f>VLOOKUP(J597,'Store lookup'!A:C,2,0)</f>
        <v>S008</v>
      </c>
      <c r="Q597" s="6" t="str">
        <f>VLOOKUP(J597,'Store lookup'!A:C,3,0)</f>
        <v>Spotlight Essendon</v>
      </c>
      <c r="R597" s="6" t="str">
        <f t="shared" si="9"/>
        <v>Spotlight</v>
      </c>
      <c r="S597" s="6" t="str">
        <f>VLOOKUP(I597,'FIN CAL LOOKUP'!A:J,7,1)</f>
        <v>DEC, FY24</v>
      </c>
      <c r="T597" s="6" t="str">
        <f>VLOOKUP(I597,'FIN CAL LOOKUP'!A:J,10,1)</f>
        <v>Q2, FY24</v>
      </c>
    </row>
    <row r="598" spans="1:20" hidden="1" x14ac:dyDescent="0.25">
      <c r="A598">
        <v>201015</v>
      </c>
      <c r="B598" t="s">
        <v>764</v>
      </c>
      <c r="C598" t="s">
        <v>765</v>
      </c>
      <c r="D598" t="s">
        <v>333</v>
      </c>
      <c r="E598" t="s">
        <v>264</v>
      </c>
      <c r="F598" t="s">
        <v>931</v>
      </c>
      <c r="G598" t="s">
        <v>266</v>
      </c>
      <c r="H598" s="5">
        <v>45057</v>
      </c>
      <c r="I598" s="5">
        <v>45251</v>
      </c>
      <c r="J598" t="s">
        <v>931</v>
      </c>
      <c r="K598" t="s">
        <v>268</v>
      </c>
      <c r="L598">
        <v>1</v>
      </c>
      <c r="M598" t="s">
        <v>932</v>
      </c>
      <c r="N598" t="s">
        <v>237</v>
      </c>
      <c r="O598">
        <v>1</v>
      </c>
      <c r="P598" s="6" t="str">
        <f>VLOOKUP(J598,'Store lookup'!A:C,2,0)</f>
        <v>S008</v>
      </c>
      <c r="Q598" s="6" t="str">
        <f>VLOOKUP(J598,'Store lookup'!A:C,3,0)</f>
        <v>Spotlight Essendon</v>
      </c>
      <c r="R598" s="6" t="str">
        <f t="shared" si="9"/>
        <v>Spotlight</v>
      </c>
      <c r="S598" s="6" t="str">
        <f>VLOOKUP(I598,'FIN CAL LOOKUP'!A:J,7,1)</f>
        <v>NOV, FY24</v>
      </c>
      <c r="T598" s="6" t="str">
        <f>VLOOKUP(I598,'FIN CAL LOOKUP'!A:J,10,1)</f>
        <v>Q2, FY24</v>
      </c>
    </row>
    <row r="599" spans="1:20" hidden="1" x14ac:dyDescent="0.25">
      <c r="A599">
        <v>325114</v>
      </c>
      <c r="B599" t="s">
        <v>581</v>
      </c>
      <c r="C599" t="s">
        <v>582</v>
      </c>
      <c r="D599" t="s">
        <v>333</v>
      </c>
      <c r="E599" t="s">
        <v>264</v>
      </c>
      <c r="F599" t="s">
        <v>926</v>
      </c>
      <c r="G599" t="s">
        <v>266</v>
      </c>
      <c r="H599" s="5">
        <v>45057</v>
      </c>
      <c r="I599" s="5">
        <v>45121</v>
      </c>
      <c r="J599" t="s">
        <v>926</v>
      </c>
      <c r="K599" t="s">
        <v>268</v>
      </c>
      <c r="L599">
        <v>1</v>
      </c>
      <c r="M599" t="s">
        <v>360</v>
      </c>
      <c r="N599" t="s">
        <v>237</v>
      </c>
      <c r="O599">
        <v>1</v>
      </c>
      <c r="P599" s="6" t="str">
        <f>VLOOKUP(J599,'Store lookup'!A:C,2,0)</f>
        <v>S034</v>
      </c>
      <c r="Q599" s="6" t="str">
        <f>VLOOKUP(J599,'Store lookup'!A:C,3,0)</f>
        <v>Spotlight Hoppers Crossing</v>
      </c>
      <c r="R599" s="6" t="str">
        <f t="shared" si="9"/>
        <v>Spotlight</v>
      </c>
      <c r="S599" s="6" t="str">
        <f>VLOOKUP(I599,'FIN CAL LOOKUP'!A:J,7,1)</f>
        <v>JUL, FY24</v>
      </c>
      <c r="T599" s="6" t="str">
        <f>VLOOKUP(I599,'FIN CAL LOOKUP'!A:J,10,1)</f>
        <v>Q1, FY24</v>
      </c>
    </row>
    <row r="600" spans="1:20" hidden="1" x14ac:dyDescent="0.25">
      <c r="A600">
        <v>328605</v>
      </c>
      <c r="B600" t="s">
        <v>857</v>
      </c>
      <c r="C600" t="s">
        <v>858</v>
      </c>
      <c r="D600" t="s">
        <v>859</v>
      </c>
      <c r="E600" t="s">
        <v>264</v>
      </c>
      <c r="F600" t="s">
        <v>924</v>
      </c>
      <c r="G600" t="s">
        <v>266</v>
      </c>
      <c r="H600" s="5">
        <v>45057</v>
      </c>
      <c r="I600" s="5">
        <v>45106</v>
      </c>
      <c r="J600" t="s">
        <v>925</v>
      </c>
      <c r="K600" t="s">
        <v>268</v>
      </c>
      <c r="L600">
        <v>1</v>
      </c>
      <c r="M600" t="s">
        <v>763</v>
      </c>
      <c r="N600" t="s">
        <v>237</v>
      </c>
      <c r="O600">
        <v>1</v>
      </c>
      <c r="P600" s="6" t="str">
        <f>VLOOKUP(J600,'Store lookup'!A:C,2,0)</f>
        <v>S114</v>
      </c>
      <c r="Q600" s="6" t="str">
        <f>VLOOKUP(J600,'Store lookup'!A:C,3,0)</f>
        <v>Spotlight Cranegie</v>
      </c>
      <c r="R600" s="6" t="str">
        <f t="shared" si="9"/>
        <v>Spotlight</v>
      </c>
      <c r="S600" s="6" t="str">
        <f>VLOOKUP(I600,'FIN CAL LOOKUP'!A:J,7,1)</f>
        <v>JUL, FY24</v>
      </c>
      <c r="T600" s="6" t="str">
        <f>VLOOKUP(I600,'FIN CAL LOOKUP'!A:J,10,1)</f>
        <v>Q1, FY24</v>
      </c>
    </row>
    <row r="601" spans="1:20" hidden="1" x14ac:dyDescent="0.25">
      <c r="A601">
        <v>322133</v>
      </c>
      <c r="B601" t="s">
        <v>825</v>
      </c>
      <c r="C601" t="s">
        <v>826</v>
      </c>
      <c r="D601" t="s">
        <v>278</v>
      </c>
      <c r="E601" t="s">
        <v>264</v>
      </c>
      <c r="F601" t="s">
        <v>926</v>
      </c>
      <c r="G601" t="s">
        <v>266</v>
      </c>
      <c r="H601" s="5">
        <v>45057</v>
      </c>
      <c r="I601" s="5">
        <v>45062</v>
      </c>
      <c r="J601" t="s">
        <v>926</v>
      </c>
      <c r="K601" t="s">
        <v>268</v>
      </c>
      <c r="L601">
        <v>1</v>
      </c>
      <c r="M601" t="s">
        <v>360</v>
      </c>
      <c r="N601" t="s">
        <v>237</v>
      </c>
      <c r="O601">
        <v>1</v>
      </c>
      <c r="P601" s="6" t="str">
        <f>VLOOKUP(J601,'Store lookup'!A:C,2,0)</f>
        <v>S034</v>
      </c>
      <c r="Q601" s="6" t="str">
        <f>VLOOKUP(J601,'Store lookup'!A:C,3,0)</f>
        <v>Spotlight Hoppers Crossing</v>
      </c>
      <c r="R601" s="6" t="str">
        <f t="shared" si="9"/>
        <v>Spotlight</v>
      </c>
      <c r="S601" s="6" t="str">
        <f>VLOOKUP(I601,'FIN CAL LOOKUP'!A:J,7,1)</f>
        <v>MAY, FY23</v>
      </c>
      <c r="T601" s="6" t="str">
        <f>VLOOKUP(I601,'FIN CAL LOOKUP'!A:J,10,1)</f>
        <v>Q4, FY23</v>
      </c>
    </row>
    <row r="602" spans="1:20" hidden="1" x14ac:dyDescent="0.25">
      <c r="A602">
        <v>325564</v>
      </c>
      <c r="B602" t="s">
        <v>681</v>
      </c>
      <c r="C602" t="s">
        <v>682</v>
      </c>
      <c r="D602" t="s">
        <v>263</v>
      </c>
      <c r="E602" t="s">
        <v>264</v>
      </c>
      <c r="F602" t="s">
        <v>935</v>
      </c>
      <c r="G602" t="s">
        <v>266</v>
      </c>
      <c r="H602" s="5">
        <v>45056</v>
      </c>
      <c r="I602" s="5">
        <v>45177</v>
      </c>
      <c r="J602" t="s">
        <v>935</v>
      </c>
      <c r="K602" t="s">
        <v>268</v>
      </c>
      <c r="L602">
        <v>1</v>
      </c>
      <c r="M602" t="s">
        <v>676</v>
      </c>
      <c r="N602" t="s">
        <v>237</v>
      </c>
      <c r="O602">
        <v>1</v>
      </c>
      <c r="P602" s="6" t="str">
        <f>VLOOKUP(J602,'Store lookup'!A:C,2,0)</f>
        <v>S027</v>
      </c>
      <c r="Q602" s="6" t="str">
        <f>VLOOKUP(J602,'Store lookup'!A:C,3,0)</f>
        <v>Spotlight South Melbourne</v>
      </c>
      <c r="R602" s="6" t="str">
        <f t="shared" si="9"/>
        <v>Spotlight</v>
      </c>
      <c r="S602" s="6" t="str">
        <f>VLOOKUP(I602,'FIN CAL LOOKUP'!A:J,7,1)</f>
        <v>SEP, FY24</v>
      </c>
      <c r="T602" s="6" t="str">
        <f>VLOOKUP(I602,'FIN CAL LOOKUP'!A:J,10,1)</f>
        <v>Q1, FY24</v>
      </c>
    </row>
    <row r="603" spans="1:20" hidden="1" x14ac:dyDescent="0.25">
      <c r="A603">
        <v>303846</v>
      </c>
      <c r="B603" t="s">
        <v>1009</v>
      </c>
      <c r="C603" t="s">
        <v>1010</v>
      </c>
      <c r="D603" t="s">
        <v>333</v>
      </c>
      <c r="E603" t="s">
        <v>264</v>
      </c>
      <c r="F603" t="s">
        <v>1011</v>
      </c>
      <c r="G603" t="s">
        <v>266</v>
      </c>
      <c r="H603" s="5">
        <v>45056</v>
      </c>
      <c r="I603" s="5">
        <v>45138</v>
      </c>
      <c r="J603" t="s">
        <v>1011</v>
      </c>
      <c r="K603" t="s">
        <v>268</v>
      </c>
      <c r="L603">
        <v>1</v>
      </c>
      <c r="N603" t="s">
        <v>237</v>
      </c>
      <c r="O603">
        <v>1</v>
      </c>
      <c r="P603" s="6" t="str">
        <f>VLOOKUP(J603,'Store lookup'!A:C,2,0)</f>
        <v>S065</v>
      </c>
      <c r="Q603" s="6" t="str">
        <f>VLOOKUP(J603,'Store lookup'!A:C,3,0)</f>
        <v>Spotlight Rockingham</v>
      </c>
      <c r="R603" s="6" t="str">
        <f t="shared" si="9"/>
        <v>Spotlight</v>
      </c>
      <c r="S603" s="6" t="str">
        <f>VLOOKUP(I603,'FIN CAL LOOKUP'!A:J,7,1)</f>
        <v>AUG, FY24</v>
      </c>
      <c r="T603" s="6" t="str">
        <f>VLOOKUP(I603,'FIN CAL LOOKUP'!A:J,10,1)</f>
        <v>Q1, FY24</v>
      </c>
    </row>
    <row r="604" spans="1:20" hidden="1" x14ac:dyDescent="0.25">
      <c r="A604">
        <v>298251</v>
      </c>
      <c r="B604" t="s">
        <v>366</v>
      </c>
      <c r="C604" t="s">
        <v>367</v>
      </c>
      <c r="D604" t="s">
        <v>278</v>
      </c>
      <c r="E604" t="s">
        <v>264</v>
      </c>
      <c r="F604" t="s">
        <v>1012</v>
      </c>
      <c r="G604" t="s">
        <v>266</v>
      </c>
      <c r="H604" s="5">
        <v>45056</v>
      </c>
      <c r="I604" s="5">
        <v>45132</v>
      </c>
      <c r="J604" t="s">
        <v>1012</v>
      </c>
      <c r="K604" t="s">
        <v>268</v>
      </c>
      <c r="L604">
        <v>1</v>
      </c>
      <c r="N604" t="s">
        <v>237</v>
      </c>
      <c r="O604">
        <v>1</v>
      </c>
      <c r="P604" s="6" t="str">
        <f>VLOOKUP(J604,'Store lookup'!A:C,2,0)</f>
        <v>S025</v>
      </c>
      <c r="Q604" s="6" t="str">
        <f>VLOOKUP(J604,'Store lookup'!A:C,3,0)</f>
        <v>Spotlight Trinity Gardens</v>
      </c>
      <c r="R604" s="6" t="str">
        <f t="shared" si="9"/>
        <v>Spotlight</v>
      </c>
      <c r="S604" s="6" t="str">
        <f>VLOOKUP(I604,'FIN CAL LOOKUP'!A:J,7,1)</f>
        <v>AUG, FY24</v>
      </c>
      <c r="T604" s="6" t="str">
        <f>VLOOKUP(I604,'FIN CAL LOOKUP'!A:J,10,1)</f>
        <v>Q1, FY24</v>
      </c>
    </row>
    <row r="605" spans="1:20" hidden="1" x14ac:dyDescent="0.25">
      <c r="A605">
        <v>298251</v>
      </c>
      <c r="B605" t="s">
        <v>366</v>
      </c>
      <c r="C605" t="s">
        <v>367</v>
      </c>
      <c r="D605" t="s">
        <v>278</v>
      </c>
      <c r="E605" t="s">
        <v>264</v>
      </c>
      <c r="F605" t="s">
        <v>970</v>
      </c>
      <c r="G605" t="s">
        <v>266</v>
      </c>
      <c r="H605" s="5">
        <v>45056</v>
      </c>
      <c r="I605" s="5">
        <v>45131</v>
      </c>
      <c r="J605" t="s">
        <v>970</v>
      </c>
      <c r="K605" t="s">
        <v>268</v>
      </c>
      <c r="L605">
        <v>1</v>
      </c>
      <c r="N605" t="s">
        <v>237</v>
      </c>
      <c r="O605">
        <v>1</v>
      </c>
      <c r="P605" s="6" t="str">
        <f>VLOOKUP(J605,'Store lookup'!A:C,2,0)</f>
        <v>S074</v>
      </c>
      <c r="Q605" s="6" t="str">
        <f>VLOOKUP(J605,'Store lookup'!A:C,3,0)</f>
        <v>Spotlight Clovercrest</v>
      </c>
      <c r="R605" s="6" t="str">
        <f t="shared" si="9"/>
        <v>Spotlight</v>
      </c>
      <c r="S605" s="6" t="str">
        <f>VLOOKUP(I605,'FIN CAL LOOKUP'!A:J,7,1)</f>
        <v>AUG, FY24</v>
      </c>
      <c r="T605" s="6" t="str">
        <f>VLOOKUP(I605,'FIN CAL LOOKUP'!A:J,10,1)</f>
        <v>Q1, FY24</v>
      </c>
    </row>
    <row r="606" spans="1:20" hidden="1" x14ac:dyDescent="0.25">
      <c r="A606">
        <v>240773</v>
      </c>
      <c r="B606" t="s">
        <v>1013</v>
      </c>
      <c r="C606" t="s">
        <v>908</v>
      </c>
      <c r="D606" t="s">
        <v>307</v>
      </c>
      <c r="E606" t="s">
        <v>264</v>
      </c>
      <c r="F606" t="s">
        <v>1014</v>
      </c>
      <c r="G606" t="s">
        <v>266</v>
      </c>
      <c r="H606" s="5">
        <v>45056</v>
      </c>
      <c r="I606" s="5">
        <v>45077</v>
      </c>
      <c r="J606" t="s">
        <v>178</v>
      </c>
      <c r="K606" t="s">
        <v>268</v>
      </c>
      <c r="L606">
        <v>1</v>
      </c>
      <c r="N606" t="s">
        <v>237</v>
      </c>
      <c r="O606">
        <v>1</v>
      </c>
      <c r="P606" s="6" t="str">
        <f>VLOOKUP(J606,'Store lookup'!A:C,2,0)</f>
        <v>S041</v>
      </c>
      <c r="Q606" s="6" t="str">
        <f>VLOOKUP(J606,'Store lookup'!A:C,3,0)</f>
        <v>Spotlight Dubbo</v>
      </c>
      <c r="R606" s="6" t="str">
        <f t="shared" si="9"/>
        <v>Spotlight</v>
      </c>
      <c r="S606" s="6" t="str">
        <f>VLOOKUP(I606,'FIN CAL LOOKUP'!A:J,7,1)</f>
        <v>JUN, FY23</v>
      </c>
      <c r="T606" s="6" t="str">
        <f>VLOOKUP(I606,'FIN CAL LOOKUP'!A:J,10,1)</f>
        <v>Q4, FY23</v>
      </c>
    </row>
    <row r="607" spans="1:20" hidden="1" x14ac:dyDescent="0.25">
      <c r="A607">
        <v>239138</v>
      </c>
      <c r="B607" t="s">
        <v>1015</v>
      </c>
      <c r="C607" t="s">
        <v>1016</v>
      </c>
      <c r="D607" t="s">
        <v>327</v>
      </c>
      <c r="E607" t="s">
        <v>264</v>
      </c>
      <c r="F607" t="s">
        <v>1017</v>
      </c>
      <c r="G607" t="s">
        <v>266</v>
      </c>
      <c r="H607" s="5">
        <v>45056</v>
      </c>
      <c r="I607" s="5">
        <v>45057</v>
      </c>
      <c r="J607" t="s">
        <v>1017</v>
      </c>
      <c r="K607" t="s">
        <v>268</v>
      </c>
      <c r="L607">
        <v>2</v>
      </c>
      <c r="N607" t="s">
        <v>836</v>
      </c>
      <c r="O607">
        <v>0</v>
      </c>
      <c r="P607" s="6" t="str">
        <f>VLOOKUP(J607,'Store lookup'!A:C,2,0)</f>
        <v>S046</v>
      </c>
      <c r="Q607" s="6" t="str">
        <f>VLOOKUP(J607,'Store lookup'!A:C,3,0)</f>
        <v>Spotlight Mackay</v>
      </c>
      <c r="R607" s="6" t="str">
        <f t="shared" si="9"/>
        <v>Spotlight</v>
      </c>
      <c r="S607" s="6" t="str">
        <f>VLOOKUP(I607,'FIN CAL LOOKUP'!A:J,7,1)</f>
        <v>MAY, FY23</v>
      </c>
      <c r="T607" s="6" t="str">
        <f>VLOOKUP(I607,'FIN CAL LOOKUP'!A:J,10,1)</f>
        <v>Q4, FY23</v>
      </c>
    </row>
    <row r="608" spans="1:20" hidden="1" x14ac:dyDescent="0.25">
      <c r="A608">
        <v>298748</v>
      </c>
      <c r="B608" t="s">
        <v>341</v>
      </c>
      <c r="C608" t="s">
        <v>342</v>
      </c>
      <c r="D608" t="s">
        <v>333</v>
      </c>
      <c r="E608" t="s">
        <v>264</v>
      </c>
      <c r="F608" t="s">
        <v>965</v>
      </c>
      <c r="G608" t="s">
        <v>266</v>
      </c>
      <c r="H608" s="5">
        <v>45055</v>
      </c>
      <c r="I608" s="5">
        <v>45085</v>
      </c>
      <c r="J608" t="s">
        <v>965</v>
      </c>
      <c r="K608" t="s">
        <v>268</v>
      </c>
      <c r="L608">
        <v>1</v>
      </c>
      <c r="M608" t="s">
        <v>338</v>
      </c>
      <c r="N608" t="s">
        <v>237</v>
      </c>
      <c r="O608">
        <v>1</v>
      </c>
      <c r="P608" s="6" t="str">
        <f>VLOOKUP(J608,'Store lookup'!A:C,2,0)</f>
        <v>S010</v>
      </c>
      <c r="Q608" s="6" t="str">
        <f>VLOOKUP(J608,'Store lookup'!A:C,3,0)</f>
        <v>Spotlight Maribyrnong</v>
      </c>
      <c r="R608" s="6" t="str">
        <f t="shared" si="9"/>
        <v>Spotlight</v>
      </c>
      <c r="S608" s="6" t="str">
        <f>VLOOKUP(I608,'FIN CAL LOOKUP'!A:J,7,1)</f>
        <v>JUN, FY23</v>
      </c>
      <c r="T608" s="6" t="str">
        <f>VLOOKUP(I608,'FIN CAL LOOKUP'!A:J,10,1)</f>
        <v>Q4, FY23</v>
      </c>
    </row>
    <row r="609" spans="1:20" hidden="1" x14ac:dyDescent="0.25">
      <c r="A609">
        <v>238829</v>
      </c>
      <c r="B609" t="s">
        <v>1018</v>
      </c>
      <c r="C609" t="s">
        <v>1019</v>
      </c>
      <c r="D609" t="s">
        <v>278</v>
      </c>
      <c r="E609" t="s">
        <v>264</v>
      </c>
      <c r="F609" t="s">
        <v>1005</v>
      </c>
      <c r="G609" t="s">
        <v>266</v>
      </c>
      <c r="H609" s="5">
        <v>45055</v>
      </c>
      <c r="I609" s="5">
        <v>45084</v>
      </c>
      <c r="J609" t="s">
        <v>1005</v>
      </c>
      <c r="K609" t="s">
        <v>268</v>
      </c>
      <c r="L609">
        <v>1</v>
      </c>
      <c r="M609" t="s">
        <v>1006</v>
      </c>
      <c r="N609" t="s">
        <v>237</v>
      </c>
      <c r="O609">
        <v>1</v>
      </c>
      <c r="P609" s="6" t="str">
        <f>VLOOKUP(J609,'Store lookup'!A:C,2,0)</f>
        <v>S004</v>
      </c>
      <c r="Q609" s="6" t="str">
        <f>VLOOKUP(J609,'Store lookup'!A:C,3,0)</f>
        <v>Spotlight Mentone</v>
      </c>
      <c r="R609" s="6" t="str">
        <f t="shared" si="9"/>
        <v>Spotlight</v>
      </c>
      <c r="S609" s="6" t="str">
        <f>VLOOKUP(I609,'FIN CAL LOOKUP'!A:J,7,1)</f>
        <v>JUN, FY23</v>
      </c>
      <c r="T609" s="6" t="str">
        <f>VLOOKUP(I609,'FIN CAL LOOKUP'!A:J,10,1)</f>
        <v>Q4, FY23</v>
      </c>
    </row>
    <row r="610" spans="1:20" hidden="1" x14ac:dyDescent="0.25">
      <c r="A610">
        <v>230747</v>
      </c>
      <c r="B610" t="s">
        <v>1020</v>
      </c>
      <c r="C610" t="s">
        <v>1021</v>
      </c>
      <c r="D610" t="s">
        <v>333</v>
      </c>
      <c r="E610" t="s">
        <v>264</v>
      </c>
      <c r="F610" t="s">
        <v>998</v>
      </c>
      <c r="G610" t="s">
        <v>266</v>
      </c>
      <c r="H610" s="5">
        <v>45055</v>
      </c>
      <c r="I610" s="5">
        <v>45083</v>
      </c>
      <c r="J610" t="s">
        <v>998</v>
      </c>
      <c r="K610" t="s">
        <v>268</v>
      </c>
      <c r="L610">
        <v>1</v>
      </c>
      <c r="M610" t="s">
        <v>292</v>
      </c>
      <c r="N610" t="s">
        <v>237</v>
      </c>
      <c r="O610">
        <v>1</v>
      </c>
      <c r="P610" s="6" t="str">
        <f>VLOOKUP(J610,'Store lookup'!A:C,2,0)</f>
        <v>S013</v>
      </c>
      <c r="Q610" s="6" t="str">
        <f>VLOOKUP(J610,'Store lookup'!A:C,3,0)</f>
        <v>Spotlight Ballarat</v>
      </c>
      <c r="R610" s="6" t="str">
        <f t="shared" si="9"/>
        <v>Spotlight</v>
      </c>
      <c r="S610" s="6" t="str">
        <f>VLOOKUP(I610,'FIN CAL LOOKUP'!A:J,7,1)</f>
        <v>JUN, FY23</v>
      </c>
      <c r="T610" s="6" t="str">
        <f>VLOOKUP(I610,'FIN CAL LOOKUP'!A:J,10,1)</f>
        <v>Q4, FY23</v>
      </c>
    </row>
    <row r="611" spans="1:20" hidden="1" x14ac:dyDescent="0.25">
      <c r="A611">
        <v>222038</v>
      </c>
      <c r="B611" t="s">
        <v>696</v>
      </c>
      <c r="C611" t="s">
        <v>1022</v>
      </c>
      <c r="D611" t="s">
        <v>278</v>
      </c>
      <c r="E611" t="s">
        <v>264</v>
      </c>
      <c r="F611" t="s">
        <v>936</v>
      </c>
      <c r="G611" t="s">
        <v>266</v>
      </c>
      <c r="H611" s="5">
        <v>45055</v>
      </c>
      <c r="I611" s="5">
        <v>45063</v>
      </c>
      <c r="J611" t="s">
        <v>937</v>
      </c>
      <c r="K611" t="s">
        <v>268</v>
      </c>
      <c r="L611">
        <v>1</v>
      </c>
      <c r="M611" t="s">
        <v>269</v>
      </c>
      <c r="N611" t="s">
        <v>237</v>
      </c>
      <c r="O611">
        <v>1</v>
      </c>
      <c r="P611" s="6" t="str">
        <f>VLOOKUP(J611,'Store lookup'!A:C,2,0)</f>
        <v>S014</v>
      </c>
      <c r="Q611" s="6" t="str">
        <f>VLOOKUP(J611,'Store lookup'!A:C,3,0)</f>
        <v>Spotlight Bayswater</v>
      </c>
      <c r="R611" s="6" t="str">
        <f t="shared" si="9"/>
        <v>Spotlight</v>
      </c>
      <c r="S611" s="6" t="str">
        <f>VLOOKUP(I611,'FIN CAL LOOKUP'!A:J,7,1)</f>
        <v>MAY, FY23</v>
      </c>
      <c r="T611" s="6" t="str">
        <f>VLOOKUP(I611,'FIN CAL LOOKUP'!A:J,10,1)</f>
        <v>Q4, FY23</v>
      </c>
    </row>
    <row r="612" spans="1:20" hidden="1" x14ac:dyDescent="0.25">
      <c r="A612">
        <v>232254</v>
      </c>
      <c r="B612" t="s">
        <v>591</v>
      </c>
      <c r="C612" t="s">
        <v>592</v>
      </c>
      <c r="D612" t="s">
        <v>333</v>
      </c>
      <c r="E612" t="s">
        <v>264</v>
      </c>
      <c r="F612" t="s">
        <v>1017</v>
      </c>
      <c r="G612" t="s">
        <v>266</v>
      </c>
      <c r="H612" s="5">
        <v>45055</v>
      </c>
      <c r="I612" s="5">
        <v>45057</v>
      </c>
      <c r="J612" t="s">
        <v>1017</v>
      </c>
      <c r="K612" t="s">
        <v>268</v>
      </c>
      <c r="L612">
        <v>2</v>
      </c>
      <c r="N612" t="s">
        <v>237</v>
      </c>
      <c r="O612">
        <v>0</v>
      </c>
      <c r="P612" s="6" t="str">
        <f>VLOOKUP(J612,'Store lookup'!A:C,2,0)</f>
        <v>S046</v>
      </c>
      <c r="Q612" s="6" t="str">
        <f>VLOOKUP(J612,'Store lookup'!A:C,3,0)</f>
        <v>Spotlight Mackay</v>
      </c>
      <c r="R612" s="6" t="str">
        <f t="shared" si="9"/>
        <v>Spotlight</v>
      </c>
      <c r="S612" s="6" t="str">
        <f>VLOOKUP(I612,'FIN CAL LOOKUP'!A:J,7,1)</f>
        <v>MAY, FY23</v>
      </c>
      <c r="T612" s="6" t="str">
        <f>VLOOKUP(I612,'FIN CAL LOOKUP'!A:J,10,1)</f>
        <v>Q4, FY23</v>
      </c>
    </row>
    <row r="613" spans="1:20" hidden="1" x14ac:dyDescent="0.25">
      <c r="A613">
        <v>298402</v>
      </c>
      <c r="B613" t="s">
        <v>1023</v>
      </c>
      <c r="C613" t="s">
        <v>1024</v>
      </c>
      <c r="D613" t="s">
        <v>327</v>
      </c>
      <c r="E613" t="s">
        <v>264</v>
      </c>
      <c r="F613" t="s">
        <v>1017</v>
      </c>
      <c r="G613" t="s">
        <v>266</v>
      </c>
      <c r="H613" s="5">
        <v>45055</v>
      </c>
      <c r="I613" s="5">
        <v>45057</v>
      </c>
      <c r="J613" t="s">
        <v>1017</v>
      </c>
      <c r="K613" t="s">
        <v>268</v>
      </c>
      <c r="L613">
        <v>2</v>
      </c>
      <c r="N613" t="s">
        <v>237</v>
      </c>
      <c r="O613">
        <v>0</v>
      </c>
      <c r="P613" s="6" t="str">
        <f>VLOOKUP(J613,'Store lookup'!A:C,2,0)</f>
        <v>S046</v>
      </c>
      <c r="Q613" s="6" t="str">
        <f>VLOOKUP(J613,'Store lookup'!A:C,3,0)</f>
        <v>Spotlight Mackay</v>
      </c>
      <c r="R613" s="6" t="str">
        <f t="shared" si="9"/>
        <v>Spotlight</v>
      </c>
      <c r="S613" s="6" t="str">
        <f>VLOOKUP(I613,'FIN CAL LOOKUP'!A:J,7,1)</f>
        <v>MAY, FY23</v>
      </c>
      <c r="T613" s="6" t="str">
        <f>VLOOKUP(I613,'FIN CAL LOOKUP'!A:J,10,1)</f>
        <v>Q4, FY23</v>
      </c>
    </row>
    <row r="614" spans="1:20" hidden="1" x14ac:dyDescent="0.25">
      <c r="A614">
        <v>327402</v>
      </c>
      <c r="B614" t="s">
        <v>454</v>
      </c>
      <c r="C614" t="s">
        <v>455</v>
      </c>
      <c r="D614" t="s">
        <v>278</v>
      </c>
      <c r="E614" t="s">
        <v>264</v>
      </c>
      <c r="F614" t="s">
        <v>931</v>
      </c>
      <c r="G614" t="s">
        <v>266</v>
      </c>
      <c r="H614" s="5">
        <v>45033</v>
      </c>
      <c r="I614" s="5">
        <v>45062</v>
      </c>
      <c r="J614" t="s">
        <v>931</v>
      </c>
      <c r="K614" t="s">
        <v>268</v>
      </c>
      <c r="L614">
        <v>1</v>
      </c>
      <c r="M614" t="s">
        <v>932</v>
      </c>
      <c r="N614" t="s">
        <v>237</v>
      </c>
      <c r="O614">
        <v>1</v>
      </c>
      <c r="P614" s="6" t="str">
        <f>VLOOKUP(J614,'Store lookup'!A:C,2,0)</f>
        <v>S008</v>
      </c>
      <c r="Q614" s="6" t="str">
        <f>VLOOKUP(J614,'Store lookup'!A:C,3,0)</f>
        <v>Spotlight Essendon</v>
      </c>
      <c r="R614" s="6" t="str">
        <f t="shared" si="9"/>
        <v>Spotlight</v>
      </c>
      <c r="S614" s="6" t="str">
        <f>VLOOKUP(I614,'FIN CAL LOOKUP'!A:J,7,1)</f>
        <v>MAY, FY23</v>
      </c>
      <c r="T614" s="6" t="str">
        <f>VLOOKUP(I614,'FIN CAL LOOKUP'!A:J,10,1)</f>
        <v>Q4, FY23</v>
      </c>
    </row>
    <row r="615" spans="1:20" hidden="1" x14ac:dyDescent="0.25">
      <c r="A615">
        <v>317899</v>
      </c>
      <c r="B615" t="s">
        <v>665</v>
      </c>
      <c r="C615" t="s">
        <v>988</v>
      </c>
      <c r="D615" t="s">
        <v>272</v>
      </c>
      <c r="E615" t="s">
        <v>264</v>
      </c>
      <c r="F615" t="s">
        <v>935</v>
      </c>
      <c r="G615" t="s">
        <v>266</v>
      </c>
      <c r="H615" s="5">
        <v>45033</v>
      </c>
      <c r="I615" s="5">
        <v>45042</v>
      </c>
      <c r="J615" t="s">
        <v>935</v>
      </c>
      <c r="K615" t="s">
        <v>268</v>
      </c>
      <c r="L615">
        <v>1</v>
      </c>
      <c r="M615" t="s">
        <v>676</v>
      </c>
      <c r="N615" t="s">
        <v>237</v>
      </c>
      <c r="O615">
        <v>1</v>
      </c>
      <c r="P615" s="6" t="str">
        <f>VLOOKUP(J615,'Store lookup'!A:C,2,0)</f>
        <v>S027</v>
      </c>
      <c r="Q615" s="6" t="str">
        <f>VLOOKUP(J615,'Store lookup'!A:C,3,0)</f>
        <v>Spotlight South Melbourne</v>
      </c>
      <c r="R615" s="6" t="str">
        <f t="shared" si="9"/>
        <v>Spotlight</v>
      </c>
      <c r="S615" s="6" t="str">
        <f>VLOOKUP(I615,'FIN CAL LOOKUP'!A:J,7,1)</f>
        <v>MAY, FY23</v>
      </c>
      <c r="T615" s="6" t="str">
        <f>VLOOKUP(I615,'FIN CAL LOOKUP'!A:J,10,1)</f>
        <v>Q4, FY23</v>
      </c>
    </row>
    <row r="616" spans="1:20" hidden="1" x14ac:dyDescent="0.25">
      <c r="A616">
        <v>215865</v>
      </c>
      <c r="B616" t="s">
        <v>764</v>
      </c>
      <c r="C616" t="s">
        <v>891</v>
      </c>
      <c r="D616" t="s">
        <v>263</v>
      </c>
      <c r="E616" t="s">
        <v>264</v>
      </c>
      <c r="F616" t="s">
        <v>931</v>
      </c>
      <c r="G616" t="s">
        <v>266</v>
      </c>
      <c r="H616" s="5">
        <v>45020</v>
      </c>
      <c r="I616" s="5">
        <v>45055</v>
      </c>
      <c r="J616" t="s">
        <v>931</v>
      </c>
      <c r="K616" t="s">
        <v>268</v>
      </c>
      <c r="L616">
        <v>2</v>
      </c>
      <c r="M616" t="s">
        <v>932</v>
      </c>
      <c r="N616" t="s">
        <v>237</v>
      </c>
      <c r="O616">
        <v>0</v>
      </c>
      <c r="P616" s="6" t="str">
        <f>VLOOKUP(J616,'Store lookup'!A:C,2,0)</f>
        <v>S008</v>
      </c>
      <c r="Q616" s="6" t="str">
        <f>VLOOKUP(J616,'Store lookup'!A:C,3,0)</f>
        <v>Spotlight Essendon</v>
      </c>
      <c r="R616" s="6" t="str">
        <f t="shared" si="9"/>
        <v>Spotlight</v>
      </c>
      <c r="S616" s="6" t="str">
        <f>VLOOKUP(I616,'FIN CAL LOOKUP'!A:J,7,1)</f>
        <v>MAY, FY23</v>
      </c>
      <c r="T616" s="6" t="str">
        <f>VLOOKUP(I616,'FIN CAL LOOKUP'!A:J,10,1)</f>
        <v>Q4, FY23</v>
      </c>
    </row>
    <row r="617" spans="1:20" hidden="1" x14ac:dyDescent="0.25">
      <c r="A617">
        <v>321931</v>
      </c>
      <c r="B617" t="s">
        <v>625</v>
      </c>
      <c r="C617" t="s">
        <v>626</v>
      </c>
      <c r="D617" t="s">
        <v>272</v>
      </c>
      <c r="E617" t="s">
        <v>264</v>
      </c>
      <c r="F617" t="s">
        <v>927</v>
      </c>
      <c r="G617" t="s">
        <v>266</v>
      </c>
      <c r="H617" s="5">
        <v>45005</v>
      </c>
      <c r="I617" s="5">
        <v>45070</v>
      </c>
      <c r="J617" t="s">
        <v>927</v>
      </c>
      <c r="K617" t="s">
        <v>268</v>
      </c>
      <c r="L617">
        <v>1</v>
      </c>
      <c r="M617" t="s">
        <v>928</v>
      </c>
      <c r="N617" t="s">
        <v>237</v>
      </c>
      <c r="O617">
        <v>1</v>
      </c>
      <c r="P617" s="6" t="str">
        <f>VLOOKUP(J617,'Store lookup'!A:C,2,0)</f>
        <v>S159</v>
      </c>
      <c r="Q617" s="6" t="str">
        <f>VLOOKUP(J617,'Store lookup'!A:C,3,0)</f>
        <v>Spotlight The Glen Creative</v>
      </c>
      <c r="R617" s="6" t="str">
        <f t="shared" si="9"/>
        <v>Spotlight</v>
      </c>
      <c r="S617" s="6" t="str">
        <f>VLOOKUP(I617,'FIN CAL LOOKUP'!A:J,7,1)</f>
        <v>MAY, FY23</v>
      </c>
      <c r="T617" s="6" t="str">
        <f>VLOOKUP(I617,'FIN CAL LOOKUP'!A:J,10,1)</f>
        <v>Q4, FY23</v>
      </c>
    </row>
    <row r="618" spans="1:20" hidden="1" x14ac:dyDescent="0.25">
      <c r="A618">
        <v>320141</v>
      </c>
      <c r="B618" t="s">
        <v>649</v>
      </c>
      <c r="C618" t="s">
        <v>1025</v>
      </c>
      <c r="D618" t="s">
        <v>542</v>
      </c>
      <c r="E618" t="s">
        <v>264</v>
      </c>
      <c r="F618" t="s">
        <v>924</v>
      </c>
      <c r="G618" t="s">
        <v>266</v>
      </c>
      <c r="H618" s="5">
        <v>44999</v>
      </c>
      <c r="I618" s="5">
        <v>45058</v>
      </c>
      <c r="J618" t="s">
        <v>925</v>
      </c>
      <c r="K618" t="s">
        <v>268</v>
      </c>
      <c r="L618">
        <v>1</v>
      </c>
      <c r="M618" t="s">
        <v>763</v>
      </c>
      <c r="N618" t="s">
        <v>237</v>
      </c>
      <c r="O618">
        <v>1</v>
      </c>
      <c r="P618" s="6" t="str">
        <f>VLOOKUP(J618,'Store lookup'!A:C,2,0)</f>
        <v>S114</v>
      </c>
      <c r="Q618" s="6" t="str">
        <f>VLOOKUP(J618,'Store lookup'!A:C,3,0)</f>
        <v>Spotlight Cranegie</v>
      </c>
      <c r="R618" s="6" t="str">
        <f t="shared" si="9"/>
        <v>Spotlight</v>
      </c>
      <c r="S618" s="6" t="str">
        <f>VLOOKUP(I618,'FIN CAL LOOKUP'!A:J,7,1)</f>
        <v>MAY, FY23</v>
      </c>
      <c r="T618" s="6" t="str">
        <f>VLOOKUP(I618,'FIN CAL LOOKUP'!A:J,10,1)</f>
        <v>Q4, FY23</v>
      </c>
    </row>
    <row r="619" spans="1:20" hidden="1" x14ac:dyDescent="0.25">
      <c r="A619">
        <v>321424</v>
      </c>
      <c r="B619" t="s">
        <v>662</v>
      </c>
      <c r="C619" t="s">
        <v>663</v>
      </c>
      <c r="D619" t="s">
        <v>307</v>
      </c>
      <c r="E619" t="s">
        <v>264</v>
      </c>
      <c r="F619" t="s">
        <v>931</v>
      </c>
      <c r="G619" t="s">
        <v>266</v>
      </c>
      <c r="H619" s="5">
        <v>44994</v>
      </c>
      <c r="I619" s="5">
        <v>45055</v>
      </c>
      <c r="J619" t="s">
        <v>931</v>
      </c>
      <c r="K619" t="s">
        <v>268</v>
      </c>
      <c r="L619">
        <v>2</v>
      </c>
      <c r="M619" t="s">
        <v>932</v>
      </c>
      <c r="N619" t="s">
        <v>237</v>
      </c>
      <c r="O619">
        <v>0</v>
      </c>
      <c r="P619" s="6" t="str">
        <f>VLOOKUP(J619,'Store lookup'!A:C,2,0)</f>
        <v>S008</v>
      </c>
      <c r="Q619" s="6" t="str">
        <f>VLOOKUP(J619,'Store lookup'!A:C,3,0)</f>
        <v>Spotlight Essendon</v>
      </c>
      <c r="R619" s="6" t="str">
        <f t="shared" si="9"/>
        <v>Spotlight</v>
      </c>
      <c r="S619" s="6" t="str">
        <f>VLOOKUP(I619,'FIN CAL LOOKUP'!A:J,7,1)</f>
        <v>MAY, FY23</v>
      </c>
      <c r="T619" s="6" t="str">
        <f>VLOOKUP(I619,'FIN CAL LOOKUP'!A:J,10,1)</f>
        <v>Q4, FY23</v>
      </c>
    </row>
    <row r="620" spans="1:20" hidden="1" x14ac:dyDescent="0.25">
      <c r="A620">
        <v>328014</v>
      </c>
      <c r="B620" t="s">
        <v>321</v>
      </c>
      <c r="C620" t="s">
        <v>322</v>
      </c>
      <c r="D620" t="s">
        <v>307</v>
      </c>
      <c r="E620" t="s">
        <v>264</v>
      </c>
      <c r="F620" t="s">
        <v>938</v>
      </c>
      <c r="G620" t="s">
        <v>266</v>
      </c>
      <c r="H620" s="5">
        <v>44992</v>
      </c>
      <c r="I620" s="5">
        <v>45065</v>
      </c>
      <c r="J620" t="s">
        <v>938</v>
      </c>
      <c r="K620" t="s">
        <v>268</v>
      </c>
      <c r="L620">
        <v>2</v>
      </c>
      <c r="M620" t="s">
        <v>281</v>
      </c>
      <c r="N620" t="s">
        <v>237</v>
      </c>
      <c r="O620">
        <v>0</v>
      </c>
      <c r="P620" s="6" t="str">
        <f>VLOOKUP(J620,'Store lookup'!A:C,2,0)</f>
        <v>S002</v>
      </c>
      <c r="Q620" s="6" t="str">
        <f>VLOOKUP(J620,'Store lookup'!A:C,3,0)</f>
        <v>Spotlight Box Hill</v>
      </c>
      <c r="R620" s="6" t="str">
        <f t="shared" si="9"/>
        <v>Spotlight</v>
      </c>
      <c r="S620" s="6" t="str">
        <f>VLOOKUP(I620,'FIN CAL LOOKUP'!A:J,7,1)</f>
        <v>MAY, FY23</v>
      </c>
      <c r="T620" s="6" t="str">
        <f>VLOOKUP(I620,'FIN CAL LOOKUP'!A:J,10,1)</f>
        <v>Q4, FY23</v>
      </c>
    </row>
    <row r="621" spans="1:20" hidden="1" x14ac:dyDescent="0.25">
      <c r="A621">
        <v>322115</v>
      </c>
      <c r="B621" t="s">
        <v>1026</v>
      </c>
      <c r="C621" t="s">
        <v>1027</v>
      </c>
      <c r="D621" t="s">
        <v>272</v>
      </c>
      <c r="E621" t="s">
        <v>264</v>
      </c>
      <c r="F621" t="s">
        <v>935</v>
      </c>
      <c r="G621" t="s">
        <v>266</v>
      </c>
      <c r="H621" s="5">
        <v>44992</v>
      </c>
      <c r="I621" s="5">
        <v>45009</v>
      </c>
      <c r="J621" t="s">
        <v>935</v>
      </c>
      <c r="K621" t="s">
        <v>268</v>
      </c>
      <c r="L621">
        <v>1</v>
      </c>
      <c r="M621" t="s">
        <v>676</v>
      </c>
      <c r="N621" t="s">
        <v>237</v>
      </c>
      <c r="O621">
        <v>1</v>
      </c>
      <c r="P621" s="6" t="str">
        <f>VLOOKUP(J621,'Store lookup'!A:C,2,0)</f>
        <v>S027</v>
      </c>
      <c r="Q621" s="6" t="str">
        <f>VLOOKUP(J621,'Store lookup'!A:C,3,0)</f>
        <v>Spotlight South Melbourne</v>
      </c>
      <c r="R621" s="6" t="str">
        <f t="shared" si="9"/>
        <v>Spotlight</v>
      </c>
      <c r="S621" s="6" t="str">
        <f>VLOOKUP(I621,'FIN CAL LOOKUP'!A:J,7,1)</f>
        <v>MAR, FY23</v>
      </c>
      <c r="T621" s="6" t="str">
        <f>VLOOKUP(I621,'FIN CAL LOOKUP'!A:J,10,1)</f>
        <v>Q3, FY23</v>
      </c>
    </row>
    <row r="622" spans="1:20" hidden="1" x14ac:dyDescent="0.25">
      <c r="A622">
        <v>312762</v>
      </c>
      <c r="B622" t="s">
        <v>416</v>
      </c>
      <c r="C622" t="s">
        <v>491</v>
      </c>
      <c r="D622" t="s">
        <v>278</v>
      </c>
      <c r="E622" t="s">
        <v>264</v>
      </c>
      <c r="F622" t="s">
        <v>935</v>
      </c>
      <c r="G622" t="s">
        <v>266</v>
      </c>
      <c r="H622" s="5">
        <v>44991</v>
      </c>
      <c r="I622" s="5">
        <v>45014</v>
      </c>
      <c r="J622" t="s">
        <v>935</v>
      </c>
      <c r="K622" t="s">
        <v>268</v>
      </c>
      <c r="L622">
        <v>1</v>
      </c>
      <c r="M622" t="s">
        <v>676</v>
      </c>
      <c r="N622" t="s">
        <v>237</v>
      </c>
      <c r="O622">
        <v>1</v>
      </c>
      <c r="P622" s="6" t="str">
        <f>VLOOKUP(J622,'Store lookup'!A:C,2,0)</f>
        <v>S027</v>
      </c>
      <c r="Q622" s="6" t="str">
        <f>VLOOKUP(J622,'Store lookup'!A:C,3,0)</f>
        <v>Spotlight South Melbourne</v>
      </c>
      <c r="R622" s="6" t="str">
        <f t="shared" si="9"/>
        <v>Spotlight</v>
      </c>
      <c r="S622" s="6" t="str">
        <f>VLOOKUP(I622,'FIN CAL LOOKUP'!A:J,7,1)</f>
        <v>APR, FY23</v>
      </c>
      <c r="T622" s="6" t="str">
        <f>VLOOKUP(I622,'FIN CAL LOOKUP'!A:J,10,1)</f>
        <v>Q4, FY23</v>
      </c>
    </row>
    <row r="623" spans="1:20" hidden="1" x14ac:dyDescent="0.25">
      <c r="A623">
        <v>316728</v>
      </c>
      <c r="B623" t="s">
        <v>845</v>
      </c>
      <c r="C623" t="s">
        <v>846</v>
      </c>
      <c r="D623" t="s">
        <v>272</v>
      </c>
      <c r="E623" t="s">
        <v>264</v>
      </c>
      <c r="F623" t="s">
        <v>938</v>
      </c>
      <c r="G623" t="s">
        <v>266</v>
      </c>
      <c r="H623" s="5">
        <v>44988</v>
      </c>
      <c r="I623" s="5">
        <v>45030</v>
      </c>
      <c r="J623" t="s">
        <v>938</v>
      </c>
      <c r="K623" t="s">
        <v>268</v>
      </c>
      <c r="L623">
        <v>1</v>
      </c>
      <c r="M623" t="s">
        <v>281</v>
      </c>
      <c r="N623" t="s">
        <v>237</v>
      </c>
      <c r="O623">
        <v>1</v>
      </c>
      <c r="P623" s="6" t="str">
        <f>VLOOKUP(J623,'Store lookup'!A:C,2,0)</f>
        <v>S002</v>
      </c>
      <c r="Q623" s="6" t="str">
        <f>VLOOKUP(J623,'Store lookup'!A:C,3,0)</f>
        <v>Spotlight Box Hill</v>
      </c>
      <c r="R623" s="6" t="str">
        <f t="shared" si="9"/>
        <v>Spotlight</v>
      </c>
      <c r="S623" s="6" t="str">
        <f>VLOOKUP(I623,'FIN CAL LOOKUP'!A:J,7,1)</f>
        <v>APR, FY23</v>
      </c>
      <c r="T623" s="6" t="str">
        <f>VLOOKUP(I623,'FIN CAL LOOKUP'!A:J,10,1)</f>
        <v>Q4, FY23</v>
      </c>
    </row>
    <row r="624" spans="1:20" hidden="1" x14ac:dyDescent="0.25">
      <c r="A624">
        <v>239765</v>
      </c>
      <c r="B624" t="s">
        <v>1028</v>
      </c>
      <c r="C624" t="s">
        <v>1029</v>
      </c>
      <c r="D624" t="s">
        <v>272</v>
      </c>
      <c r="E624" t="s">
        <v>264</v>
      </c>
      <c r="F624" t="s">
        <v>936</v>
      </c>
      <c r="G624" t="s">
        <v>266</v>
      </c>
      <c r="H624" s="5">
        <v>44987</v>
      </c>
      <c r="I624" s="5">
        <v>45028</v>
      </c>
      <c r="J624" t="s">
        <v>937</v>
      </c>
      <c r="K624" t="s">
        <v>268</v>
      </c>
      <c r="L624">
        <v>1</v>
      </c>
      <c r="M624" t="s">
        <v>269</v>
      </c>
      <c r="N624" t="s">
        <v>237</v>
      </c>
      <c r="O624">
        <v>1</v>
      </c>
      <c r="P624" s="6" t="str">
        <f>VLOOKUP(J624,'Store lookup'!A:C,2,0)</f>
        <v>S014</v>
      </c>
      <c r="Q624" s="6" t="str">
        <f>VLOOKUP(J624,'Store lookup'!A:C,3,0)</f>
        <v>Spotlight Bayswater</v>
      </c>
      <c r="R624" s="6" t="str">
        <f t="shared" si="9"/>
        <v>Spotlight</v>
      </c>
      <c r="S624" s="6" t="str">
        <f>VLOOKUP(I624,'FIN CAL LOOKUP'!A:J,7,1)</f>
        <v>APR, FY23</v>
      </c>
      <c r="T624" s="6" t="str">
        <f>VLOOKUP(I624,'FIN CAL LOOKUP'!A:J,10,1)</f>
        <v>Q4, FY23</v>
      </c>
    </row>
    <row r="625" spans="1:20" hidden="1" x14ac:dyDescent="0.25">
      <c r="A625">
        <v>298118</v>
      </c>
      <c r="B625" t="s">
        <v>614</v>
      </c>
      <c r="C625" t="s">
        <v>615</v>
      </c>
      <c r="D625" t="s">
        <v>307</v>
      </c>
      <c r="E625" t="s">
        <v>264</v>
      </c>
      <c r="F625" t="s">
        <v>1030</v>
      </c>
      <c r="G625" t="s">
        <v>266</v>
      </c>
      <c r="H625" s="5">
        <v>44986</v>
      </c>
      <c r="I625" s="5">
        <v>45048</v>
      </c>
      <c r="J625" t="s">
        <v>1031</v>
      </c>
      <c r="K625" t="s">
        <v>268</v>
      </c>
      <c r="L625">
        <v>1</v>
      </c>
      <c r="N625" t="s">
        <v>237</v>
      </c>
      <c r="O625">
        <v>1</v>
      </c>
      <c r="P625" s="6" t="str">
        <f>VLOOKUP(J625,'Store lookup'!A:C,2,0)</f>
        <v>S021</v>
      </c>
      <c r="Q625" s="6" t="str">
        <f>VLOOKUP(J625,'Store lookup'!A:C,3,0)</f>
        <v>Spotlight Albury</v>
      </c>
      <c r="R625" s="6" t="str">
        <f t="shared" si="9"/>
        <v>Spotlight</v>
      </c>
      <c r="S625" s="6" t="str">
        <f>VLOOKUP(I625,'FIN CAL LOOKUP'!A:J,7,1)</f>
        <v>MAY, FY23</v>
      </c>
      <c r="T625" s="6" t="str">
        <f>VLOOKUP(I625,'FIN CAL LOOKUP'!A:J,10,1)</f>
        <v>Q4, FY23</v>
      </c>
    </row>
    <row r="626" spans="1:20" hidden="1" x14ac:dyDescent="0.25">
      <c r="A626">
        <v>307816</v>
      </c>
      <c r="B626" t="s">
        <v>643</v>
      </c>
      <c r="C626" t="s">
        <v>644</v>
      </c>
      <c r="D626" t="s">
        <v>508</v>
      </c>
      <c r="E626" t="s">
        <v>264</v>
      </c>
      <c r="F626" t="s">
        <v>924</v>
      </c>
      <c r="G626" t="s">
        <v>266</v>
      </c>
      <c r="H626" s="5">
        <v>44986</v>
      </c>
      <c r="I626" s="5">
        <v>45037</v>
      </c>
      <c r="J626" t="s">
        <v>925</v>
      </c>
      <c r="K626" t="s">
        <v>268</v>
      </c>
      <c r="L626">
        <v>1</v>
      </c>
      <c r="M626" t="s">
        <v>763</v>
      </c>
      <c r="N626" t="s">
        <v>237</v>
      </c>
      <c r="O626">
        <v>1</v>
      </c>
      <c r="P626" s="6" t="str">
        <f>VLOOKUP(J626,'Store lookup'!A:C,2,0)</f>
        <v>S114</v>
      </c>
      <c r="Q626" s="6" t="str">
        <f>VLOOKUP(J626,'Store lookup'!A:C,3,0)</f>
        <v>Spotlight Cranegie</v>
      </c>
      <c r="R626" s="6" t="str">
        <f t="shared" si="9"/>
        <v>Spotlight</v>
      </c>
      <c r="S626" s="6" t="str">
        <f>VLOOKUP(I626,'FIN CAL LOOKUP'!A:J,7,1)</f>
        <v>APR, FY23</v>
      </c>
      <c r="T626" s="6" t="str">
        <f>VLOOKUP(I626,'FIN CAL LOOKUP'!A:J,10,1)</f>
        <v>Q4, FY23</v>
      </c>
    </row>
    <row r="627" spans="1:20" hidden="1" x14ac:dyDescent="0.25">
      <c r="A627">
        <v>231599</v>
      </c>
      <c r="B627" t="s">
        <v>819</v>
      </c>
      <c r="C627" t="s">
        <v>820</v>
      </c>
      <c r="D627" t="s">
        <v>263</v>
      </c>
      <c r="E627" t="s">
        <v>264</v>
      </c>
      <c r="F627" t="s">
        <v>920</v>
      </c>
      <c r="G627" t="s">
        <v>266</v>
      </c>
      <c r="H627" s="5">
        <v>44986</v>
      </c>
      <c r="I627" s="5">
        <v>45034</v>
      </c>
      <c r="J627" t="s">
        <v>920</v>
      </c>
      <c r="K627" t="s">
        <v>268</v>
      </c>
      <c r="L627">
        <v>1</v>
      </c>
      <c r="M627" t="s">
        <v>921</v>
      </c>
      <c r="N627" t="s">
        <v>237</v>
      </c>
      <c r="O627">
        <v>1</v>
      </c>
      <c r="P627" s="6" t="str">
        <f>VLOOKUP(J627,'Store lookup'!A:C,2,0)</f>
        <v>S145</v>
      </c>
      <c r="Q627" s="6" t="str">
        <f>VLOOKUP(J627,'Store lookup'!A:C,3,0)</f>
        <v>Spotlight Roxburgh Park</v>
      </c>
      <c r="R627" s="6" t="str">
        <f t="shared" si="9"/>
        <v>Spotlight</v>
      </c>
      <c r="S627" s="6" t="str">
        <f>VLOOKUP(I627,'FIN CAL LOOKUP'!A:J,7,1)</f>
        <v>APR, FY23</v>
      </c>
      <c r="T627" s="6" t="str">
        <f>VLOOKUP(I627,'FIN CAL LOOKUP'!A:J,10,1)</f>
        <v>Q4, FY23</v>
      </c>
    </row>
    <row r="628" spans="1:20" hidden="1" x14ac:dyDescent="0.25">
      <c r="A628">
        <v>200391</v>
      </c>
      <c r="B628" t="s">
        <v>1032</v>
      </c>
      <c r="C628" t="s">
        <v>1033</v>
      </c>
      <c r="D628" t="s">
        <v>278</v>
      </c>
      <c r="E628" t="s">
        <v>264</v>
      </c>
      <c r="F628" t="s">
        <v>1034</v>
      </c>
      <c r="G628" t="s">
        <v>266</v>
      </c>
      <c r="H628" s="5">
        <v>44986</v>
      </c>
      <c r="I628" s="5">
        <v>45028</v>
      </c>
      <c r="J628" t="s">
        <v>1034</v>
      </c>
      <c r="K628" t="s">
        <v>268</v>
      </c>
      <c r="L628">
        <v>1</v>
      </c>
      <c r="M628" t="s">
        <v>1035</v>
      </c>
      <c r="N628" t="s">
        <v>237</v>
      </c>
      <c r="O628">
        <v>1</v>
      </c>
      <c r="P628" s="6" t="str">
        <f>VLOOKUP(J628,'Store lookup'!A:C,2,0)</f>
        <v>S069</v>
      </c>
      <c r="Q628" s="6" t="str">
        <f>VLOOKUP(J628,'Store lookup'!A:C,3,0)</f>
        <v>Spotlight Bundaberg</v>
      </c>
      <c r="R628" s="6" t="str">
        <f t="shared" si="9"/>
        <v>Spotlight</v>
      </c>
      <c r="S628" s="6" t="str">
        <f>VLOOKUP(I628,'FIN CAL LOOKUP'!A:J,7,1)</f>
        <v>APR, FY23</v>
      </c>
      <c r="T628" s="6" t="str">
        <f>VLOOKUP(I628,'FIN CAL LOOKUP'!A:J,10,1)</f>
        <v>Q4, FY23</v>
      </c>
    </row>
    <row r="629" spans="1:20" hidden="1" x14ac:dyDescent="0.25">
      <c r="A629">
        <v>240591</v>
      </c>
      <c r="B629" t="s">
        <v>797</v>
      </c>
      <c r="C629" t="s">
        <v>798</v>
      </c>
      <c r="D629" t="s">
        <v>263</v>
      </c>
      <c r="E629" t="s">
        <v>264</v>
      </c>
      <c r="F629" t="s">
        <v>931</v>
      </c>
      <c r="G629" t="s">
        <v>266</v>
      </c>
      <c r="H629" s="5">
        <v>44981</v>
      </c>
      <c r="I629" s="5">
        <v>45001</v>
      </c>
      <c r="J629" t="s">
        <v>931</v>
      </c>
      <c r="K629" t="s">
        <v>268</v>
      </c>
      <c r="L629">
        <v>1</v>
      </c>
      <c r="M629" t="s">
        <v>932</v>
      </c>
      <c r="N629" t="s">
        <v>237</v>
      </c>
      <c r="O629">
        <v>1</v>
      </c>
      <c r="P629" s="6" t="str">
        <f>VLOOKUP(J629,'Store lookup'!A:C,2,0)</f>
        <v>S008</v>
      </c>
      <c r="Q629" s="6" t="str">
        <f>VLOOKUP(J629,'Store lookup'!A:C,3,0)</f>
        <v>Spotlight Essendon</v>
      </c>
      <c r="R629" s="6" t="str">
        <f t="shared" si="9"/>
        <v>Spotlight</v>
      </c>
      <c r="S629" s="6" t="str">
        <f>VLOOKUP(I629,'FIN CAL LOOKUP'!A:J,7,1)</f>
        <v>MAR, FY23</v>
      </c>
      <c r="T629" s="6" t="str">
        <f>VLOOKUP(I629,'FIN CAL LOOKUP'!A:J,10,1)</f>
        <v>Q3, FY23</v>
      </c>
    </row>
    <row r="630" spans="1:20" hidden="1" x14ac:dyDescent="0.25">
      <c r="A630">
        <v>320578</v>
      </c>
      <c r="B630" t="s">
        <v>781</v>
      </c>
      <c r="C630" t="s">
        <v>782</v>
      </c>
      <c r="D630" t="s">
        <v>542</v>
      </c>
      <c r="E630" t="s">
        <v>264</v>
      </c>
      <c r="F630" t="s">
        <v>1005</v>
      </c>
      <c r="G630" t="s">
        <v>266</v>
      </c>
      <c r="H630" s="5">
        <v>44980</v>
      </c>
      <c r="I630" s="5">
        <v>45014</v>
      </c>
      <c r="J630" t="s">
        <v>1005</v>
      </c>
      <c r="K630" t="s">
        <v>268</v>
      </c>
      <c r="L630">
        <v>1</v>
      </c>
      <c r="M630" t="s">
        <v>1006</v>
      </c>
      <c r="N630" t="s">
        <v>237</v>
      </c>
      <c r="O630">
        <v>1</v>
      </c>
      <c r="P630" s="6" t="str">
        <f>VLOOKUP(J630,'Store lookup'!A:C,2,0)</f>
        <v>S004</v>
      </c>
      <c r="Q630" s="6" t="str">
        <f>VLOOKUP(J630,'Store lookup'!A:C,3,0)</f>
        <v>Spotlight Mentone</v>
      </c>
      <c r="R630" s="6" t="str">
        <f t="shared" si="9"/>
        <v>Spotlight</v>
      </c>
      <c r="S630" s="6" t="str">
        <f>VLOOKUP(I630,'FIN CAL LOOKUP'!A:J,7,1)</f>
        <v>APR, FY23</v>
      </c>
      <c r="T630" s="6" t="str">
        <f>VLOOKUP(I630,'FIN CAL LOOKUP'!A:J,10,1)</f>
        <v>Q4, FY23</v>
      </c>
    </row>
    <row r="631" spans="1:20" hidden="1" x14ac:dyDescent="0.25">
      <c r="A631">
        <v>209435</v>
      </c>
      <c r="B631" t="s">
        <v>839</v>
      </c>
      <c r="C631" t="s">
        <v>811</v>
      </c>
      <c r="D631" t="s">
        <v>278</v>
      </c>
      <c r="E631" t="s">
        <v>264</v>
      </c>
      <c r="F631" t="s">
        <v>935</v>
      </c>
      <c r="G631" t="s">
        <v>266</v>
      </c>
      <c r="H631" s="5">
        <v>44980</v>
      </c>
      <c r="I631" s="5">
        <v>45006</v>
      </c>
      <c r="J631" t="s">
        <v>935</v>
      </c>
      <c r="K631" t="s">
        <v>268</v>
      </c>
      <c r="L631">
        <v>1</v>
      </c>
      <c r="M631" t="s">
        <v>676</v>
      </c>
      <c r="N631" t="s">
        <v>237</v>
      </c>
      <c r="O631">
        <v>1</v>
      </c>
      <c r="P631" s="6" t="str">
        <f>VLOOKUP(J631,'Store lookup'!A:C,2,0)</f>
        <v>S027</v>
      </c>
      <c r="Q631" s="6" t="str">
        <f>VLOOKUP(J631,'Store lookup'!A:C,3,0)</f>
        <v>Spotlight South Melbourne</v>
      </c>
      <c r="R631" s="6" t="str">
        <f t="shared" si="9"/>
        <v>Spotlight</v>
      </c>
      <c r="S631" s="6" t="str">
        <f>VLOOKUP(I631,'FIN CAL LOOKUP'!A:J,7,1)</f>
        <v>MAR, FY23</v>
      </c>
      <c r="T631" s="6" t="str">
        <f>VLOOKUP(I631,'FIN CAL LOOKUP'!A:J,10,1)</f>
        <v>Q3, FY23</v>
      </c>
    </row>
    <row r="632" spans="1:20" hidden="1" x14ac:dyDescent="0.25">
      <c r="A632">
        <v>236950</v>
      </c>
      <c r="B632" t="s">
        <v>892</v>
      </c>
      <c r="C632" t="s">
        <v>893</v>
      </c>
      <c r="D632" t="s">
        <v>278</v>
      </c>
      <c r="E632" t="s">
        <v>264</v>
      </c>
      <c r="F632" t="s">
        <v>965</v>
      </c>
      <c r="G632" t="s">
        <v>266</v>
      </c>
      <c r="H632" s="5">
        <v>44979</v>
      </c>
      <c r="I632" s="5">
        <v>45155</v>
      </c>
      <c r="J632" t="s">
        <v>965</v>
      </c>
      <c r="K632" t="s">
        <v>268</v>
      </c>
      <c r="L632">
        <v>1</v>
      </c>
      <c r="M632" t="s">
        <v>338</v>
      </c>
      <c r="N632" t="s">
        <v>237</v>
      </c>
      <c r="O632">
        <v>1</v>
      </c>
      <c r="P632" s="6" t="str">
        <f>VLOOKUP(J632,'Store lookup'!A:C,2,0)</f>
        <v>S010</v>
      </c>
      <c r="Q632" s="6" t="str">
        <f>VLOOKUP(J632,'Store lookup'!A:C,3,0)</f>
        <v>Spotlight Maribyrnong</v>
      </c>
      <c r="R632" s="6" t="str">
        <f t="shared" si="9"/>
        <v>Spotlight</v>
      </c>
      <c r="S632" s="6" t="str">
        <f>VLOOKUP(I632,'FIN CAL LOOKUP'!A:J,7,1)</f>
        <v>AUG, FY24</v>
      </c>
      <c r="T632" s="6" t="str">
        <f>VLOOKUP(I632,'FIN CAL LOOKUP'!A:J,10,1)</f>
        <v>Q1, FY24</v>
      </c>
    </row>
    <row r="633" spans="1:20" hidden="1" x14ac:dyDescent="0.25">
      <c r="A633">
        <v>325839</v>
      </c>
      <c r="B633" t="s">
        <v>506</v>
      </c>
      <c r="C633" t="s">
        <v>507</v>
      </c>
      <c r="D633" t="s">
        <v>508</v>
      </c>
      <c r="E633" t="s">
        <v>264</v>
      </c>
      <c r="F633" t="s">
        <v>1036</v>
      </c>
      <c r="G633" t="s">
        <v>266</v>
      </c>
      <c r="H633" s="5">
        <v>44979</v>
      </c>
      <c r="I633" s="5">
        <v>45055</v>
      </c>
      <c r="J633" t="s">
        <v>1036</v>
      </c>
      <c r="K633" t="s">
        <v>268</v>
      </c>
      <c r="L633">
        <v>1</v>
      </c>
      <c r="M633" t="s">
        <v>1037</v>
      </c>
      <c r="N633" t="s">
        <v>237</v>
      </c>
      <c r="O633">
        <v>1</v>
      </c>
      <c r="P633" s="6" t="str">
        <f>VLOOKUP(J633,'Store lookup'!A:C,2,0)</f>
        <v>S006</v>
      </c>
      <c r="Q633" s="6" t="str">
        <f>VLOOKUP(J633,'Store lookup'!A:C,3,0)</f>
        <v>Spotlight Geelong</v>
      </c>
      <c r="R633" s="6" t="str">
        <f t="shared" si="9"/>
        <v>Spotlight</v>
      </c>
      <c r="S633" s="6" t="str">
        <f>VLOOKUP(I633,'FIN CAL LOOKUP'!A:J,7,1)</f>
        <v>MAY, FY23</v>
      </c>
      <c r="T633" s="6" t="str">
        <f>VLOOKUP(I633,'FIN CAL LOOKUP'!A:J,10,1)</f>
        <v>Q4, FY23</v>
      </c>
    </row>
    <row r="634" spans="1:20" hidden="1" x14ac:dyDescent="0.25">
      <c r="A634">
        <v>231954</v>
      </c>
      <c r="B634" t="s">
        <v>810</v>
      </c>
      <c r="C634" t="s">
        <v>811</v>
      </c>
      <c r="D634" t="s">
        <v>272</v>
      </c>
      <c r="E634" t="s">
        <v>264</v>
      </c>
      <c r="F634" t="s">
        <v>965</v>
      </c>
      <c r="G634" t="s">
        <v>266</v>
      </c>
      <c r="H634" s="5">
        <v>44979</v>
      </c>
      <c r="I634" s="5">
        <v>45021</v>
      </c>
      <c r="J634" t="s">
        <v>965</v>
      </c>
      <c r="K634" t="s">
        <v>268</v>
      </c>
      <c r="L634">
        <v>1</v>
      </c>
      <c r="M634" t="s">
        <v>338</v>
      </c>
      <c r="N634" t="s">
        <v>237</v>
      </c>
      <c r="O634">
        <v>1</v>
      </c>
      <c r="P634" s="6" t="str">
        <f>VLOOKUP(J634,'Store lookup'!A:C,2,0)</f>
        <v>S010</v>
      </c>
      <c r="Q634" s="6" t="str">
        <f>VLOOKUP(J634,'Store lookup'!A:C,3,0)</f>
        <v>Spotlight Maribyrnong</v>
      </c>
      <c r="R634" s="6" t="str">
        <f t="shared" si="9"/>
        <v>Spotlight</v>
      </c>
      <c r="S634" s="6" t="str">
        <f>VLOOKUP(I634,'FIN CAL LOOKUP'!A:J,7,1)</f>
        <v>APR, FY23</v>
      </c>
      <c r="T634" s="6" t="str">
        <f>VLOOKUP(I634,'FIN CAL LOOKUP'!A:J,10,1)</f>
        <v>Q4, FY23</v>
      </c>
    </row>
    <row r="635" spans="1:20" hidden="1" x14ac:dyDescent="0.25">
      <c r="A635">
        <v>318222</v>
      </c>
      <c r="B635" t="s">
        <v>623</v>
      </c>
      <c r="C635" t="s">
        <v>624</v>
      </c>
      <c r="D635" t="s">
        <v>272</v>
      </c>
      <c r="E635" t="s">
        <v>264</v>
      </c>
      <c r="F635" t="s">
        <v>935</v>
      </c>
      <c r="G635" t="s">
        <v>266</v>
      </c>
      <c r="H635" s="5">
        <v>44979</v>
      </c>
      <c r="I635" s="5">
        <v>45007</v>
      </c>
      <c r="J635" t="s">
        <v>935</v>
      </c>
      <c r="K635" t="s">
        <v>268</v>
      </c>
      <c r="L635">
        <v>1</v>
      </c>
      <c r="M635" t="s">
        <v>676</v>
      </c>
      <c r="N635" t="s">
        <v>237</v>
      </c>
      <c r="O635">
        <v>1</v>
      </c>
      <c r="P635" s="6" t="str">
        <f>VLOOKUP(J635,'Store lookup'!A:C,2,0)</f>
        <v>S027</v>
      </c>
      <c r="Q635" s="6" t="str">
        <f>VLOOKUP(J635,'Store lookup'!A:C,3,0)</f>
        <v>Spotlight South Melbourne</v>
      </c>
      <c r="R635" s="6" t="str">
        <f t="shared" si="9"/>
        <v>Spotlight</v>
      </c>
      <c r="S635" s="6" t="str">
        <f>VLOOKUP(I635,'FIN CAL LOOKUP'!A:J,7,1)</f>
        <v>MAR, FY23</v>
      </c>
      <c r="T635" s="6" t="str">
        <f>VLOOKUP(I635,'FIN CAL LOOKUP'!A:J,10,1)</f>
        <v>Q3, FY23</v>
      </c>
    </row>
    <row r="636" spans="1:20" hidden="1" x14ac:dyDescent="0.25">
      <c r="A636">
        <v>232262</v>
      </c>
      <c r="B636" t="s">
        <v>641</v>
      </c>
      <c r="C636" t="s">
        <v>1038</v>
      </c>
      <c r="D636" t="s">
        <v>284</v>
      </c>
      <c r="E636" t="s">
        <v>264</v>
      </c>
      <c r="F636" t="s">
        <v>924</v>
      </c>
      <c r="G636" t="s">
        <v>266</v>
      </c>
      <c r="H636" s="5">
        <v>44979</v>
      </c>
      <c r="I636" s="5">
        <v>44993</v>
      </c>
      <c r="J636" t="s">
        <v>925</v>
      </c>
      <c r="K636" t="s">
        <v>268</v>
      </c>
      <c r="L636">
        <v>2</v>
      </c>
      <c r="M636" t="s">
        <v>763</v>
      </c>
      <c r="N636" t="s">
        <v>237</v>
      </c>
      <c r="O636">
        <v>0</v>
      </c>
      <c r="P636" s="6" t="str">
        <f>VLOOKUP(J636,'Store lookup'!A:C,2,0)</f>
        <v>S114</v>
      </c>
      <c r="Q636" s="6" t="str">
        <f>VLOOKUP(J636,'Store lookup'!A:C,3,0)</f>
        <v>Spotlight Cranegie</v>
      </c>
      <c r="R636" s="6" t="str">
        <f t="shared" si="9"/>
        <v>Spotlight</v>
      </c>
      <c r="S636" s="6" t="str">
        <f>VLOOKUP(I636,'FIN CAL LOOKUP'!A:J,7,1)</f>
        <v>MAR, FY23</v>
      </c>
      <c r="T636" s="6" t="str">
        <f>VLOOKUP(I636,'FIN CAL LOOKUP'!A:J,10,1)</f>
        <v>Q3, FY23</v>
      </c>
    </row>
    <row r="637" spans="1:20" hidden="1" x14ac:dyDescent="0.25">
      <c r="A637">
        <v>300612</v>
      </c>
      <c r="B637" t="s">
        <v>1039</v>
      </c>
      <c r="C637" t="s">
        <v>1040</v>
      </c>
      <c r="D637" t="s">
        <v>263</v>
      </c>
      <c r="E637" t="s">
        <v>264</v>
      </c>
      <c r="F637" t="s">
        <v>924</v>
      </c>
      <c r="G637" t="s">
        <v>266</v>
      </c>
      <c r="H637" s="5">
        <v>44979</v>
      </c>
      <c r="I637" s="5">
        <v>44992</v>
      </c>
      <c r="J637" t="s">
        <v>925</v>
      </c>
      <c r="K637" t="s">
        <v>268</v>
      </c>
      <c r="L637">
        <v>1</v>
      </c>
      <c r="M637" t="s">
        <v>763</v>
      </c>
      <c r="N637" t="s">
        <v>237</v>
      </c>
      <c r="O637">
        <v>1</v>
      </c>
      <c r="P637" s="6" t="str">
        <f>VLOOKUP(J637,'Store lookup'!A:C,2,0)</f>
        <v>S114</v>
      </c>
      <c r="Q637" s="6" t="str">
        <f>VLOOKUP(J637,'Store lookup'!A:C,3,0)</f>
        <v>Spotlight Cranegie</v>
      </c>
      <c r="R637" s="6" t="str">
        <f t="shared" si="9"/>
        <v>Spotlight</v>
      </c>
      <c r="S637" s="6" t="str">
        <f>VLOOKUP(I637,'FIN CAL LOOKUP'!A:J,7,1)</f>
        <v>MAR, FY23</v>
      </c>
      <c r="T637" s="6" t="str">
        <f>VLOOKUP(I637,'FIN CAL LOOKUP'!A:J,10,1)</f>
        <v>Q3, FY23</v>
      </c>
    </row>
    <row r="638" spans="1:20" hidden="1" x14ac:dyDescent="0.25">
      <c r="A638">
        <v>205869</v>
      </c>
      <c r="B638" t="s">
        <v>1041</v>
      </c>
      <c r="C638" t="s">
        <v>561</v>
      </c>
      <c r="D638" t="s">
        <v>278</v>
      </c>
      <c r="E638" t="s">
        <v>264</v>
      </c>
      <c r="F638" t="s">
        <v>926</v>
      </c>
      <c r="G638" t="s">
        <v>266</v>
      </c>
      <c r="H638" s="5">
        <v>44979</v>
      </c>
      <c r="I638" s="5">
        <v>44986</v>
      </c>
      <c r="J638" t="s">
        <v>926</v>
      </c>
      <c r="K638" t="s">
        <v>268</v>
      </c>
      <c r="L638">
        <v>1</v>
      </c>
      <c r="M638" t="s">
        <v>360</v>
      </c>
      <c r="N638" t="s">
        <v>237</v>
      </c>
      <c r="O638">
        <v>1</v>
      </c>
      <c r="P638" s="6" t="str">
        <f>VLOOKUP(J638,'Store lookup'!A:C,2,0)</f>
        <v>S034</v>
      </c>
      <c r="Q638" s="6" t="str">
        <f>VLOOKUP(J638,'Store lookup'!A:C,3,0)</f>
        <v>Spotlight Hoppers Crossing</v>
      </c>
      <c r="R638" s="6" t="str">
        <f t="shared" si="9"/>
        <v>Spotlight</v>
      </c>
      <c r="S638" s="6" t="str">
        <f>VLOOKUP(I638,'FIN CAL LOOKUP'!A:J,7,1)</f>
        <v>MAR, FY23</v>
      </c>
      <c r="T638" s="6" t="str">
        <f>VLOOKUP(I638,'FIN CAL LOOKUP'!A:J,10,1)</f>
        <v>Q3, FY23</v>
      </c>
    </row>
    <row r="639" spans="1:20" hidden="1" x14ac:dyDescent="0.25">
      <c r="A639">
        <v>239766</v>
      </c>
      <c r="B639" t="s">
        <v>840</v>
      </c>
      <c r="C639" t="s">
        <v>884</v>
      </c>
      <c r="D639" t="s">
        <v>307</v>
      </c>
      <c r="E639" t="s">
        <v>264</v>
      </c>
      <c r="F639" t="s">
        <v>938</v>
      </c>
      <c r="G639" t="s">
        <v>266</v>
      </c>
      <c r="H639" s="5">
        <v>44978</v>
      </c>
      <c r="I639" s="5">
        <v>45267</v>
      </c>
      <c r="J639" t="s">
        <v>938</v>
      </c>
      <c r="K639" t="s">
        <v>268</v>
      </c>
      <c r="L639">
        <v>1</v>
      </c>
      <c r="M639" t="s">
        <v>281</v>
      </c>
      <c r="N639" t="s">
        <v>237</v>
      </c>
      <c r="O639">
        <v>1</v>
      </c>
      <c r="P639" s="6" t="str">
        <f>VLOOKUP(J639,'Store lookup'!A:C,2,0)</f>
        <v>S002</v>
      </c>
      <c r="Q639" s="6" t="str">
        <f>VLOOKUP(J639,'Store lookup'!A:C,3,0)</f>
        <v>Spotlight Box Hill</v>
      </c>
      <c r="R639" s="6" t="str">
        <f t="shared" si="9"/>
        <v>Spotlight</v>
      </c>
      <c r="S639" s="6" t="str">
        <f>VLOOKUP(I639,'FIN CAL LOOKUP'!A:J,7,1)</f>
        <v>DEC, FY24</v>
      </c>
      <c r="T639" s="6" t="str">
        <f>VLOOKUP(I639,'FIN CAL LOOKUP'!A:J,10,1)</f>
        <v>Q2, FY24</v>
      </c>
    </row>
    <row r="640" spans="1:20" hidden="1" x14ac:dyDescent="0.25">
      <c r="A640">
        <v>310753</v>
      </c>
      <c r="B640" t="s">
        <v>898</v>
      </c>
      <c r="C640" t="s">
        <v>899</v>
      </c>
      <c r="D640" t="s">
        <v>272</v>
      </c>
      <c r="E640" t="s">
        <v>264</v>
      </c>
      <c r="F640" t="s">
        <v>1042</v>
      </c>
      <c r="G640" t="s">
        <v>266</v>
      </c>
      <c r="H640" s="5">
        <v>44978</v>
      </c>
      <c r="I640" s="5">
        <v>45177</v>
      </c>
      <c r="J640" t="s">
        <v>1042</v>
      </c>
      <c r="K640" t="s">
        <v>268</v>
      </c>
      <c r="L640">
        <v>1</v>
      </c>
      <c r="N640" t="s">
        <v>237</v>
      </c>
      <c r="O640">
        <v>1</v>
      </c>
      <c r="P640" s="6" t="str">
        <f>VLOOKUP(J640,'Store lookup'!A:C,2,0)</f>
        <v>S161</v>
      </c>
      <c r="Q640" s="6" t="str">
        <f>VLOOKUP(J640,'Store lookup'!A:C,3,0)</f>
        <v>Spotlight Creative Carindale</v>
      </c>
      <c r="R640" s="6" t="str">
        <f t="shared" si="9"/>
        <v>Spotlight</v>
      </c>
      <c r="S640" s="6" t="str">
        <f>VLOOKUP(I640,'FIN CAL LOOKUP'!A:J,7,1)</f>
        <v>SEP, FY24</v>
      </c>
      <c r="T640" s="6" t="str">
        <f>VLOOKUP(I640,'FIN CAL LOOKUP'!A:J,10,1)</f>
        <v>Q1, FY24</v>
      </c>
    </row>
    <row r="641" spans="1:20" hidden="1" x14ac:dyDescent="0.25">
      <c r="A641">
        <v>325030</v>
      </c>
      <c r="B641" t="s">
        <v>483</v>
      </c>
      <c r="C641" t="s">
        <v>484</v>
      </c>
      <c r="D641" t="s">
        <v>307</v>
      </c>
      <c r="E641" t="s">
        <v>264</v>
      </c>
      <c r="F641" t="s">
        <v>936</v>
      </c>
      <c r="G641" t="s">
        <v>266</v>
      </c>
      <c r="H641" s="5">
        <v>44978</v>
      </c>
      <c r="I641" s="5">
        <v>45112</v>
      </c>
      <c r="J641" t="s">
        <v>937</v>
      </c>
      <c r="K641" t="s">
        <v>268</v>
      </c>
      <c r="L641">
        <v>1</v>
      </c>
      <c r="M641" t="s">
        <v>269</v>
      </c>
      <c r="N641" t="s">
        <v>237</v>
      </c>
      <c r="O641">
        <v>1</v>
      </c>
      <c r="P641" s="6" t="str">
        <f>VLOOKUP(J641,'Store lookup'!A:C,2,0)</f>
        <v>S014</v>
      </c>
      <c r="Q641" s="6" t="str">
        <f>VLOOKUP(J641,'Store lookup'!A:C,3,0)</f>
        <v>Spotlight Bayswater</v>
      </c>
      <c r="R641" s="6" t="str">
        <f t="shared" si="9"/>
        <v>Spotlight</v>
      </c>
      <c r="S641" s="6" t="str">
        <f>VLOOKUP(I641,'FIN CAL LOOKUP'!A:J,7,1)</f>
        <v>JUL, FY24</v>
      </c>
      <c r="T641" s="6" t="str">
        <f>VLOOKUP(I641,'FIN CAL LOOKUP'!A:J,10,1)</f>
        <v>Q1, FY24</v>
      </c>
    </row>
    <row r="642" spans="1:20" hidden="1" x14ac:dyDescent="0.25">
      <c r="A642">
        <v>323623</v>
      </c>
      <c r="B642" t="s">
        <v>939</v>
      </c>
      <c r="C642" t="s">
        <v>940</v>
      </c>
      <c r="D642" t="s">
        <v>307</v>
      </c>
      <c r="E642" t="s">
        <v>264</v>
      </c>
      <c r="F642" t="s">
        <v>938</v>
      </c>
      <c r="G642" t="s">
        <v>266</v>
      </c>
      <c r="H642" s="5">
        <v>44978</v>
      </c>
      <c r="I642" s="5">
        <v>45065</v>
      </c>
      <c r="J642" t="s">
        <v>938</v>
      </c>
      <c r="K642" t="s">
        <v>268</v>
      </c>
      <c r="L642">
        <v>2</v>
      </c>
      <c r="M642" t="s">
        <v>281</v>
      </c>
      <c r="N642" t="s">
        <v>237</v>
      </c>
      <c r="O642">
        <v>0</v>
      </c>
      <c r="P642" s="6" t="str">
        <f>VLOOKUP(J642,'Store lookup'!A:C,2,0)</f>
        <v>S002</v>
      </c>
      <c r="Q642" s="6" t="str">
        <f>VLOOKUP(J642,'Store lookup'!A:C,3,0)</f>
        <v>Spotlight Box Hill</v>
      </c>
      <c r="R642" s="6" t="str">
        <f t="shared" ref="R642:R672" si="10">IF(LEFT(Q642,1)="A","Ananconda",IF(LEFT(Q642,1)="H","Harris Scarfe",IF(LEFT(Q642,1)="S","Spotlight","Exempt")))</f>
        <v>Spotlight</v>
      </c>
      <c r="S642" s="6" t="str">
        <f>VLOOKUP(I642,'FIN CAL LOOKUP'!A:J,7,1)</f>
        <v>MAY, FY23</v>
      </c>
      <c r="T642" s="6" t="str">
        <f>VLOOKUP(I642,'FIN CAL LOOKUP'!A:J,10,1)</f>
        <v>Q4, FY23</v>
      </c>
    </row>
    <row r="643" spans="1:20" hidden="1" x14ac:dyDescent="0.25">
      <c r="A643">
        <v>323017</v>
      </c>
      <c r="B643" t="s">
        <v>795</v>
      </c>
      <c r="C643" t="s">
        <v>796</v>
      </c>
      <c r="D643" t="s">
        <v>278</v>
      </c>
      <c r="E643" t="s">
        <v>264</v>
      </c>
      <c r="F643" t="s">
        <v>949</v>
      </c>
      <c r="G643" t="s">
        <v>266</v>
      </c>
      <c r="H643" s="5">
        <v>44978</v>
      </c>
      <c r="I643" s="5">
        <v>45064</v>
      </c>
      <c r="J643" t="s">
        <v>949</v>
      </c>
      <c r="K643" t="s">
        <v>268</v>
      </c>
      <c r="L643">
        <v>1</v>
      </c>
      <c r="M643" t="s">
        <v>950</v>
      </c>
      <c r="N643" t="s">
        <v>237</v>
      </c>
      <c r="O643">
        <v>1</v>
      </c>
      <c r="P643" s="6" t="str">
        <f>VLOOKUP(J643,'Store lookup'!A:C,2,0)</f>
        <v>S098</v>
      </c>
      <c r="Q643" s="6" t="str">
        <f>VLOOKUP(J643,'Store lookup'!A:C,3,0)</f>
        <v>Spotlight Burnside</v>
      </c>
      <c r="R643" s="6" t="str">
        <f t="shared" si="10"/>
        <v>Spotlight</v>
      </c>
      <c r="S643" s="6" t="str">
        <f>VLOOKUP(I643,'FIN CAL LOOKUP'!A:J,7,1)</f>
        <v>MAY, FY23</v>
      </c>
      <c r="T643" s="6" t="str">
        <f>VLOOKUP(I643,'FIN CAL LOOKUP'!A:J,10,1)</f>
        <v>Q4, FY23</v>
      </c>
    </row>
    <row r="644" spans="1:20" hidden="1" x14ac:dyDescent="0.25">
      <c r="A644">
        <v>231624</v>
      </c>
      <c r="B644" t="s">
        <v>559</v>
      </c>
      <c r="C644" t="s">
        <v>560</v>
      </c>
      <c r="D644" t="s">
        <v>278</v>
      </c>
      <c r="E644" t="s">
        <v>264</v>
      </c>
      <c r="F644" t="s">
        <v>935</v>
      </c>
      <c r="G644" t="s">
        <v>266</v>
      </c>
      <c r="H644" s="5">
        <v>44978</v>
      </c>
      <c r="I644" s="5">
        <v>45057</v>
      </c>
      <c r="J644" t="s">
        <v>935</v>
      </c>
      <c r="K644" t="s">
        <v>268</v>
      </c>
      <c r="L644">
        <v>1</v>
      </c>
      <c r="M644" t="s">
        <v>676</v>
      </c>
      <c r="N644" t="s">
        <v>237</v>
      </c>
      <c r="O644">
        <v>1</v>
      </c>
      <c r="P644" s="6" t="str">
        <f>VLOOKUP(J644,'Store lookup'!A:C,2,0)</f>
        <v>S027</v>
      </c>
      <c r="Q644" s="6" t="str">
        <f>VLOOKUP(J644,'Store lookup'!A:C,3,0)</f>
        <v>Spotlight South Melbourne</v>
      </c>
      <c r="R644" s="6" t="str">
        <f t="shared" si="10"/>
        <v>Spotlight</v>
      </c>
      <c r="S644" s="6" t="str">
        <f>VLOOKUP(I644,'FIN CAL LOOKUP'!A:J,7,1)</f>
        <v>MAY, FY23</v>
      </c>
      <c r="T644" s="6" t="str">
        <f>VLOOKUP(I644,'FIN CAL LOOKUP'!A:J,10,1)</f>
        <v>Q4, FY23</v>
      </c>
    </row>
    <row r="645" spans="1:20" hidden="1" x14ac:dyDescent="0.25">
      <c r="A645">
        <v>323325</v>
      </c>
      <c r="B645" t="s">
        <v>545</v>
      </c>
      <c r="C645" t="s">
        <v>546</v>
      </c>
      <c r="D645" t="s">
        <v>272</v>
      </c>
      <c r="E645" t="s">
        <v>264</v>
      </c>
      <c r="F645" t="s">
        <v>1005</v>
      </c>
      <c r="G645" t="s">
        <v>266</v>
      </c>
      <c r="H645" s="5">
        <v>44978</v>
      </c>
      <c r="I645" s="5">
        <v>45050</v>
      </c>
      <c r="J645" t="s">
        <v>1005</v>
      </c>
      <c r="K645" t="s">
        <v>268</v>
      </c>
      <c r="L645">
        <v>1</v>
      </c>
      <c r="M645" t="s">
        <v>1006</v>
      </c>
      <c r="N645" t="s">
        <v>237</v>
      </c>
      <c r="O645">
        <v>1</v>
      </c>
      <c r="P645" s="6" t="str">
        <f>VLOOKUP(J645,'Store lookup'!A:C,2,0)</f>
        <v>S004</v>
      </c>
      <c r="Q645" s="6" t="str">
        <f>VLOOKUP(J645,'Store lookup'!A:C,3,0)</f>
        <v>Spotlight Mentone</v>
      </c>
      <c r="R645" s="6" t="str">
        <f t="shared" si="10"/>
        <v>Spotlight</v>
      </c>
      <c r="S645" s="6" t="str">
        <f>VLOOKUP(I645,'FIN CAL LOOKUP'!A:J,7,1)</f>
        <v>MAY, FY23</v>
      </c>
      <c r="T645" s="6" t="str">
        <f>VLOOKUP(I645,'FIN CAL LOOKUP'!A:J,10,1)</f>
        <v>Q4, FY23</v>
      </c>
    </row>
    <row r="646" spans="1:20" hidden="1" x14ac:dyDescent="0.25">
      <c r="A646">
        <v>314741</v>
      </c>
      <c r="B646" t="s">
        <v>349</v>
      </c>
      <c r="C646" t="s">
        <v>986</v>
      </c>
      <c r="D646" t="s">
        <v>278</v>
      </c>
      <c r="E646" t="s">
        <v>264</v>
      </c>
      <c r="F646" t="s">
        <v>924</v>
      </c>
      <c r="G646" t="s">
        <v>266</v>
      </c>
      <c r="H646" s="5">
        <v>44978</v>
      </c>
      <c r="I646" s="5">
        <v>45042</v>
      </c>
      <c r="J646" t="s">
        <v>925</v>
      </c>
      <c r="K646" t="s">
        <v>268</v>
      </c>
      <c r="L646">
        <v>1</v>
      </c>
      <c r="M646" t="s">
        <v>763</v>
      </c>
      <c r="N646" t="s">
        <v>237</v>
      </c>
      <c r="O646">
        <v>1</v>
      </c>
      <c r="P646" s="6" t="str">
        <f>VLOOKUP(J646,'Store lookup'!A:C,2,0)</f>
        <v>S114</v>
      </c>
      <c r="Q646" s="6" t="str">
        <f>VLOOKUP(J646,'Store lookup'!A:C,3,0)</f>
        <v>Spotlight Cranegie</v>
      </c>
      <c r="R646" s="6" t="str">
        <f t="shared" si="10"/>
        <v>Spotlight</v>
      </c>
      <c r="S646" s="6" t="str">
        <f>VLOOKUP(I646,'FIN CAL LOOKUP'!A:J,7,1)</f>
        <v>MAY, FY23</v>
      </c>
      <c r="T646" s="6" t="str">
        <f>VLOOKUP(I646,'FIN CAL LOOKUP'!A:J,10,1)</f>
        <v>Q4, FY23</v>
      </c>
    </row>
    <row r="647" spans="1:20" hidden="1" x14ac:dyDescent="0.25">
      <c r="A647">
        <v>324480</v>
      </c>
      <c r="B647" t="s">
        <v>1043</v>
      </c>
      <c r="C647" t="s">
        <v>1044</v>
      </c>
      <c r="D647" t="s">
        <v>278</v>
      </c>
      <c r="E647" t="s">
        <v>264</v>
      </c>
      <c r="F647" t="s">
        <v>935</v>
      </c>
      <c r="G647" t="s">
        <v>266</v>
      </c>
      <c r="H647" s="5">
        <v>44978</v>
      </c>
      <c r="I647" s="5">
        <v>45036</v>
      </c>
      <c r="J647" t="s">
        <v>935</v>
      </c>
      <c r="K647" t="s">
        <v>268</v>
      </c>
      <c r="L647">
        <v>1</v>
      </c>
      <c r="M647" t="s">
        <v>676</v>
      </c>
      <c r="N647" t="s">
        <v>237</v>
      </c>
      <c r="O647">
        <v>1</v>
      </c>
      <c r="P647" s="6" t="str">
        <f>VLOOKUP(J647,'Store lookup'!A:C,2,0)</f>
        <v>S027</v>
      </c>
      <c r="Q647" s="6" t="str">
        <f>VLOOKUP(J647,'Store lookup'!A:C,3,0)</f>
        <v>Spotlight South Melbourne</v>
      </c>
      <c r="R647" s="6" t="str">
        <f t="shared" si="10"/>
        <v>Spotlight</v>
      </c>
      <c r="S647" s="6" t="str">
        <f>VLOOKUP(I647,'FIN CAL LOOKUP'!A:J,7,1)</f>
        <v>APR, FY23</v>
      </c>
      <c r="T647" s="6" t="str">
        <f>VLOOKUP(I647,'FIN CAL LOOKUP'!A:J,10,1)</f>
        <v>Q4, FY23</v>
      </c>
    </row>
    <row r="648" spans="1:20" hidden="1" x14ac:dyDescent="0.25">
      <c r="A648">
        <v>317967</v>
      </c>
      <c r="B648" t="s">
        <v>821</v>
      </c>
      <c r="C648" t="s">
        <v>822</v>
      </c>
      <c r="D648" t="s">
        <v>272</v>
      </c>
      <c r="E648" t="s">
        <v>264</v>
      </c>
      <c r="F648" t="s">
        <v>965</v>
      </c>
      <c r="G648" t="s">
        <v>266</v>
      </c>
      <c r="H648" s="5">
        <v>44978</v>
      </c>
      <c r="I648" s="5">
        <v>45035</v>
      </c>
      <c r="J648" t="s">
        <v>965</v>
      </c>
      <c r="K648" t="s">
        <v>268</v>
      </c>
      <c r="L648">
        <v>1</v>
      </c>
      <c r="M648" t="s">
        <v>338</v>
      </c>
      <c r="N648" t="s">
        <v>237</v>
      </c>
      <c r="O648">
        <v>1</v>
      </c>
      <c r="P648" s="6" t="str">
        <f>VLOOKUP(J648,'Store lookup'!A:C,2,0)</f>
        <v>S010</v>
      </c>
      <c r="Q648" s="6" t="str">
        <f>VLOOKUP(J648,'Store lookup'!A:C,3,0)</f>
        <v>Spotlight Maribyrnong</v>
      </c>
      <c r="R648" s="6" t="str">
        <f t="shared" si="10"/>
        <v>Spotlight</v>
      </c>
      <c r="S648" s="6" t="str">
        <f>VLOOKUP(I648,'FIN CAL LOOKUP'!A:J,7,1)</f>
        <v>APR, FY23</v>
      </c>
      <c r="T648" s="6" t="str">
        <f>VLOOKUP(I648,'FIN CAL LOOKUP'!A:J,10,1)</f>
        <v>Q4, FY23</v>
      </c>
    </row>
    <row r="649" spans="1:20" hidden="1" x14ac:dyDescent="0.25">
      <c r="A649">
        <v>231788</v>
      </c>
      <c r="B649" t="s">
        <v>1045</v>
      </c>
      <c r="C649" t="s">
        <v>1046</v>
      </c>
      <c r="D649" t="s">
        <v>284</v>
      </c>
      <c r="E649" t="s">
        <v>264</v>
      </c>
      <c r="F649" t="s">
        <v>1047</v>
      </c>
      <c r="G649" t="s">
        <v>266</v>
      </c>
      <c r="H649" s="5">
        <v>44978</v>
      </c>
      <c r="I649" s="5">
        <v>45030</v>
      </c>
      <c r="J649" t="s">
        <v>1048</v>
      </c>
      <c r="K649" t="s">
        <v>268</v>
      </c>
      <c r="L649">
        <v>1</v>
      </c>
      <c r="M649" t="s">
        <v>620</v>
      </c>
      <c r="N649" t="s">
        <v>237</v>
      </c>
      <c r="O649">
        <v>1</v>
      </c>
      <c r="P649" s="6" t="str">
        <f>VLOOKUP(J649,'Store lookup'!A:C,2,0)</f>
        <v>S110</v>
      </c>
      <c r="Q649" s="6" t="str">
        <f>VLOOKUP(J649,'Store lookup'!A:C,3,0)</f>
        <v>Spotlight Frankston</v>
      </c>
      <c r="R649" s="6" t="str">
        <f t="shared" si="10"/>
        <v>Spotlight</v>
      </c>
      <c r="S649" s="6" t="str">
        <f>VLOOKUP(I649,'FIN CAL LOOKUP'!A:J,7,1)</f>
        <v>APR, FY23</v>
      </c>
      <c r="T649" s="6" t="str">
        <f>VLOOKUP(I649,'FIN CAL LOOKUP'!A:J,10,1)</f>
        <v>Q4, FY23</v>
      </c>
    </row>
    <row r="650" spans="1:20" hidden="1" x14ac:dyDescent="0.25">
      <c r="A650">
        <v>326563</v>
      </c>
      <c r="B650" t="s">
        <v>476</v>
      </c>
      <c r="C650" t="s">
        <v>477</v>
      </c>
      <c r="D650" t="s">
        <v>278</v>
      </c>
      <c r="E650" t="s">
        <v>264</v>
      </c>
      <c r="F650" t="s">
        <v>991</v>
      </c>
      <c r="G650" t="s">
        <v>266</v>
      </c>
      <c r="H650" s="5">
        <v>44978</v>
      </c>
      <c r="I650" s="5">
        <v>45030</v>
      </c>
      <c r="J650" t="s">
        <v>991</v>
      </c>
      <c r="K650" t="s">
        <v>268</v>
      </c>
      <c r="L650">
        <v>1</v>
      </c>
      <c r="M650" t="s">
        <v>304</v>
      </c>
      <c r="N650" t="s">
        <v>237</v>
      </c>
      <c r="O650">
        <v>1</v>
      </c>
      <c r="P650" s="6" t="str">
        <f>VLOOKUP(J650,'Store lookup'!A:C,2,0)</f>
        <v>S120</v>
      </c>
      <c r="Q650" s="6" t="str">
        <f>VLOOKUP(J650,'Store lookup'!A:C,3,0)</f>
        <v>Spotlight Preston</v>
      </c>
      <c r="R650" s="6" t="str">
        <f t="shared" si="10"/>
        <v>Spotlight</v>
      </c>
      <c r="S650" s="6" t="str">
        <f>VLOOKUP(I650,'FIN CAL LOOKUP'!A:J,7,1)</f>
        <v>APR, FY23</v>
      </c>
      <c r="T650" s="6" t="str">
        <f>VLOOKUP(I650,'FIN CAL LOOKUP'!A:J,10,1)</f>
        <v>Q4, FY23</v>
      </c>
    </row>
    <row r="651" spans="1:20" hidden="1" x14ac:dyDescent="0.25">
      <c r="A651">
        <v>239383</v>
      </c>
      <c r="B651" t="s">
        <v>904</v>
      </c>
      <c r="C651" t="s">
        <v>905</v>
      </c>
      <c r="D651" t="s">
        <v>284</v>
      </c>
      <c r="E651" t="s">
        <v>264</v>
      </c>
      <c r="F651" t="s">
        <v>924</v>
      </c>
      <c r="G651" t="s">
        <v>266</v>
      </c>
      <c r="H651" s="5">
        <v>44978</v>
      </c>
      <c r="I651" s="5">
        <v>45013</v>
      </c>
      <c r="J651" t="s">
        <v>925</v>
      </c>
      <c r="K651" t="s">
        <v>268</v>
      </c>
      <c r="L651">
        <v>1</v>
      </c>
      <c r="M651" t="s">
        <v>763</v>
      </c>
      <c r="N651" t="s">
        <v>237</v>
      </c>
      <c r="O651">
        <v>1</v>
      </c>
      <c r="P651" s="6" t="str">
        <f>VLOOKUP(J651,'Store lookup'!A:C,2,0)</f>
        <v>S114</v>
      </c>
      <c r="Q651" s="6" t="str">
        <f>VLOOKUP(J651,'Store lookup'!A:C,3,0)</f>
        <v>Spotlight Cranegie</v>
      </c>
      <c r="R651" s="6" t="str">
        <f t="shared" si="10"/>
        <v>Spotlight</v>
      </c>
      <c r="S651" s="6" t="str">
        <f>VLOOKUP(I651,'FIN CAL LOOKUP'!A:J,7,1)</f>
        <v>APR, FY23</v>
      </c>
      <c r="T651" s="6" t="str">
        <f>VLOOKUP(I651,'FIN CAL LOOKUP'!A:J,10,1)</f>
        <v>Q4, FY23</v>
      </c>
    </row>
    <row r="652" spans="1:20" hidden="1" x14ac:dyDescent="0.25">
      <c r="A652">
        <v>323732</v>
      </c>
      <c r="B652" t="s">
        <v>853</v>
      </c>
      <c r="C652" t="s">
        <v>854</v>
      </c>
      <c r="D652" t="s">
        <v>272</v>
      </c>
      <c r="E652" t="s">
        <v>264</v>
      </c>
      <c r="F652" t="s">
        <v>931</v>
      </c>
      <c r="G652" t="s">
        <v>266</v>
      </c>
      <c r="H652" s="5">
        <v>44978</v>
      </c>
      <c r="I652" s="5">
        <v>45013</v>
      </c>
      <c r="J652" t="s">
        <v>931</v>
      </c>
      <c r="K652" t="s">
        <v>268</v>
      </c>
      <c r="L652">
        <v>1</v>
      </c>
      <c r="M652" t="s">
        <v>932</v>
      </c>
      <c r="N652" t="s">
        <v>237</v>
      </c>
      <c r="O652">
        <v>1</v>
      </c>
      <c r="P652" s="6" t="str">
        <f>VLOOKUP(J652,'Store lookup'!A:C,2,0)</f>
        <v>S008</v>
      </c>
      <c r="Q652" s="6" t="str">
        <f>VLOOKUP(J652,'Store lookup'!A:C,3,0)</f>
        <v>Spotlight Essendon</v>
      </c>
      <c r="R652" s="6" t="str">
        <f t="shared" si="10"/>
        <v>Spotlight</v>
      </c>
      <c r="S652" s="6" t="str">
        <f>VLOOKUP(I652,'FIN CAL LOOKUP'!A:J,7,1)</f>
        <v>APR, FY23</v>
      </c>
      <c r="T652" s="6" t="str">
        <f>VLOOKUP(I652,'FIN CAL LOOKUP'!A:J,10,1)</f>
        <v>Q4, FY23</v>
      </c>
    </row>
    <row r="653" spans="1:20" hidden="1" x14ac:dyDescent="0.25">
      <c r="A653">
        <v>314449</v>
      </c>
      <c r="B653" t="s">
        <v>552</v>
      </c>
      <c r="C653" t="s">
        <v>553</v>
      </c>
      <c r="D653" t="s">
        <v>278</v>
      </c>
      <c r="E653" t="s">
        <v>264</v>
      </c>
      <c r="F653" t="s">
        <v>981</v>
      </c>
      <c r="G653" t="s">
        <v>266</v>
      </c>
      <c r="H653" s="5">
        <v>44978</v>
      </c>
      <c r="I653" s="5">
        <v>45000</v>
      </c>
      <c r="J653" t="s">
        <v>981</v>
      </c>
      <c r="K653" t="s">
        <v>268</v>
      </c>
      <c r="L653">
        <v>1</v>
      </c>
      <c r="M653" t="s">
        <v>982</v>
      </c>
      <c r="N653" t="s">
        <v>237</v>
      </c>
      <c r="O653">
        <v>1</v>
      </c>
      <c r="P653" s="6" t="str">
        <f>VLOOKUP(J653,'Store lookup'!A:C,2,0)</f>
        <v>S113</v>
      </c>
      <c r="Q653" s="6" t="str">
        <f>VLOOKUP(J653,'Store lookup'!A:C,3,0)</f>
        <v>Spotlight South Morang</v>
      </c>
      <c r="R653" s="6" t="str">
        <f t="shared" si="10"/>
        <v>Spotlight</v>
      </c>
      <c r="S653" s="6" t="str">
        <f>VLOOKUP(I653,'FIN CAL LOOKUP'!A:J,7,1)</f>
        <v>MAR, FY23</v>
      </c>
      <c r="T653" s="6" t="str">
        <f>VLOOKUP(I653,'FIN CAL LOOKUP'!A:J,10,1)</f>
        <v>Q3, FY23</v>
      </c>
    </row>
    <row r="654" spans="1:20" hidden="1" x14ac:dyDescent="0.25">
      <c r="A654">
        <v>314295</v>
      </c>
      <c r="B654" t="s">
        <v>815</v>
      </c>
      <c r="C654" t="s">
        <v>816</v>
      </c>
      <c r="D654" t="s">
        <v>307</v>
      </c>
      <c r="E654" t="s">
        <v>264</v>
      </c>
      <c r="F654" t="s">
        <v>919</v>
      </c>
      <c r="G654" t="s">
        <v>266</v>
      </c>
      <c r="H654" s="5">
        <v>44978</v>
      </c>
      <c r="I654" s="5">
        <v>44995</v>
      </c>
      <c r="J654" t="s">
        <v>919</v>
      </c>
      <c r="K654" t="s">
        <v>268</v>
      </c>
      <c r="L654">
        <v>1</v>
      </c>
      <c r="M654" t="s">
        <v>355</v>
      </c>
      <c r="N654" t="s">
        <v>237</v>
      </c>
      <c r="O654">
        <v>1</v>
      </c>
      <c r="P654" s="6" t="str">
        <f>VLOOKUP(J654,'Store lookup'!A:C,2,0)</f>
        <v>S070</v>
      </c>
      <c r="Q654" s="6" t="str">
        <f>VLOOKUP(J654,'Store lookup'!A:C,3,0)</f>
        <v>Spotlight Fountain Gate</v>
      </c>
      <c r="R654" s="6" t="str">
        <f t="shared" si="10"/>
        <v>Spotlight</v>
      </c>
      <c r="S654" s="6" t="str">
        <f>VLOOKUP(I654,'FIN CAL LOOKUP'!A:J,7,1)</f>
        <v>MAR, FY23</v>
      </c>
      <c r="T654" s="6" t="str">
        <f>VLOOKUP(I654,'FIN CAL LOOKUP'!A:J,10,1)</f>
        <v>Q3, FY23</v>
      </c>
    </row>
    <row r="655" spans="1:20" hidden="1" x14ac:dyDescent="0.25">
      <c r="A655">
        <v>326713</v>
      </c>
      <c r="B655" t="s">
        <v>557</v>
      </c>
      <c r="C655" t="s">
        <v>558</v>
      </c>
      <c r="D655" t="s">
        <v>272</v>
      </c>
      <c r="E655" t="s">
        <v>264</v>
      </c>
      <c r="F655" t="s">
        <v>931</v>
      </c>
      <c r="G655" t="s">
        <v>266</v>
      </c>
      <c r="H655" s="5">
        <v>44978</v>
      </c>
      <c r="I655" s="5">
        <v>44995</v>
      </c>
      <c r="J655" t="s">
        <v>931</v>
      </c>
      <c r="K655" t="s">
        <v>268</v>
      </c>
      <c r="L655">
        <v>1</v>
      </c>
      <c r="M655" t="s">
        <v>932</v>
      </c>
      <c r="N655" t="s">
        <v>237</v>
      </c>
      <c r="O655">
        <v>1</v>
      </c>
      <c r="P655" s="6" t="str">
        <f>VLOOKUP(J655,'Store lookup'!A:C,2,0)</f>
        <v>S008</v>
      </c>
      <c r="Q655" s="6" t="str">
        <f>VLOOKUP(J655,'Store lookup'!A:C,3,0)</f>
        <v>Spotlight Essendon</v>
      </c>
      <c r="R655" s="6" t="str">
        <f t="shared" si="10"/>
        <v>Spotlight</v>
      </c>
      <c r="S655" s="6" t="str">
        <f>VLOOKUP(I655,'FIN CAL LOOKUP'!A:J,7,1)</f>
        <v>MAR, FY23</v>
      </c>
      <c r="T655" s="6" t="str">
        <f>VLOOKUP(I655,'FIN CAL LOOKUP'!A:J,10,1)</f>
        <v>Q3, FY23</v>
      </c>
    </row>
    <row r="656" spans="1:20" hidden="1" x14ac:dyDescent="0.25">
      <c r="A656">
        <v>208633</v>
      </c>
      <c r="B656" t="s">
        <v>1049</v>
      </c>
      <c r="C656" t="s">
        <v>1050</v>
      </c>
      <c r="D656" t="s">
        <v>542</v>
      </c>
      <c r="E656" t="s">
        <v>264</v>
      </c>
      <c r="F656" t="s">
        <v>931</v>
      </c>
      <c r="G656" t="s">
        <v>266</v>
      </c>
      <c r="H656" s="5">
        <v>44978</v>
      </c>
      <c r="I656" s="5">
        <v>44986</v>
      </c>
      <c r="J656" t="s">
        <v>931</v>
      </c>
      <c r="K656" t="s">
        <v>268</v>
      </c>
      <c r="L656">
        <v>1</v>
      </c>
      <c r="M656" t="s">
        <v>932</v>
      </c>
      <c r="N656" t="s">
        <v>237</v>
      </c>
      <c r="O656">
        <v>1</v>
      </c>
      <c r="P656" s="6" t="str">
        <f>VLOOKUP(J656,'Store lookup'!A:C,2,0)</f>
        <v>S008</v>
      </c>
      <c r="Q656" s="6" t="str">
        <f>VLOOKUP(J656,'Store lookup'!A:C,3,0)</f>
        <v>Spotlight Essendon</v>
      </c>
      <c r="R656" s="6" t="str">
        <f t="shared" si="10"/>
        <v>Spotlight</v>
      </c>
      <c r="S656" s="6" t="str">
        <f>VLOOKUP(I656,'FIN CAL LOOKUP'!A:J,7,1)</f>
        <v>MAR, FY23</v>
      </c>
      <c r="T656" s="6" t="str">
        <f>VLOOKUP(I656,'FIN CAL LOOKUP'!A:J,10,1)</f>
        <v>Q3, FY23</v>
      </c>
    </row>
    <row r="657" spans="1:20" hidden="1" x14ac:dyDescent="0.25">
      <c r="A657">
        <v>228551</v>
      </c>
      <c r="B657" t="s">
        <v>532</v>
      </c>
      <c r="C657" t="s">
        <v>533</v>
      </c>
      <c r="D657" t="s">
        <v>284</v>
      </c>
      <c r="E657" t="s">
        <v>264</v>
      </c>
      <c r="F657" t="s">
        <v>938</v>
      </c>
      <c r="G657" t="s">
        <v>266</v>
      </c>
      <c r="H657" s="5">
        <v>44978</v>
      </c>
      <c r="I657" s="5">
        <v>44986</v>
      </c>
      <c r="J657" t="s">
        <v>938</v>
      </c>
      <c r="K657" t="s">
        <v>268</v>
      </c>
      <c r="L657">
        <v>1</v>
      </c>
      <c r="M657" t="s">
        <v>281</v>
      </c>
      <c r="N657" t="s">
        <v>237</v>
      </c>
      <c r="O657">
        <v>1</v>
      </c>
      <c r="P657" s="6" t="str">
        <f>VLOOKUP(J657,'Store lookup'!A:C,2,0)</f>
        <v>S002</v>
      </c>
      <c r="Q657" s="6" t="str">
        <f>VLOOKUP(J657,'Store lookup'!A:C,3,0)</f>
        <v>Spotlight Box Hill</v>
      </c>
      <c r="R657" s="6" t="str">
        <f t="shared" si="10"/>
        <v>Spotlight</v>
      </c>
      <c r="S657" s="6" t="str">
        <f>VLOOKUP(I657,'FIN CAL LOOKUP'!A:J,7,1)</f>
        <v>MAR, FY23</v>
      </c>
      <c r="T657" s="6" t="str">
        <f>VLOOKUP(I657,'FIN CAL LOOKUP'!A:J,10,1)</f>
        <v>Q3, FY23</v>
      </c>
    </row>
    <row r="658" spans="1:20" hidden="1" x14ac:dyDescent="0.25">
      <c r="A658">
        <v>232850</v>
      </c>
      <c r="B658" t="s">
        <v>552</v>
      </c>
      <c r="C658" t="s">
        <v>742</v>
      </c>
      <c r="D658" t="s">
        <v>263</v>
      </c>
      <c r="E658" t="s">
        <v>264</v>
      </c>
      <c r="F658" t="s">
        <v>935</v>
      </c>
      <c r="G658" t="s">
        <v>266</v>
      </c>
      <c r="H658" s="5">
        <v>44978</v>
      </c>
      <c r="I658" s="5">
        <v>44986</v>
      </c>
      <c r="J658" t="s">
        <v>935</v>
      </c>
      <c r="K658" t="s">
        <v>268</v>
      </c>
      <c r="L658">
        <v>2</v>
      </c>
      <c r="M658" t="s">
        <v>676</v>
      </c>
      <c r="N658" t="s">
        <v>237</v>
      </c>
      <c r="O658">
        <v>0</v>
      </c>
      <c r="P658" s="6" t="str">
        <f>VLOOKUP(J658,'Store lookup'!A:C,2,0)</f>
        <v>S027</v>
      </c>
      <c r="Q658" s="6" t="str">
        <f>VLOOKUP(J658,'Store lookup'!A:C,3,0)</f>
        <v>Spotlight South Melbourne</v>
      </c>
      <c r="R658" s="6" t="str">
        <f t="shared" si="10"/>
        <v>Spotlight</v>
      </c>
      <c r="S658" s="6" t="str">
        <f>VLOOKUP(I658,'FIN CAL LOOKUP'!A:J,7,1)</f>
        <v>MAR, FY23</v>
      </c>
      <c r="T658" s="6" t="str">
        <f>VLOOKUP(I658,'FIN CAL LOOKUP'!A:J,10,1)</f>
        <v>Q3, FY23</v>
      </c>
    </row>
    <row r="659" spans="1:20" hidden="1" x14ac:dyDescent="0.25">
      <c r="A659">
        <v>238720</v>
      </c>
      <c r="B659" t="s">
        <v>743</v>
      </c>
      <c r="C659" t="s">
        <v>744</v>
      </c>
      <c r="D659" t="s">
        <v>263</v>
      </c>
      <c r="E659" t="s">
        <v>264</v>
      </c>
      <c r="F659" t="s">
        <v>935</v>
      </c>
      <c r="G659" t="s">
        <v>266</v>
      </c>
      <c r="H659" s="5">
        <v>44978</v>
      </c>
      <c r="I659" s="5">
        <v>44986</v>
      </c>
      <c r="J659" t="s">
        <v>935</v>
      </c>
      <c r="K659" t="s">
        <v>268</v>
      </c>
      <c r="L659">
        <v>2</v>
      </c>
      <c r="M659" t="s">
        <v>676</v>
      </c>
      <c r="N659" t="s">
        <v>237</v>
      </c>
      <c r="O659">
        <v>0</v>
      </c>
      <c r="P659" s="6" t="str">
        <f>VLOOKUP(J659,'Store lookup'!A:C,2,0)</f>
        <v>S027</v>
      </c>
      <c r="Q659" s="6" t="str">
        <f>VLOOKUP(J659,'Store lookup'!A:C,3,0)</f>
        <v>Spotlight South Melbourne</v>
      </c>
      <c r="R659" s="6" t="str">
        <f t="shared" si="10"/>
        <v>Spotlight</v>
      </c>
      <c r="S659" s="6" t="str">
        <f>VLOOKUP(I659,'FIN CAL LOOKUP'!A:J,7,1)</f>
        <v>MAR, FY23</v>
      </c>
      <c r="T659" s="6" t="str">
        <f>VLOOKUP(I659,'FIN CAL LOOKUP'!A:J,10,1)</f>
        <v>Q3, FY23</v>
      </c>
    </row>
    <row r="660" spans="1:20" hidden="1" x14ac:dyDescent="0.25">
      <c r="A660">
        <v>314473</v>
      </c>
      <c r="B660" t="s">
        <v>647</v>
      </c>
      <c r="C660" t="s">
        <v>648</v>
      </c>
      <c r="D660" t="s">
        <v>307</v>
      </c>
      <c r="E660" t="s">
        <v>264</v>
      </c>
      <c r="F660" t="s">
        <v>936</v>
      </c>
      <c r="G660" t="s">
        <v>266</v>
      </c>
      <c r="H660" s="5">
        <v>44977</v>
      </c>
      <c r="I660" s="5">
        <v>45050</v>
      </c>
      <c r="J660" t="s">
        <v>937</v>
      </c>
      <c r="K660" t="s">
        <v>268</v>
      </c>
      <c r="L660">
        <v>1</v>
      </c>
      <c r="M660" t="s">
        <v>269</v>
      </c>
      <c r="N660" t="s">
        <v>237</v>
      </c>
      <c r="O660">
        <v>1</v>
      </c>
      <c r="P660" s="6" t="str">
        <f>VLOOKUP(J660,'Store lookup'!A:C,2,0)</f>
        <v>S014</v>
      </c>
      <c r="Q660" s="6" t="str">
        <f>VLOOKUP(J660,'Store lookup'!A:C,3,0)</f>
        <v>Spotlight Bayswater</v>
      </c>
      <c r="R660" s="6" t="str">
        <f t="shared" si="10"/>
        <v>Spotlight</v>
      </c>
      <c r="S660" s="6" t="str">
        <f>VLOOKUP(I660,'FIN CAL LOOKUP'!A:J,7,1)</f>
        <v>MAY, FY23</v>
      </c>
      <c r="T660" s="6" t="str">
        <f>VLOOKUP(I660,'FIN CAL LOOKUP'!A:J,10,1)</f>
        <v>Q4, FY23</v>
      </c>
    </row>
    <row r="661" spans="1:20" hidden="1" x14ac:dyDescent="0.25">
      <c r="A661">
        <v>317309</v>
      </c>
      <c r="B661" t="s">
        <v>657</v>
      </c>
      <c r="C661" t="s">
        <v>778</v>
      </c>
      <c r="D661" t="s">
        <v>278</v>
      </c>
      <c r="E661" t="s">
        <v>264</v>
      </c>
      <c r="F661" t="s">
        <v>1051</v>
      </c>
      <c r="G661" t="s">
        <v>266</v>
      </c>
      <c r="H661" s="5">
        <v>44977</v>
      </c>
      <c r="I661" s="5">
        <v>44988</v>
      </c>
      <c r="J661" t="s">
        <v>1051</v>
      </c>
      <c r="K661" t="s">
        <v>268</v>
      </c>
      <c r="L661">
        <v>1</v>
      </c>
      <c r="M661" t="s">
        <v>1052</v>
      </c>
      <c r="N661" t="s">
        <v>237</v>
      </c>
      <c r="O661">
        <v>1</v>
      </c>
      <c r="P661" s="6" t="str">
        <f>VLOOKUP(J661,'Store lookup'!A:C,2,0)</f>
        <v>S029</v>
      </c>
      <c r="Q661" s="6" t="str">
        <f>VLOOKUP(J661,'Store lookup'!A:C,3,0)</f>
        <v>Spotlight Shepparton</v>
      </c>
      <c r="R661" s="6" t="str">
        <f t="shared" si="10"/>
        <v>Spotlight</v>
      </c>
      <c r="S661" s="6" t="str">
        <f>VLOOKUP(I661,'FIN CAL LOOKUP'!A:J,7,1)</f>
        <v>MAR, FY23</v>
      </c>
      <c r="T661" s="6" t="str">
        <f>VLOOKUP(I661,'FIN CAL LOOKUP'!A:J,10,1)</f>
        <v>Q3, FY23</v>
      </c>
    </row>
    <row r="662" spans="1:20" hidden="1" x14ac:dyDescent="0.25">
      <c r="A662">
        <v>222309</v>
      </c>
      <c r="B662" t="s">
        <v>655</v>
      </c>
      <c r="C662" t="s">
        <v>656</v>
      </c>
      <c r="D662" t="s">
        <v>263</v>
      </c>
      <c r="E662" t="s">
        <v>264</v>
      </c>
      <c r="F662" t="s">
        <v>981</v>
      </c>
      <c r="G662" t="s">
        <v>266</v>
      </c>
      <c r="H662" s="5">
        <v>44974</v>
      </c>
      <c r="I662" s="5">
        <v>45119</v>
      </c>
      <c r="J662" t="s">
        <v>981</v>
      </c>
      <c r="K662" t="s">
        <v>268</v>
      </c>
      <c r="L662">
        <v>1</v>
      </c>
      <c r="M662" t="s">
        <v>982</v>
      </c>
      <c r="N662" t="s">
        <v>237</v>
      </c>
      <c r="O662">
        <v>1</v>
      </c>
      <c r="P662" s="6" t="str">
        <f>VLOOKUP(J662,'Store lookup'!A:C,2,0)</f>
        <v>S113</v>
      </c>
      <c r="Q662" s="6" t="str">
        <f>VLOOKUP(J662,'Store lookup'!A:C,3,0)</f>
        <v>Spotlight South Morang</v>
      </c>
      <c r="R662" s="6" t="str">
        <f t="shared" si="10"/>
        <v>Spotlight</v>
      </c>
      <c r="S662" s="6" t="str">
        <f>VLOOKUP(I662,'FIN CAL LOOKUP'!A:J,7,1)</f>
        <v>JUL, FY24</v>
      </c>
      <c r="T662" s="6" t="str">
        <f>VLOOKUP(I662,'FIN CAL LOOKUP'!A:J,10,1)</f>
        <v>Q1, FY24</v>
      </c>
    </row>
    <row r="663" spans="1:20" hidden="1" x14ac:dyDescent="0.25">
      <c r="A663">
        <v>325608</v>
      </c>
      <c r="B663" t="s">
        <v>730</v>
      </c>
      <c r="C663" t="s">
        <v>731</v>
      </c>
      <c r="D663" t="s">
        <v>263</v>
      </c>
      <c r="E663" t="s">
        <v>264</v>
      </c>
      <c r="F663" t="s">
        <v>924</v>
      </c>
      <c r="G663" t="s">
        <v>266</v>
      </c>
      <c r="H663" s="5">
        <v>44974</v>
      </c>
      <c r="I663" s="5">
        <v>44993</v>
      </c>
      <c r="J663" t="s">
        <v>925</v>
      </c>
      <c r="K663" t="s">
        <v>268</v>
      </c>
      <c r="L663">
        <v>2</v>
      </c>
      <c r="M663" t="s">
        <v>763</v>
      </c>
      <c r="N663" t="s">
        <v>237</v>
      </c>
      <c r="O663">
        <v>0</v>
      </c>
      <c r="P663" s="6" t="str">
        <f>VLOOKUP(J663,'Store lookup'!A:C,2,0)</f>
        <v>S114</v>
      </c>
      <c r="Q663" s="6" t="str">
        <f>VLOOKUP(J663,'Store lookup'!A:C,3,0)</f>
        <v>Spotlight Cranegie</v>
      </c>
      <c r="R663" s="6" t="str">
        <f t="shared" si="10"/>
        <v>Spotlight</v>
      </c>
      <c r="S663" s="6" t="str">
        <f>VLOOKUP(I663,'FIN CAL LOOKUP'!A:J,7,1)</f>
        <v>MAR, FY23</v>
      </c>
      <c r="T663" s="6" t="str">
        <f>VLOOKUP(I663,'FIN CAL LOOKUP'!A:J,10,1)</f>
        <v>Q3, FY23</v>
      </c>
    </row>
    <row r="664" spans="1:20" hidden="1" x14ac:dyDescent="0.25">
      <c r="A664">
        <v>229776</v>
      </c>
      <c r="B664" t="s">
        <v>555</v>
      </c>
      <c r="C664" t="s">
        <v>556</v>
      </c>
      <c r="D664" t="s">
        <v>278</v>
      </c>
      <c r="E664" t="s">
        <v>264</v>
      </c>
      <c r="F664" t="s">
        <v>936</v>
      </c>
      <c r="G664" t="s">
        <v>266</v>
      </c>
      <c r="H664" s="5">
        <v>44974</v>
      </c>
      <c r="I664" s="5">
        <v>44987</v>
      </c>
      <c r="J664" t="s">
        <v>937</v>
      </c>
      <c r="K664" t="s">
        <v>268</v>
      </c>
      <c r="L664">
        <v>1</v>
      </c>
      <c r="M664" t="s">
        <v>269</v>
      </c>
      <c r="N664" t="s">
        <v>237</v>
      </c>
      <c r="O664">
        <v>1</v>
      </c>
      <c r="P664" s="6" t="str">
        <f>VLOOKUP(J664,'Store lookup'!A:C,2,0)</f>
        <v>S014</v>
      </c>
      <c r="Q664" s="6" t="str">
        <f>VLOOKUP(J664,'Store lookup'!A:C,3,0)</f>
        <v>Spotlight Bayswater</v>
      </c>
      <c r="R664" s="6" t="str">
        <f t="shared" si="10"/>
        <v>Spotlight</v>
      </c>
      <c r="S664" s="6" t="str">
        <f>VLOOKUP(I664,'FIN CAL LOOKUP'!A:J,7,1)</f>
        <v>MAR, FY23</v>
      </c>
      <c r="T664" s="6" t="str">
        <f>VLOOKUP(I664,'FIN CAL LOOKUP'!A:J,10,1)</f>
        <v>Q3, FY23</v>
      </c>
    </row>
    <row r="665" spans="1:20" hidden="1" x14ac:dyDescent="0.25">
      <c r="A665">
        <v>297893</v>
      </c>
      <c r="B665" t="s">
        <v>469</v>
      </c>
      <c r="C665" t="s">
        <v>470</v>
      </c>
      <c r="D665" t="s">
        <v>307</v>
      </c>
      <c r="E665" t="s">
        <v>264</v>
      </c>
      <c r="F665" t="s">
        <v>929</v>
      </c>
      <c r="G665" t="s">
        <v>266</v>
      </c>
      <c r="H665" s="5">
        <v>44965</v>
      </c>
      <c r="I665" s="5">
        <v>44994</v>
      </c>
      <c r="J665" t="s">
        <v>929</v>
      </c>
      <c r="K665" t="s">
        <v>268</v>
      </c>
      <c r="L665">
        <v>1</v>
      </c>
      <c r="M665" t="s">
        <v>930</v>
      </c>
      <c r="N665" t="s">
        <v>237</v>
      </c>
      <c r="O665">
        <v>1</v>
      </c>
      <c r="P665" s="6" t="str">
        <f>VLOOKUP(J665,'Store lookup'!A:C,2,0)</f>
        <v>S011</v>
      </c>
      <c r="Q665" s="6" t="str">
        <f>VLOOKUP(J665,'Store lookup'!A:C,3,0)</f>
        <v>Spotlight Launceston</v>
      </c>
      <c r="R665" s="6" t="str">
        <f t="shared" si="10"/>
        <v>Spotlight</v>
      </c>
      <c r="S665" s="6" t="str">
        <f>VLOOKUP(I665,'FIN CAL LOOKUP'!A:J,7,1)</f>
        <v>MAR, FY23</v>
      </c>
      <c r="T665" s="6" t="str">
        <f>VLOOKUP(I665,'FIN CAL LOOKUP'!A:J,10,1)</f>
        <v>Q3, FY23</v>
      </c>
    </row>
    <row r="666" spans="1:20" hidden="1" x14ac:dyDescent="0.25">
      <c r="A666">
        <v>326683</v>
      </c>
      <c r="B666" t="s">
        <v>959</v>
      </c>
      <c r="C666" t="s">
        <v>960</v>
      </c>
      <c r="D666" t="s">
        <v>272</v>
      </c>
      <c r="E666" t="s">
        <v>264</v>
      </c>
      <c r="F666" t="s">
        <v>920</v>
      </c>
      <c r="G666" t="s">
        <v>266</v>
      </c>
      <c r="H666" s="5">
        <v>44953</v>
      </c>
      <c r="I666" s="5">
        <v>44972</v>
      </c>
      <c r="J666" t="s">
        <v>920</v>
      </c>
      <c r="K666" t="s">
        <v>268</v>
      </c>
      <c r="L666">
        <v>1</v>
      </c>
      <c r="M666" t="s">
        <v>921</v>
      </c>
      <c r="N666" t="s">
        <v>237</v>
      </c>
      <c r="O666">
        <v>1</v>
      </c>
      <c r="P666" s="6" t="str">
        <f>VLOOKUP(J666,'Store lookup'!A:C,2,0)</f>
        <v>S145</v>
      </c>
      <c r="Q666" s="6" t="str">
        <f>VLOOKUP(J666,'Store lookup'!A:C,3,0)</f>
        <v>Spotlight Roxburgh Park</v>
      </c>
      <c r="R666" s="6" t="str">
        <f t="shared" si="10"/>
        <v>Spotlight</v>
      </c>
      <c r="S666" s="6" t="str">
        <f>VLOOKUP(I666,'FIN CAL LOOKUP'!A:J,7,1)</f>
        <v>FEB, FY23</v>
      </c>
      <c r="T666" s="6" t="str">
        <f>VLOOKUP(I666,'FIN CAL LOOKUP'!A:J,10,1)</f>
        <v>Q3, FY23</v>
      </c>
    </row>
    <row r="667" spans="1:20" hidden="1" x14ac:dyDescent="0.25">
      <c r="A667">
        <v>327036</v>
      </c>
      <c r="B667" t="s">
        <v>397</v>
      </c>
      <c r="C667" t="s">
        <v>398</v>
      </c>
      <c r="D667" t="s">
        <v>278</v>
      </c>
      <c r="E667" t="s">
        <v>264</v>
      </c>
      <c r="F667" t="s">
        <v>957</v>
      </c>
      <c r="G667" t="s">
        <v>266</v>
      </c>
      <c r="H667" s="5">
        <v>44944</v>
      </c>
      <c r="I667" s="5">
        <v>45000</v>
      </c>
      <c r="J667" t="s">
        <v>957</v>
      </c>
      <c r="K667" t="s">
        <v>268</v>
      </c>
      <c r="L667">
        <v>1</v>
      </c>
      <c r="M667" t="s">
        <v>958</v>
      </c>
      <c r="N667" t="s">
        <v>237</v>
      </c>
      <c r="O667">
        <v>1</v>
      </c>
      <c r="P667" s="6" t="str">
        <f>VLOOKUP(J667,'Store lookup'!A:C,2,0)</f>
        <v>S005</v>
      </c>
      <c r="Q667" s="6" t="str">
        <f>VLOOKUP(J667,'Store lookup'!A:C,3,0)</f>
        <v>Spotlight Sandown</v>
      </c>
      <c r="R667" s="6" t="str">
        <f t="shared" si="10"/>
        <v>Spotlight</v>
      </c>
      <c r="S667" s="6" t="str">
        <f>VLOOKUP(I667,'FIN CAL LOOKUP'!A:J,7,1)</f>
        <v>MAR, FY23</v>
      </c>
      <c r="T667" s="6" t="str">
        <f>VLOOKUP(I667,'FIN CAL LOOKUP'!A:J,10,1)</f>
        <v>Q3, FY23</v>
      </c>
    </row>
    <row r="668" spans="1:20" hidden="1" x14ac:dyDescent="0.25">
      <c r="A668">
        <v>324005</v>
      </c>
      <c r="B668" t="s">
        <v>367</v>
      </c>
      <c r="C668" t="s">
        <v>529</v>
      </c>
      <c r="D668" t="s">
        <v>307</v>
      </c>
      <c r="E668" t="s">
        <v>264</v>
      </c>
      <c r="F668" t="s">
        <v>935</v>
      </c>
      <c r="G668" t="s">
        <v>266</v>
      </c>
      <c r="H668" s="5">
        <v>44944</v>
      </c>
      <c r="I668" s="5">
        <v>44999</v>
      </c>
      <c r="J668" t="s">
        <v>935</v>
      </c>
      <c r="K668" t="s">
        <v>268</v>
      </c>
      <c r="L668">
        <v>1</v>
      </c>
      <c r="M668" t="s">
        <v>676</v>
      </c>
      <c r="N668" t="s">
        <v>237</v>
      </c>
      <c r="O668">
        <v>1</v>
      </c>
      <c r="P668" s="6" t="str">
        <f>VLOOKUP(J668,'Store lookup'!A:C,2,0)</f>
        <v>S027</v>
      </c>
      <c r="Q668" s="6" t="str">
        <f>VLOOKUP(J668,'Store lookup'!A:C,3,0)</f>
        <v>Spotlight South Melbourne</v>
      </c>
      <c r="R668" s="6" t="str">
        <f t="shared" si="10"/>
        <v>Spotlight</v>
      </c>
      <c r="S668" s="6" t="str">
        <f>VLOOKUP(I668,'FIN CAL LOOKUP'!A:J,7,1)</f>
        <v>MAR, FY23</v>
      </c>
      <c r="T668" s="6" t="str">
        <f>VLOOKUP(I668,'FIN CAL LOOKUP'!A:J,10,1)</f>
        <v>Q3, FY23</v>
      </c>
    </row>
    <row r="669" spans="1:20" hidden="1" x14ac:dyDescent="0.25">
      <c r="A669">
        <v>321483</v>
      </c>
      <c r="B669" t="s">
        <v>951</v>
      </c>
      <c r="C669" t="s">
        <v>952</v>
      </c>
      <c r="D669" t="s">
        <v>307</v>
      </c>
      <c r="E669" t="s">
        <v>264</v>
      </c>
      <c r="F669" t="s">
        <v>935</v>
      </c>
      <c r="G669" t="s">
        <v>266</v>
      </c>
      <c r="H669" s="5">
        <v>44944</v>
      </c>
      <c r="I669" s="5">
        <v>44995</v>
      </c>
      <c r="J669" t="s">
        <v>935</v>
      </c>
      <c r="K669" t="s">
        <v>268</v>
      </c>
      <c r="L669">
        <v>1</v>
      </c>
      <c r="M669" t="s">
        <v>676</v>
      </c>
      <c r="N669" t="s">
        <v>237</v>
      </c>
      <c r="O669">
        <v>1</v>
      </c>
      <c r="P669" s="6" t="str">
        <f>VLOOKUP(J669,'Store lookup'!A:C,2,0)</f>
        <v>S027</v>
      </c>
      <c r="Q669" s="6" t="str">
        <f>VLOOKUP(J669,'Store lookup'!A:C,3,0)</f>
        <v>Spotlight South Melbourne</v>
      </c>
      <c r="R669" s="6" t="str">
        <f t="shared" si="10"/>
        <v>Spotlight</v>
      </c>
      <c r="S669" s="6" t="str">
        <f>VLOOKUP(I669,'FIN CAL LOOKUP'!A:J,7,1)</f>
        <v>MAR, FY23</v>
      </c>
      <c r="T669" s="6" t="str">
        <f>VLOOKUP(I669,'FIN CAL LOOKUP'!A:J,10,1)</f>
        <v>Q3, FY23</v>
      </c>
    </row>
    <row r="670" spans="1:20" hidden="1" x14ac:dyDescent="0.25">
      <c r="A670">
        <v>230701</v>
      </c>
      <c r="B670" t="s">
        <v>823</v>
      </c>
      <c r="C670" t="s">
        <v>824</v>
      </c>
      <c r="D670" t="s">
        <v>278</v>
      </c>
      <c r="E670" t="s">
        <v>264</v>
      </c>
      <c r="F670" t="s">
        <v>926</v>
      </c>
      <c r="G670" t="s">
        <v>266</v>
      </c>
      <c r="H670" s="5">
        <v>44935</v>
      </c>
      <c r="I670" s="5">
        <v>44958</v>
      </c>
      <c r="J670" t="s">
        <v>926</v>
      </c>
      <c r="K670" t="s">
        <v>268</v>
      </c>
      <c r="L670">
        <v>1</v>
      </c>
      <c r="M670" t="s">
        <v>360</v>
      </c>
      <c r="N670" t="s">
        <v>237</v>
      </c>
      <c r="O670">
        <v>1</v>
      </c>
      <c r="P670" s="6" t="str">
        <f>VLOOKUP(J670,'Store lookup'!A:C,2,0)</f>
        <v>S034</v>
      </c>
      <c r="Q670" s="6" t="str">
        <f>VLOOKUP(J670,'Store lookup'!A:C,3,0)</f>
        <v>Spotlight Hoppers Crossing</v>
      </c>
      <c r="R670" s="6" t="str">
        <f t="shared" si="10"/>
        <v>Spotlight</v>
      </c>
      <c r="S670" s="6" t="str">
        <f>VLOOKUP(I670,'FIN CAL LOOKUP'!A:J,7,1)</f>
        <v>FEB, FY23</v>
      </c>
      <c r="T670" s="6" t="str">
        <f>VLOOKUP(I670,'FIN CAL LOOKUP'!A:J,10,1)</f>
        <v>Q3, FY23</v>
      </c>
    </row>
    <row r="671" spans="1:20" hidden="1" x14ac:dyDescent="0.25">
      <c r="A671">
        <v>325420</v>
      </c>
      <c r="B671" t="s">
        <v>530</v>
      </c>
      <c r="C671" t="s">
        <v>531</v>
      </c>
      <c r="D671" t="s">
        <v>278</v>
      </c>
      <c r="E671" t="s">
        <v>264</v>
      </c>
      <c r="F671" t="s">
        <v>957</v>
      </c>
      <c r="G671" t="s">
        <v>266</v>
      </c>
      <c r="H671" s="5">
        <v>44880</v>
      </c>
      <c r="I671" s="5">
        <v>44939</v>
      </c>
      <c r="J671" t="s">
        <v>957</v>
      </c>
      <c r="K671" t="s">
        <v>268</v>
      </c>
      <c r="L671">
        <v>1</v>
      </c>
      <c r="M671" t="s">
        <v>958</v>
      </c>
      <c r="N671" t="s">
        <v>237</v>
      </c>
      <c r="O671">
        <v>1</v>
      </c>
      <c r="P671" s="6" t="str">
        <f>VLOOKUP(J671,'Store lookup'!A:C,2,0)</f>
        <v>S005</v>
      </c>
      <c r="Q671" s="6" t="str">
        <f>VLOOKUP(J671,'Store lookup'!A:C,3,0)</f>
        <v>Spotlight Sandown</v>
      </c>
      <c r="R671" s="6" t="str">
        <f t="shared" si="10"/>
        <v>Spotlight</v>
      </c>
      <c r="S671" s="6" t="str">
        <f>VLOOKUP(I671,'FIN CAL LOOKUP'!A:J,7,1)</f>
        <v>JAN, FY23</v>
      </c>
      <c r="T671" s="6" t="str">
        <f>VLOOKUP(I671,'FIN CAL LOOKUP'!A:J,10,1)</f>
        <v>Q3, FY23</v>
      </c>
    </row>
    <row r="672" spans="1:20" hidden="1" x14ac:dyDescent="0.25">
      <c r="A672">
        <v>316728</v>
      </c>
      <c r="B672" t="s">
        <v>845</v>
      </c>
      <c r="C672" t="s">
        <v>846</v>
      </c>
      <c r="D672" t="s">
        <v>272</v>
      </c>
      <c r="E672" t="s">
        <v>264</v>
      </c>
      <c r="F672" t="s">
        <v>938</v>
      </c>
      <c r="G672" t="s">
        <v>266</v>
      </c>
      <c r="H672" s="5">
        <v>44873</v>
      </c>
      <c r="I672" s="5">
        <v>44951</v>
      </c>
      <c r="J672" t="s">
        <v>938</v>
      </c>
      <c r="K672" t="s">
        <v>268</v>
      </c>
      <c r="L672">
        <v>1</v>
      </c>
      <c r="M672" t="s">
        <v>281</v>
      </c>
      <c r="N672" t="s">
        <v>237</v>
      </c>
      <c r="O672">
        <v>1</v>
      </c>
      <c r="P672" s="6" t="str">
        <f>VLOOKUP(J672,'Store lookup'!A:C,2,0)</f>
        <v>S002</v>
      </c>
      <c r="Q672" s="6" t="str">
        <f>VLOOKUP(J672,'Store lookup'!A:C,3,0)</f>
        <v>Spotlight Box Hill</v>
      </c>
      <c r="R672" s="6" t="str">
        <f t="shared" si="10"/>
        <v>Spotlight</v>
      </c>
      <c r="S672" s="6" t="str">
        <f>VLOOKUP(I672,'FIN CAL LOOKUP'!A:J,7,1)</f>
        <v>FEB, FY23</v>
      </c>
      <c r="T672" s="6" t="str">
        <f>VLOOKUP(I672,'FIN CAL LOOKUP'!A:J,10,1)</f>
        <v>Q3, FY23</v>
      </c>
    </row>
  </sheetData>
  <autoFilter ref="A1:T672" xr:uid="{00000000-0001-0000-0000-000000000000}">
    <filterColumn colId="7">
      <filters>
        <dateGroupItem year="2025" dateTimeGrouping="year"/>
        <dateGroupItem year="2024" dateTimeGrouping="year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98BB-832E-49D8-9816-172D606B7B93}">
  <sheetPr>
    <tabColor rgb="FF00B050"/>
  </sheetPr>
  <dimension ref="A1:C114"/>
  <sheetViews>
    <sheetView topLeftCell="A43" workbookViewId="0">
      <selection activeCell="C67" sqref="C67"/>
    </sheetView>
  </sheetViews>
  <sheetFormatPr defaultRowHeight="15" x14ac:dyDescent="0.25"/>
  <cols>
    <col min="1" max="1" width="44.28515625" customWidth="1"/>
    <col min="2" max="2" width="15.28515625" style="4" customWidth="1"/>
    <col min="3" max="3" width="33.140625" customWidth="1"/>
  </cols>
  <sheetData>
    <row r="1" spans="1:3" x14ac:dyDescent="0.25">
      <c r="A1" t="s">
        <v>1053</v>
      </c>
      <c r="B1" s="4" t="s">
        <v>4</v>
      </c>
      <c r="C1" t="s">
        <v>1054</v>
      </c>
    </row>
    <row r="2" spans="1:3" x14ac:dyDescent="0.25">
      <c r="A2" t="s">
        <v>421</v>
      </c>
      <c r="B2" s="4" t="s">
        <v>9</v>
      </c>
      <c r="C2" t="s">
        <v>10</v>
      </c>
    </row>
    <row r="3" spans="1:3" x14ac:dyDescent="0.25">
      <c r="A3" t="s">
        <v>594</v>
      </c>
      <c r="B3" s="4" t="s">
        <v>11</v>
      </c>
      <c r="C3" t="s">
        <v>12</v>
      </c>
    </row>
    <row r="4" spans="1:3" x14ac:dyDescent="0.25">
      <c r="A4" t="s">
        <v>291</v>
      </c>
      <c r="B4" s="4" t="s">
        <v>13</v>
      </c>
      <c r="C4" t="s">
        <v>14</v>
      </c>
    </row>
    <row r="5" spans="1:3" x14ac:dyDescent="0.25">
      <c r="A5" t="s">
        <v>267</v>
      </c>
      <c r="B5" s="4" t="s">
        <v>15</v>
      </c>
      <c r="C5" t="s">
        <v>16</v>
      </c>
    </row>
    <row r="6" spans="1:3" x14ac:dyDescent="0.25">
      <c r="A6" t="s">
        <v>329</v>
      </c>
      <c r="B6" s="4" t="s">
        <v>17</v>
      </c>
      <c r="C6" t="s">
        <v>18</v>
      </c>
    </row>
    <row r="7" spans="1:3" x14ac:dyDescent="0.25">
      <c r="A7" t="s">
        <v>280</v>
      </c>
      <c r="B7" s="4" t="s">
        <v>19</v>
      </c>
      <c r="C7" t="s">
        <v>20</v>
      </c>
    </row>
    <row r="8" spans="1:3" x14ac:dyDescent="0.25">
      <c r="A8" t="s">
        <v>1055</v>
      </c>
      <c r="B8" s="4" t="s">
        <v>21</v>
      </c>
      <c r="C8" t="s">
        <v>22</v>
      </c>
    </row>
    <row r="9" spans="1:3" x14ac:dyDescent="0.25">
      <c r="A9" t="s">
        <v>660</v>
      </c>
      <c r="B9" s="4" t="s">
        <v>23</v>
      </c>
      <c r="C9" t="s">
        <v>24</v>
      </c>
    </row>
    <row r="10" spans="1:3" x14ac:dyDescent="0.25">
      <c r="A10" t="s">
        <v>1056</v>
      </c>
      <c r="B10" s="4" t="s">
        <v>25</v>
      </c>
      <c r="C10" t="s">
        <v>26</v>
      </c>
    </row>
    <row r="11" spans="1:3" x14ac:dyDescent="0.25">
      <c r="A11" t="s">
        <v>1057</v>
      </c>
      <c r="B11" s="4" t="s">
        <v>27</v>
      </c>
      <c r="C11" t="s">
        <v>28</v>
      </c>
    </row>
    <row r="12" spans="1:3" x14ac:dyDescent="0.25">
      <c r="A12" t="s">
        <v>317</v>
      </c>
      <c r="B12" s="4" t="s">
        <v>29</v>
      </c>
      <c r="C12" t="s">
        <v>30</v>
      </c>
    </row>
    <row r="13" spans="1:3" x14ac:dyDescent="0.25">
      <c r="A13" t="s">
        <v>364</v>
      </c>
      <c r="B13" s="4" t="s">
        <v>31</v>
      </c>
      <c r="C13" t="s">
        <v>32</v>
      </c>
    </row>
    <row r="14" spans="1:3" x14ac:dyDescent="0.25">
      <c r="A14" t="s">
        <v>619</v>
      </c>
      <c r="B14" s="4" t="s">
        <v>33</v>
      </c>
      <c r="C14" t="s">
        <v>34</v>
      </c>
    </row>
    <row r="15" spans="1:3" x14ac:dyDescent="0.25">
      <c r="A15" t="s">
        <v>384</v>
      </c>
      <c r="B15" s="4" t="s">
        <v>35</v>
      </c>
      <c r="C15" t="s">
        <v>36</v>
      </c>
    </row>
    <row r="16" spans="1:3" x14ac:dyDescent="0.25">
      <c r="A16" t="s">
        <v>371</v>
      </c>
      <c r="B16" s="4" t="s">
        <v>37</v>
      </c>
      <c r="C16" t="s">
        <v>38</v>
      </c>
    </row>
    <row r="17" spans="1:3" x14ac:dyDescent="0.25">
      <c r="A17" t="s">
        <v>309</v>
      </c>
      <c r="B17" s="4" t="s">
        <v>39</v>
      </c>
      <c r="C17" t="s">
        <v>40</v>
      </c>
    </row>
    <row r="18" spans="1:3" x14ac:dyDescent="0.25">
      <c r="A18" t="s">
        <v>298</v>
      </c>
      <c r="B18" s="4" t="s">
        <v>41</v>
      </c>
      <c r="C18" t="s">
        <v>42</v>
      </c>
    </row>
    <row r="19" spans="1:3" x14ac:dyDescent="0.25">
      <c r="A19" t="s">
        <v>359</v>
      </c>
      <c r="B19" s="4" t="s">
        <v>43</v>
      </c>
      <c r="C19" t="s">
        <v>44</v>
      </c>
    </row>
    <row r="20" spans="1:3" x14ac:dyDescent="0.25">
      <c r="A20" t="s">
        <v>1058</v>
      </c>
      <c r="B20" s="4" t="s">
        <v>45</v>
      </c>
      <c r="C20" t="s">
        <v>46</v>
      </c>
    </row>
    <row r="21" spans="1:3" x14ac:dyDescent="0.25">
      <c r="A21" t="s">
        <v>471</v>
      </c>
      <c r="B21" s="4" t="s">
        <v>47</v>
      </c>
      <c r="C21" t="s">
        <v>48</v>
      </c>
    </row>
    <row r="22" spans="1:3" x14ac:dyDescent="0.25">
      <c r="A22" t="s">
        <v>337</v>
      </c>
      <c r="B22" s="4" t="s">
        <v>49</v>
      </c>
      <c r="C22" t="s">
        <v>50</v>
      </c>
    </row>
    <row r="23" spans="1:3" x14ac:dyDescent="0.25">
      <c r="A23" t="s">
        <v>1059</v>
      </c>
      <c r="B23" s="4" t="s">
        <v>51</v>
      </c>
      <c r="C23" t="s">
        <v>52</v>
      </c>
    </row>
    <row r="24" spans="1:3" x14ac:dyDescent="0.25">
      <c r="A24" t="s">
        <v>54</v>
      </c>
      <c r="B24" s="4" t="s">
        <v>53</v>
      </c>
      <c r="C24" t="s">
        <v>54</v>
      </c>
    </row>
    <row r="25" spans="1:3" x14ac:dyDescent="0.25">
      <c r="A25" t="s">
        <v>369</v>
      </c>
      <c r="B25" s="4" t="s">
        <v>55</v>
      </c>
      <c r="C25" t="s">
        <v>56</v>
      </c>
    </row>
    <row r="26" spans="1:3" x14ac:dyDescent="0.25">
      <c r="A26" t="s">
        <v>354</v>
      </c>
      <c r="B26" s="4" t="s">
        <v>57</v>
      </c>
      <c r="C26" t="s">
        <v>58</v>
      </c>
    </row>
    <row r="27" spans="1:3" x14ac:dyDescent="0.25">
      <c r="A27" t="s">
        <v>404</v>
      </c>
      <c r="B27" s="4" t="s">
        <v>59</v>
      </c>
      <c r="C27" t="s">
        <v>60</v>
      </c>
    </row>
    <row r="28" spans="1:3" x14ac:dyDescent="0.25">
      <c r="A28" t="s">
        <v>576</v>
      </c>
      <c r="B28" s="4" t="s">
        <v>61</v>
      </c>
      <c r="C28" t="s">
        <v>62</v>
      </c>
    </row>
    <row r="29" spans="1:3" x14ac:dyDescent="0.25">
      <c r="A29" t="s">
        <v>303</v>
      </c>
      <c r="B29" s="4" t="s">
        <v>63</v>
      </c>
      <c r="C29" t="s">
        <v>64</v>
      </c>
    </row>
    <row r="30" spans="1:3" x14ac:dyDescent="0.25">
      <c r="A30" t="s">
        <v>1060</v>
      </c>
      <c r="B30" s="4" t="s">
        <v>65</v>
      </c>
      <c r="C30" t="s">
        <v>66</v>
      </c>
    </row>
    <row r="31" spans="1:3" x14ac:dyDescent="0.25">
      <c r="A31" t="s">
        <v>274</v>
      </c>
      <c r="B31" s="4" t="s">
        <v>67</v>
      </c>
      <c r="C31" t="s">
        <v>68</v>
      </c>
    </row>
    <row r="32" spans="1:3" x14ac:dyDescent="0.25">
      <c r="A32" t="s">
        <v>1061</v>
      </c>
      <c r="B32" s="4" t="s">
        <v>69</v>
      </c>
      <c r="C32" t="s">
        <v>70</v>
      </c>
    </row>
    <row r="33" spans="1:3" x14ac:dyDescent="0.25">
      <c r="A33" t="s">
        <v>1062</v>
      </c>
      <c r="B33" s="4" t="s">
        <v>71</v>
      </c>
      <c r="C33" t="s">
        <v>72</v>
      </c>
    </row>
    <row r="34" spans="1:3" x14ac:dyDescent="0.25">
      <c r="A34" t="s">
        <v>286</v>
      </c>
      <c r="B34" s="4" t="s">
        <v>73</v>
      </c>
      <c r="C34" t="s">
        <v>74</v>
      </c>
    </row>
    <row r="35" spans="1:3" x14ac:dyDescent="0.25">
      <c r="A35" t="s">
        <v>675</v>
      </c>
      <c r="B35" s="4" t="s">
        <v>1063</v>
      </c>
      <c r="C35" t="s">
        <v>1063</v>
      </c>
    </row>
    <row r="36" spans="1:3" x14ac:dyDescent="0.25">
      <c r="A36" t="s">
        <v>712</v>
      </c>
      <c r="B36" s="4" t="s">
        <v>1063</v>
      </c>
      <c r="C36" t="s">
        <v>1063</v>
      </c>
    </row>
    <row r="37" spans="1:3" x14ac:dyDescent="0.25">
      <c r="A37" t="s">
        <v>670</v>
      </c>
      <c r="B37" s="4" t="s">
        <v>1063</v>
      </c>
      <c r="C37" t="s">
        <v>1063</v>
      </c>
    </row>
    <row r="38" spans="1:3" x14ac:dyDescent="0.25">
      <c r="A38" t="s">
        <v>750</v>
      </c>
      <c r="B38" t="s">
        <v>78</v>
      </c>
      <c r="C38" t="s">
        <v>79</v>
      </c>
    </row>
    <row r="39" spans="1:3" x14ac:dyDescent="0.25">
      <c r="A39" t="s">
        <v>1064</v>
      </c>
      <c r="B39" t="s">
        <v>80</v>
      </c>
      <c r="C39" t="s">
        <v>81</v>
      </c>
    </row>
    <row r="40" spans="1:3" x14ac:dyDescent="0.25">
      <c r="A40" t="s">
        <v>830</v>
      </c>
      <c r="B40" t="s">
        <v>82</v>
      </c>
      <c r="C40" t="s">
        <v>83</v>
      </c>
    </row>
    <row r="41" spans="1:3" x14ac:dyDescent="0.25">
      <c r="A41" t="s">
        <v>1065</v>
      </c>
      <c r="B41" t="s">
        <v>84</v>
      </c>
      <c r="C41" t="s">
        <v>85</v>
      </c>
    </row>
    <row r="42" spans="1:3" x14ac:dyDescent="0.25">
      <c r="A42" t="s">
        <v>868</v>
      </c>
      <c r="B42" t="s">
        <v>86</v>
      </c>
      <c r="C42" t="s">
        <v>87</v>
      </c>
    </row>
    <row r="43" spans="1:3" x14ac:dyDescent="0.25">
      <c r="A43" t="s">
        <v>762</v>
      </c>
      <c r="B43" t="s">
        <v>88</v>
      </c>
      <c r="C43" t="s">
        <v>89</v>
      </c>
    </row>
    <row r="44" spans="1:3" x14ac:dyDescent="0.25">
      <c r="A44" t="s">
        <v>753</v>
      </c>
      <c r="B44" t="s">
        <v>90</v>
      </c>
      <c r="C44" t="s">
        <v>91</v>
      </c>
    </row>
    <row r="45" spans="1:3" x14ac:dyDescent="0.25">
      <c r="A45" t="s">
        <v>1066</v>
      </c>
      <c r="B45" t="s">
        <v>92</v>
      </c>
      <c r="C45" t="s">
        <v>93</v>
      </c>
    </row>
    <row r="46" spans="1:3" x14ac:dyDescent="0.25">
      <c r="A46" t="s">
        <v>1067</v>
      </c>
      <c r="B46" t="s">
        <v>94</v>
      </c>
      <c r="C46" t="s">
        <v>95</v>
      </c>
    </row>
    <row r="47" spans="1:3" x14ac:dyDescent="0.25">
      <c r="A47" t="s">
        <v>784</v>
      </c>
      <c r="B47" t="s">
        <v>96</v>
      </c>
      <c r="C47" t="s">
        <v>97</v>
      </c>
    </row>
    <row r="48" spans="1:3" x14ac:dyDescent="0.25">
      <c r="A48" t="s">
        <v>848</v>
      </c>
      <c r="B48" t="s">
        <v>98</v>
      </c>
      <c r="C48" t="s">
        <v>99</v>
      </c>
    </row>
    <row r="49" spans="1:3" x14ac:dyDescent="0.25">
      <c r="A49" t="s">
        <v>758</v>
      </c>
      <c r="B49" t="s">
        <v>100</v>
      </c>
      <c r="C49" t="s">
        <v>101</v>
      </c>
    </row>
    <row r="50" spans="1:3" x14ac:dyDescent="0.25">
      <c r="A50" t="s">
        <v>787</v>
      </c>
      <c r="B50" t="s">
        <v>102</v>
      </c>
      <c r="C50" t="s">
        <v>103</v>
      </c>
    </row>
    <row r="51" spans="1:3" x14ac:dyDescent="0.25">
      <c r="A51" t="s">
        <v>802</v>
      </c>
      <c r="B51" t="s">
        <v>104</v>
      </c>
      <c r="C51" t="s">
        <v>105</v>
      </c>
    </row>
    <row r="52" spans="1:3" x14ac:dyDescent="0.25">
      <c r="A52" t="s">
        <v>792</v>
      </c>
      <c r="B52" t="s">
        <v>106</v>
      </c>
      <c r="C52" t="s">
        <v>107</v>
      </c>
    </row>
    <row r="53" spans="1:3" x14ac:dyDescent="0.25">
      <c r="A53" t="s">
        <v>863</v>
      </c>
      <c r="B53" t="s">
        <v>108</v>
      </c>
      <c r="C53" t="s">
        <v>109</v>
      </c>
    </row>
    <row r="54" spans="1:3" x14ac:dyDescent="0.25">
      <c r="A54" t="s">
        <v>878</v>
      </c>
      <c r="B54" t="s">
        <v>110</v>
      </c>
      <c r="C54" t="s">
        <v>111</v>
      </c>
    </row>
    <row r="55" spans="1:3" x14ac:dyDescent="0.25">
      <c r="A55" t="s">
        <v>723</v>
      </c>
      <c r="B55" t="s">
        <v>112</v>
      </c>
      <c r="C55" t="s">
        <v>113</v>
      </c>
    </row>
    <row r="56" spans="1:3" x14ac:dyDescent="0.25">
      <c r="A56" t="s">
        <v>725</v>
      </c>
      <c r="B56" t="s">
        <v>114</v>
      </c>
      <c r="C56" t="s">
        <v>115</v>
      </c>
    </row>
    <row r="57" spans="1:3" x14ac:dyDescent="0.25">
      <c r="A57" t="s">
        <v>901</v>
      </c>
      <c r="B57" t="s">
        <v>116</v>
      </c>
      <c r="C57" t="s">
        <v>117</v>
      </c>
    </row>
    <row r="58" spans="1:3" x14ac:dyDescent="0.25">
      <c r="A58" t="s">
        <v>789</v>
      </c>
      <c r="B58" t="s">
        <v>118</v>
      </c>
      <c r="C58" t="s">
        <v>119</v>
      </c>
    </row>
    <row r="59" spans="1:3" x14ac:dyDescent="0.25">
      <c r="A59" t="s">
        <v>843</v>
      </c>
      <c r="B59" t="s">
        <v>120</v>
      </c>
      <c r="C59" t="s">
        <v>121</v>
      </c>
    </row>
    <row r="60" spans="1:3" x14ac:dyDescent="0.25">
      <c r="A60" t="s">
        <v>748</v>
      </c>
      <c r="B60" t="s">
        <v>122</v>
      </c>
      <c r="C60" t="s">
        <v>123</v>
      </c>
    </row>
    <row r="61" spans="1:3" x14ac:dyDescent="0.25">
      <c r="A61" t="s">
        <v>779</v>
      </c>
      <c r="B61" t="s">
        <v>124</v>
      </c>
      <c r="C61" t="s">
        <v>125</v>
      </c>
    </row>
    <row r="62" spans="1:3" x14ac:dyDescent="0.25">
      <c r="A62" t="s">
        <v>780</v>
      </c>
      <c r="B62" t="s">
        <v>124</v>
      </c>
      <c r="C62" t="s">
        <v>125</v>
      </c>
    </row>
    <row r="63" spans="1:3" x14ac:dyDescent="0.25">
      <c r="A63" t="s">
        <v>813</v>
      </c>
      <c r="B63" t="s">
        <v>126</v>
      </c>
      <c r="C63" t="s">
        <v>127</v>
      </c>
    </row>
    <row r="64" spans="1:3" x14ac:dyDescent="0.25">
      <c r="A64" t="s">
        <v>728</v>
      </c>
      <c r="B64" t="s">
        <v>128</v>
      </c>
      <c r="C64" t="s">
        <v>129</v>
      </c>
    </row>
    <row r="65" spans="1:3" x14ac:dyDescent="0.25">
      <c r="A65" t="s">
        <v>736</v>
      </c>
      <c r="B65" t="s">
        <v>130</v>
      </c>
      <c r="C65" t="s">
        <v>131</v>
      </c>
    </row>
    <row r="66" spans="1:3" x14ac:dyDescent="0.25">
      <c r="A66" t="s">
        <v>772</v>
      </c>
      <c r="B66" t="s">
        <v>132</v>
      </c>
      <c r="C66" t="s">
        <v>133</v>
      </c>
    </row>
    <row r="67" spans="1:3" x14ac:dyDescent="0.25">
      <c r="A67" t="s">
        <v>1068</v>
      </c>
      <c r="B67" t="s">
        <v>134</v>
      </c>
      <c r="C67" t="s">
        <v>135</v>
      </c>
    </row>
    <row r="68" spans="1:3" x14ac:dyDescent="0.25">
      <c r="A68" t="s">
        <v>1069</v>
      </c>
      <c r="B68" t="s">
        <v>136</v>
      </c>
      <c r="C68" t="s">
        <v>137</v>
      </c>
    </row>
    <row r="69" spans="1:3" x14ac:dyDescent="0.25">
      <c r="A69" t="s">
        <v>1070</v>
      </c>
      <c r="B69" t="s">
        <v>138</v>
      </c>
      <c r="C69" t="s">
        <v>139</v>
      </c>
    </row>
    <row r="70" spans="1:3" x14ac:dyDescent="0.25">
      <c r="A70" t="s">
        <v>882</v>
      </c>
      <c r="B70" t="s">
        <v>140</v>
      </c>
      <c r="C70" t="s">
        <v>141</v>
      </c>
    </row>
    <row r="71" spans="1:3" x14ac:dyDescent="0.25">
      <c r="A71" t="s">
        <v>851</v>
      </c>
      <c r="B71" t="s">
        <v>142</v>
      </c>
      <c r="C71" t="s">
        <v>143</v>
      </c>
    </row>
    <row r="72" spans="1:3" x14ac:dyDescent="0.25">
      <c r="A72" t="s">
        <v>769</v>
      </c>
      <c r="B72" t="s">
        <v>144</v>
      </c>
      <c r="C72" t="s">
        <v>145</v>
      </c>
    </row>
    <row r="73" spans="1:3" x14ac:dyDescent="0.25">
      <c r="A73" t="s">
        <v>1031</v>
      </c>
      <c r="B73" s="4" t="s">
        <v>147</v>
      </c>
      <c r="C73" t="s">
        <v>148</v>
      </c>
    </row>
    <row r="74" spans="1:3" x14ac:dyDescent="0.25">
      <c r="A74" t="s">
        <v>998</v>
      </c>
      <c r="B74" s="4" t="s">
        <v>149</v>
      </c>
      <c r="C74" t="s">
        <v>150</v>
      </c>
    </row>
    <row r="75" spans="1:3" x14ac:dyDescent="0.25">
      <c r="A75" t="s">
        <v>937</v>
      </c>
      <c r="B75" s="4" t="s">
        <v>151</v>
      </c>
      <c r="C75" t="s">
        <v>152</v>
      </c>
    </row>
    <row r="76" spans="1:3" x14ac:dyDescent="0.25">
      <c r="A76" t="s">
        <v>1071</v>
      </c>
      <c r="B76" s="4" t="s">
        <v>153</v>
      </c>
      <c r="C76" t="s">
        <v>154</v>
      </c>
    </row>
    <row r="77" spans="1:3" x14ac:dyDescent="0.25">
      <c r="A77" t="s">
        <v>938</v>
      </c>
      <c r="B77" s="4" t="s">
        <v>155</v>
      </c>
      <c r="C77" t="s">
        <v>156</v>
      </c>
    </row>
    <row r="78" spans="1:3" x14ac:dyDescent="0.25">
      <c r="A78" t="s">
        <v>1072</v>
      </c>
      <c r="B78" s="4" t="s">
        <v>157</v>
      </c>
      <c r="C78" t="s">
        <v>158</v>
      </c>
    </row>
    <row r="79" spans="1:3" x14ac:dyDescent="0.25">
      <c r="A79" t="s">
        <v>1034</v>
      </c>
      <c r="B79" s="4" t="s">
        <v>159</v>
      </c>
      <c r="C79" t="s">
        <v>160</v>
      </c>
    </row>
    <row r="80" spans="1:3" x14ac:dyDescent="0.25">
      <c r="A80" t="s">
        <v>949</v>
      </c>
      <c r="B80" s="4" t="s">
        <v>161</v>
      </c>
      <c r="C80" t="s">
        <v>162</v>
      </c>
    </row>
    <row r="81" spans="1:3" x14ac:dyDescent="0.25">
      <c r="A81" t="s">
        <v>989</v>
      </c>
      <c r="B81" s="4" t="s">
        <v>163</v>
      </c>
      <c r="C81" t="s">
        <v>164</v>
      </c>
    </row>
    <row r="82" spans="1:3" x14ac:dyDescent="0.25">
      <c r="A82" t="s">
        <v>996</v>
      </c>
      <c r="B82" s="4" t="s">
        <v>165</v>
      </c>
      <c r="C82" t="s">
        <v>166</v>
      </c>
    </row>
    <row r="83" spans="1:3" x14ac:dyDescent="0.25">
      <c r="A83" t="s">
        <v>970</v>
      </c>
      <c r="B83" s="4" t="s">
        <v>167</v>
      </c>
      <c r="C83" t="s">
        <v>168</v>
      </c>
    </row>
    <row r="84" spans="1:3" x14ac:dyDescent="0.25">
      <c r="A84" t="s">
        <v>984</v>
      </c>
      <c r="B84" s="4" t="s">
        <v>169</v>
      </c>
      <c r="C84" t="s">
        <v>170</v>
      </c>
    </row>
    <row r="85" spans="1:3" x14ac:dyDescent="0.25">
      <c r="A85" t="s">
        <v>925</v>
      </c>
      <c r="B85" s="4" t="s">
        <v>171</v>
      </c>
      <c r="C85" t="s">
        <v>172</v>
      </c>
    </row>
    <row r="86" spans="1:3" x14ac:dyDescent="0.25">
      <c r="A86" t="s">
        <v>1042</v>
      </c>
      <c r="B86" s="4" t="s">
        <v>173</v>
      </c>
      <c r="C86" t="s">
        <v>174</v>
      </c>
    </row>
    <row r="87" spans="1:3" x14ac:dyDescent="0.25">
      <c r="A87" t="s">
        <v>1073</v>
      </c>
      <c r="B87" s="4" t="s">
        <v>175</v>
      </c>
      <c r="C87" t="s">
        <v>176</v>
      </c>
    </row>
    <row r="88" spans="1:3" x14ac:dyDescent="0.25">
      <c r="A88" t="s">
        <v>178</v>
      </c>
      <c r="B88" s="4" t="s">
        <v>177</v>
      </c>
      <c r="C88" t="s">
        <v>178</v>
      </c>
    </row>
    <row r="89" spans="1:3" x14ac:dyDescent="0.25">
      <c r="A89" t="s">
        <v>931</v>
      </c>
      <c r="B89" s="4" t="s">
        <v>179</v>
      </c>
      <c r="C89" t="s">
        <v>180</v>
      </c>
    </row>
    <row r="90" spans="1:3" x14ac:dyDescent="0.25">
      <c r="A90" t="s">
        <v>919</v>
      </c>
      <c r="B90" s="4" t="s">
        <v>181</v>
      </c>
      <c r="C90" t="s">
        <v>182</v>
      </c>
    </row>
    <row r="91" spans="1:3" x14ac:dyDescent="0.25">
      <c r="A91" t="s">
        <v>1048</v>
      </c>
      <c r="B91" s="4" t="s">
        <v>183</v>
      </c>
      <c r="C91" t="s">
        <v>184</v>
      </c>
    </row>
    <row r="92" spans="1:3" x14ac:dyDescent="0.25">
      <c r="A92" t="s">
        <v>1036</v>
      </c>
      <c r="B92" s="4" t="s">
        <v>185</v>
      </c>
      <c r="C92" t="s">
        <v>186</v>
      </c>
    </row>
    <row r="93" spans="1:3" x14ac:dyDescent="0.25">
      <c r="A93" t="s">
        <v>1001</v>
      </c>
      <c r="B93" s="4" t="s">
        <v>187</v>
      </c>
      <c r="C93" t="s">
        <v>188</v>
      </c>
    </row>
    <row r="94" spans="1:3" x14ac:dyDescent="0.25">
      <c r="A94" t="s">
        <v>926</v>
      </c>
      <c r="B94" s="4" t="s">
        <v>189</v>
      </c>
      <c r="C94" t="s">
        <v>190</v>
      </c>
    </row>
    <row r="95" spans="1:3" x14ac:dyDescent="0.25">
      <c r="A95" t="s">
        <v>1074</v>
      </c>
      <c r="B95" s="4" t="s">
        <v>191</v>
      </c>
      <c r="C95" t="s">
        <v>192</v>
      </c>
    </row>
    <row r="96" spans="1:3" x14ac:dyDescent="0.25">
      <c r="A96" t="s">
        <v>929</v>
      </c>
      <c r="B96" s="4" t="s">
        <v>193</v>
      </c>
      <c r="C96" t="s">
        <v>194</v>
      </c>
    </row>
    <row r="97" spans="1:3" x14ac:dyDescent="0.25">
      <c r="A97" t="s">
        <v>1017</v>
      </c>
      <c r="B97" s="4" t="s">
        <v>195</v>
      </c>
      <c r="C97" t="s">
        <v>196</v>
      </c>
    </row>
    <row r="98" spans="1:3" x14ac:dyDescent="0.25">
      <c r="A98" t="s">
        <v>965</v>
      </c>
      <c r="B98" s="4" t="s">
        <v>197</v>
      </c>
      <c r="C98" t="s">
        <v>198</v>
      </c>
    </row>
    <row r="99" spans="1:3" x14ac:dyDescent="0.25">
      <c r="A99" t="s">
        <v>1005</v>
      </c>
      <c r="B99" s="4" t="s">
        <v>199</v>
      </c>
      <c r="C99" t="s">
        <v>200</v>
      </c>
    </row>
    <row r="100" spans="1:3" x14ac:dyDescent="0.25">
      <c r="A100" t="s">
        <v>999</v>
      </c>
      <c r="B100" s="4" t="s">
        <v>201</v>
      </c>
      <c r="C100" t="s">
        <v>202</v>
      </c>
    </row>
    <row r="101" spans="1:3" x14ac:dyDescent="0.25">
      <c r="A101" t="s">
        <v>991</v>
      </c>
      <c r="B101" s="4" t="s">
        <v>203</v>
      </c>
      <c r="C101" t="s">
        <v>204</v>
      </c>
    </row>
    <row r="102" spans="1:3" x14ac:dyDescent="0.25">
      <c r="A102" t="s">
        <v>1075</v>
      </c>
      <c r="B102" s="4" t="s">
        <v>205</v>
      </c>
      <c r="C102" t="s">
        <v>206</v>
      </c>
    </row>
    <row r="103" spans="1:3" x14ac:dyDescent="0.25">
      <c r="A103" t="s">
        <v>1011</v>
      </c>
      <c r="B103" s="4" t="s">
        <v>207</v>
      </c>
      <c r="C103" t="s">
        <v>208</v>
      </c>
    </row>
    <row r="104" spans="1:3" x14ac:dyDescent="0.25">
      <c r="A104" t="s">
        <v>920</v>
      </c>
      <c r="B104" s="4" t="s">
        <v>209</v>
      </c>
      <c r="C104" t="s">
        <v>210</v>
      </c>
    </row>
    <row r="105" spans="1:3" x14ac:dyDescent="0.25">
      <c r="A105" t="s">
        <v>957</v>
      </c>
      <c r="B105" s="4" t="s">
        <v>211</v>
      </c>
      <c r="C105" t="s">
        <v>212</v>
      </c>
    </row>
    <row r="106" spans="1:3" x14ac:dyDescent="0.25">
      <c r="A106" t="s">
        <v>1051</v>
      </c>
      <c r="B106" s="4" t="s">
        <v>213</v>
      </c>
      <c r="C106" t="s">
        <v>214</v>
      </c>
    </row>
    <row r="107" spans="1:3" x14ac:dyDescent="0.25">
      <c r="A107" t="s">
        <v>935</v>
      </c>
      <c r="B107" s="4" t="s">
        <v>215</v>
      </c>
      <c r="C107" t="s">
        <v>216</v>
      </c>
    </row>
    <row r="108" spans="1:3" x14ac:dyDescent="0.25">
      <c r="A108" t="s">
        <v>981</v>
      </c>
      <c r="B108" s="4" t="s">
        <v>217</v>
      </c>
      <c r="C108" t="s">
        <v>218</v>
      </c>
    </row>
    <row r="109" spans="1:3" x14ac:dyDescent="0.25">
      <c r="A109" t="s">
        <v>927</v>
      </c>
      <c r="B109" s="4" t="s">
        <v>219</v>
      </c>
      <c r="C109" t="s">
        <v>220</v>
      </c>
    </row>
    <row r="110" spans="1:3" x14ac:dyDescent="0.25">
      <c r="A110" t="s">
        <v>1076</v>
      </c>
      <c r="B110" s="4" t="s">
        <v>221</v>
      </c>
      <c r="C110" t="s">
        <v>222</v>
      </c>
    </row>
    <row r="111" spans="1:3" x14ac:dyDescent="0.25">
      <c r="A111" t="s">
        <v>1012</v>
      </c>
      <c r="B111" s="4" t="s">
        <v>223</v>
      </c>
      <c r="C111" t="s">
        <v>224</v>
      </c>
    </row>
    <row r="112" spans="1:3" x14ac:dyDescent="0.25">
      <c r="A112" t="s">
        <v>943</v>
      </c>
      <c r="B112" s="4" t="s">
        <v>225</v>
      </c>
      <c r="C112" t="s">
        <v>226</v>
      </c>
    </row>
    <row r="113" spans="1:3" x14ac:dyDescent="0.25">
      <c r="A113" t="s">
        <v>1077</v>
      </c>
      <c r="B113" s="4" t="s">
        <v>227</v>
      </c>
      <c r="C113" t="s">
        <v>228</v>
      </c>
    </row>
    <row r="114" spans="1:3" x14ac:dyDescent="0.25">
      <c r="A114" t="s">
        <v>1078</v>
      </c>
      <c r="B114" s="4" t="s">
        <v>229</v>
      </c>
      <c r="C114" t="s">
        <v>230</v>
      </c>
    </row>
  </sheetData>
  <autoFilter ref="A1:C114" xr:uid="{853798BB-832E-49D8-9816-172D606B7B93}">
    <sortState xmlns:xlrd2="http://schemas.microsoft.com/office/spreadsheetml/2017/richdata2" ref="A2:C114">
      <sortCondition ref="C1:C114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9708-4E3C-42C9-BD21-4E6A577017F5}">
  <sheetPr>
    <tabColor theme="6"/>
  </sheetPr>
  <dimension ref="A1:J419"/>
  <sheetViews>
    <sheetView workbookViewId="0">
      <selection activeCell="C67" sqref="C67"/>
    </sheetView>
  </sheetViews>
  <sheetFormatPr defaultRowHeight="15" x14ac:dyDescent="0.25"/>
  <cols>
    <col min="1" max="2" width="13.140625" style="1" customWidth="1"/>
    <col min="3" max="6" width="11.85546875" style="2" customWidth="1"/>
    <col min="7" max="7" width="21.7109375" style="2" customWidth="1"/>
    <col min="8" max="8" width="26.28515625" style="2" bestFit="1" customWidth="1"/>
    <col min="9" max="9" width="26.28515625" style="2" customWidth="1"/>
    <col min="10" max="10" width="19.85546875" style="2" customWidth="1"/>
    <col min="11" max="16384" width="9.140625" style="3"/>
  </cols>
  <sheetData>
    <row r="1" spans="1:10" x14ac:dyDescent="0.25">
      <c r="A1" s="1" t="s">
        <v>1079</v>
      </c>
      <c r="B1" s="1" t="s">
        <v>1080</v>
      </c>
      <c r="C1" s="2" t="s">
        <v>1081</v>
      </c>
      <c r="D1" s="2" t="s">
        <v>1082</v>
      </c>
      <c r="E1" s="2" t="s">
        <v>1083</v>
      </c>
      <c r="F1" s="2" t="s">
        <v>1084</v>
      </c>
      <c r="G1" s="2" t="s">
        <v>1085</v>
      </c>
      <c r="H1" s="2" t="s">
        <v>1086</v>
      </c>
      <c r="I1" s="2" t="s">
        <v>1087</v>
      </c>
      <c r="J1" s="2" t="s">
        <v>1088</v>
      </c>
    </row>
    <row r="2" spans="1:10" x14ac:dyDescent="0.25">
      <c r="A2" s="1">
        <v>43276</v>
      </c>
      <c r="B2" s="1">
        <f>A2+6</f>
        <v>43282</v>
      </c>
      <c r="C2" s="2" t="s">
        <v>1089</v>
      </c>
      <c r="D2" s="2" t="s">
        <v>1090</v>
      </c>
      <c r="E2" s="2">
        <v>1</v>
      </c>
      <c r="F2" s="2" t="s">
        <v>1091</v>
      </c>
      <c r="G2" s="2" t="str">
        <f>Table13[[#This Row],[Month]]&amp;", "&amp;Table13[[#This Row],[FY]]</f>
        <v>JUL, FY19</v>
      </c>
      <c r="H2" s="2" t="str">
        <f>Table13[[#This Row],[Week]]&amp;", "&amp;Table13[[#This Row],[Month]]&amp;" "&amp;Table13[[#This Row],[FY]]</f>
        <v>Week 1, JUL FY19</v>
      </c>
      <c r="I2" s="2" t="str">
        <f>Table13[[#This Row],[Month]]&amp;", "&amp;Table13[[#This Row],[FY]]</f>
        <v>JUL, FY19</v>
      </c>
      <c r="J2" s="2" t="str">
        <f>"Q"&amp;Table13[[#This Row],[QTR]]&amp;", "&amp;Table13[[#This Row],[FY]]</f>
        <v>Q1, FY19</v>
      </c>
    </row>
    <row r="3" spans="1:10" x14ac:dyDescent="0.25">
      <c r="A3" s="1">
        <f t="shared" ref="A3:B18" si="0">A2+7</f>
        <v>43283</v>
      </c>
      <c r="B3" s="1">
        <f t="shared" si="0"/>
        <v>43289</v>
      </c>
      <c r="C3" s="2" t="s">
        <v>1092</v>
      </c>
      <c r="D3" s="2" t="s">
        <v>1090</v>
      </c>
      <c r="E3" s="2">
        <v>1</v>
      </c>
      <c r="F3" s="2" t="s">
        <v>1091</v>
      </c>
      <c r="G3" s="2" t="str">
        <f>Table13[[#This Row],[Month]]&amp;", "&amp;Table13[[#This Row],[FY]]</f>
        <v>JUL, FY19</v>
      </c>
      <c r="H3" s="2" t="str">
        <f>Table13[[#This Row],[Week]]&amp;", "&amp;Table13[[#This Row],[Month]]&amp;" "&amp;Table13[[#This Row],[FY]]</f>
        <v>Week 2, JUL FY19</v>
      </c>
      <c r="I3" s="2" t="str">
        <f>Table13[[#This Row],[Month]]&amp;", "&amp;Table13[[#This Row],[FY]]</f>
        <v>JUL, FY19</v>
      </c>
      <c r="J3" s="2" t="str">
        <f>"Q"&amp;Table13[[#This Row],[QTR]]&amp;", "&amp;Table13[[#This Row],[FY]]</f>
        <v>Q1, FY19</v>
      </c>
    </row>
    <row r="4" spans="1:10" x14ac:dyDescent="0.25">
      <c r="A4" s="1">
        <f t="shared" si="0"/>
        <v>43290</v>
      </c>
      <c r="B4" s="1">
        <f t="shared" si="0"/>
        <v>43296</v>
      </c>
      <c r="C4" s="2" t="s">
        <v>1093</v>
      </c>
      <c r="D4" s="2" t="s">
        <v>1090</v>
      </c>
      <c r="E4" s="2">
        <v>1</v>
      </c>
      <c r="F4" s="2" t="s">
        <v>1091</v>
      </c>
      <c r="G4" s="2" t="str">
        <f>Table13[[#This Row],[Month]]&amp;", "&amp;Table13[[#This Row],[FY]]</f>
        <v>JUL, FY19</v>
      </c>
      <c r="H4" s="2" t="str">
        <f>Table13[[#This Row],[Week]]&amp;", "&amp;Table13[[#This Row],[Month]]&amp;" "&amp;Table13[[#This Row],[FY]]</f>
        <v>Week 3, JUL FY19</v>
      </c>
      <c r="I4" s="2" t="str">
        <f>Table13[[#This Row],[Month]]&amp;", "&amp;Table13[[#This Row],[FY]]</f>
        <v>JUL, FY19</v>
      </c>
      <c r="J4" s="2" t="str">
        <f>"Q"&amp;Table13[[#This Row],[QTR]]&amp;", "&amp;Table13[[#This Row],[FY]]</f>
        <v>Q1, FY19</v>
      </c>
    </row>
    <row r="5" spans="1:10" x14ac:dyDescent="0.25">
      <c r="A5" s="1">
        <f t="shared" si="0"/>
        <v>43297</v>
      </c>
      <c r="B5" s="1">
        <f t="shared" si="0"/>
        <v>43303</v>
      </c>
      <c r="C5" s="2" t="s">
        <v>1094</v>
      </c>
      <c r="D5" s="2" t="s">
        <v>1090</v>
      </c>
      <c r="E5" s="2">
        <v>1</v>
      </c>
      <c r="F5" s="2" t="s">
        <v>1091</v>
      </c>
      <c r="G5" s="2" t="str">
        <f>Table13[[#This Row],[Month]]&amp;", "&amp;Table13[[#This Row],[FY]]</f>
        <v>JUL, FY19</v>
      </c>
      <c r="H5" s="2" t="str">
        <f>Table13[[#This Row],[Week]]&amp;", "&amp;Table13[[#This Row],[Month]]&amp;" "&amp;Table13[[#This Row],[FY]]</f>
        <v>Week 4, JUL FY19</v>
      </c>
      <c r="I5" s="2" t="str">
        <f>Table13[[#This Row],[Month]]&amp;", "&amp;Table13[[#This Row],[FY]]</f>
        <v>JUL, FY19</v>
      </c>
      <c r="J5" s="2" t="str">
        <f>"Q"&amp;Table13[[#This Row],[QTR]]&amp;", "&amp;Table13[[#This Row],[FY]]</f>
        <v>Q1, FY19</v>
      </c>
    </row>
    <row r="6" spans="1:10" x14ac:dyDescent="0.25">
      <c r="A6" s="1">
        <f t="shared" si="0"/>
        <v>43304</v>
      </c>
      <c r="B6" s="1">
        <f t="shared" si="0"/>
        <v>43310</v>
      </c>
      <c r="C6" s="2" t="s">
        <v>1095</v>
      </c>
      <c r="D6" s="2" t="s">
        <v>1096</v>
      </c>
      <c r="E6" s="2">
        <v>1</v>
      </c>
      <c r="F6" s="2" t="s">
        <v>1091</v>
      </c>
      <c r="G6" s="2" t="str">
        <f>Table13[[#This Row],[Month]]&amp;", "&amp;Table13[[#This Row],[FY]]</f>
        <v>AUG, FY19</v>
      </c>
      <c r="H6" s="2" t="str">
        <f>Table13[[#This Row],[Week]]&amp;", "&amp;Table13[[#This Row],[Month]]&amp;" "&amp;Table13[[#This Row],[FY]]</f>
        <v>Week 5, AUG FY19</v>
      </c>
      <c r="I6" s="2" t="str">
        <f>Table13[[#This Row],[Month]]&amp;", "&amp;Table13[[#This Row],[FY]]</f>
        <v>AUG, FY19</v>
      </c>
      <c r="J6" s="2" t="str">
        <f>"Q"&amp;Table13[[#This Row],[QTR]]&amp;", "&amp;Table13[[#This Row],[FY]]</f>
        <v>Q1, FY19</v>
      </c>
    </row>
    <row r="7" spans="1:10" x14ac:dyDescent="0.25">
      <c r="A7" s="1">
        <f t="shared" si="0"/>
        <v>43311</v>
      </c>
      <c r="B7" s="1">
        <f t="shared" si="0"/>
        <v>43317</v>
      </c>
      <c r="C7" s="2" t="s">
        <v>1097</v>
      </c>
      <c r="D7" s="2" t="s">
        <v>1096</v>
      </c>
      <c r="E7" s="2">
        <v>1</v>
      </c>
      <c r="F7" s="2" t="s">
        <v>1091</v>
      </c>
      <c r="G7" s="2" t="str">
        <f>Table13[[#This Row],[Month]]&amp;", "&amp;Table13[[#This Row],[FY]]</f>
        <v>AUG, FY19</v>
      </c>
      <c r="H7" s="2" t="str">
        <f>Table13[[#This Row],[Week]]&amp;", "&amp;Table13[[#This Row],[Month]]&amp;" "&amp;Table13[[#This Row],[FY]]</f>
        <v>Week 6, AUG FY19</v>
      </c>
      <c r="I7" s="2" t="str">
        <f>Table13[[#This Row],[Month]]&amp;", "&amp;Table13[[#This Row],[FY]]</f>
        <v>AUG, FY19</v>
      </c>
      <c r="J7" s="2" t="str">
        <f>"Q"&amp;Table13[[#This Row],[QTR]]&amp;", "&amp;Table13[[#This Row],[FY]]</f>
        <v>Q1, FY19</v>
      </c>
    </row>
    <row r="8" spans="1:10" x14ac:dyDescent="0.25">
      <c r="A8" s="1">
        <f t="shared" si="0"/>
        <v>43318</v>
      </c>
      <c r="B8" s="1">
        <f t="shared" si="0"/>
        <v>43324</v>
      </c>
      <c r="C8" s="2" t="s">
        <v>1098</v>
      </c>
      <c r="D8" s="2" t="s">
        <v>1096</v>
      </c>
      <c r="E8" s="2">
        <v>1</v>
      </c>
      <c r="F8" s="2" t="s">
        <v>1091</v>
      </c>
      <c r="G8" s="2" t="str">
        <f>Table13[[#This Row],[Month]]&amp;", "&amp;Table13[[#This Row],[FY]]</f>
        <v>AUG, FY19</v>
      </c>
      <c r="H8" s="2" t="str">
        <f>Table13[[#This Row],[Week]]&amp;", "&amp;Table13[[#This Row],[Month]]&amp;" "&amp;Table13[[#This Row],[FY]]</f>
        <v>Week 7, AUG FY19</v>
      </c>
      <c r="I8" s="2" t="str">
        <f>Table13[[#This Row],[Month]]&amp;", "&amp;Table13[[#This Row],[FY]]</f>
        <v>AUG, FY19</v>
      </c>
      <c r="J8" s="2" t="str">
        <f>"Q"&amp;Table13[[#This Row],[QTR]]&amp;", "&amp;Table13[[#This Row],[FY]]</f>
        <v>Q1, FY19</v>
      </c>
    </row>
    <row r="9" spans="1:10" x14ac:dyDescent="0.25">
      <c r="A9" s="1">
        <f t="shared" si="0"/>
        <v>43325</v>
      </c>
      <c r="B9" s="1">
        <f t="shared" si="0"/>
        <v>43331</v>
      </c>
      <c r="C9" s="2" t="s">
        <v>1099</v>
      </c>
      <c r="D9" s="2" t="s">
        <v>1096</v>
      </c>
      <c r="E9" s="2">
        <v>1</v>
      </c>
      <c r="F9" s="2" t="s">
        <v>1091</v>
      </c>
      <c r="G9" s="2" t="str">
        <f>Table13[[#This Row],[Month]]&amp;", "&amp;Table13[[#This Row],[FY]]</f>
        <v>AUG, FY19</v>
      </c>
      <c r="H9" s="2" t="str">
        <f>Table13[[#This Row],[Week]]&amp;", "&amp;Table13[[#This Row],[Month]]&amp;" "&amp;Table13[[#This Row],[FY]]</f>
        <v>Week 8, AUG FY19</v>
      </c>
      <c r="I9" s="2" t="str">
        <f>Table13[[#This Row],[Month]]&amp;", "&amp;Table13[[#This Row],[FY]]</f>
        <v>AUG, FY19</v>
      </c>
      <c r="J9" s="2" t="str">
        <f>"Q"&amp;Table13[[#This Row],[QTR]]&amp;", "&amp;Table13[[#This Row],[FY]]</f>
        <v>Q1, FY19</v>
      </c>
    </row>
    <row r="10" spans="1:10" x14ac:dyDescent="0.25">
      <c r="A10" s="1">
        <f t="shared" si="0"/>
        <v>43332</v>
      </c>
      <c r="B10" s="1">
        <f t="shared" si="0"/>
        <v>43338</v>
      </c>
      <c r="C10" s="2" t="s">
        <v>1100</v>
      </c>
      <c r="D10" s="2" t="s">
        <v>1096</v>
      </c>
      <c r="E10" s="2">
        <v>1</v>
      </c>
      <c r="F10" s="2" t="s">
        <v>1091</v>
      </c>
      <c r="G10" s="2" t="str">
        <f>Table13[[#This Row],[Month]]&amp;", "&amp;Table13[[#This Row],[FY]]</f>
        <v>AUG, FY19</v>
      </c>
      <c r="H10" s="2" t="str">
        <f>Table13[[#This Row],[Week]]&amp;", "&amp;Table13[[#This Row],[Month]]&amp;" "&amp;Table13[[#This Row],[FY]]</f>
        <v>Week 9, AUG FY19</v>
      </c>
      <c r="I10" s="2" t="str">
        <f>Table13[[#This Row],[Month]]&amp;", "&amp;Table13[[#This Row],[FY]]</f>
        <v>AUG, FY19</v>
      </c>
      <c r="J10" s="2" t="str">
        <f>"Q"&amp;Table13[[#This Row],[QTR]]&amp;", "&amp;Table13[[#This Row],[FY]]</f>
        <v>Q1, FY19</v>
      </c>
    </row>
    <row r="11" spans="1:10" x14ac:dyDescent="0.25">
      <c r="A11" s="1">
        <f t="shared" si="0"/>
        <v>43339</v>
      </c>
      <c r="B11" s="1">
        <f t="shared" si="0"/>
        <v>43345</v>
      </c>
      <c r="C11" s="2" t="s">
        <v>1101</v>
      </c>
      <c r="D11" s="2" t="s">
        <v>1102</v>
      </c>
      <c r="E11" s="2">
        <v>1</v>
      </c>
      <c r="F11" s="2" t="s">
        <v>1091</v>
      </c>
      <c r="G11" s="2" t="str">
        <f>Table13[[#This Row],[Month]]&amp;", "&amp;Table13[[#This Row],[FY]]</f>
        <v>SEP, FY19</v>
      </c>
      <c r="H11" s="2" t="str">
        <f>Table13[[#This Row],[Week]]&amp;", "&amp;Table13[[#This Row],[Month]]&amp;" "&amp;Table13[[#This Row],[FY]]</f>
        <v>Week 10, SEP FY19</v>
      </c>
      <c r="I11" s="2" t="str">
        <f>Table13[[#This Row],[Month]]&amp;", "&amp;Table13[[#This Row],[FY]]</f>
        <v>SEP, FY19</v>
      </c>
      <c r="J11" s="2" t="str">
        <f>"Q"&amp;Table13[[#This Row],[QTR]]&amp;", "&amp;Table13[[#This Row],[FY]]</f>
        <v>Q1, FY19</v>
      </c>
    </row>
    <row r="12" spans="1:10" x14ac:dyDescent="0.25">
      <c r="A12" s="1">
        <f t="shared" si="0"/>
        <v>43346</v>
      </c>
      <c r="B12" s="1">
        <f t="shared" si="0"/>
        <v>43352</v>
      </c>
      <c r="C12" s="2" t="s">
        <v>1103</v>
      </c>
      <c r="D12" s="2" t="s">
        <v>1102</v>
      </c>
      <c r="E12" s="2">
        <v>1</v>
      </c>
      <c r="F12" s="2" t="s">
        <v>1091</v>
      </c>
      <c r="G12" s="2" t="str">
        <f>Table13[[#This Row],[Month]]&amp;", "&amp;Table13[[#This Row],[FY]]</f>
        <v>SEP, FY19</v>
      </c>
      <c r="H12" s="2" t="str">
        <f>Table13[[#This Row],[Week]]&amp;", "&amp;Table13[[#This Row],[Month]]&amp;" "&amp;Table13[[#This Row],[FY]]</f>
        <v>Week 11, SEP FY19</v>
      </c>
      <c r="I12" s="2" t="str">
        <f>Table13[[#This Row],[Month]]&amp;", "&amp;Table13[[#This Row],[FY]]</f>
        <v>SEP, FY19</v>
      </c>
      <c r="J12" s="2" t="str">
        <f>"Q"&amp;Table13[[#This Row],[QTR]]&amp;", "&amp;Table13[[#This Row],[FY]]</f>
        <v>Q1, FY19</v>
      </c>
    </row>
    <row r="13" spans="1:10" x14ac:dyDescent="0.25">
      <c r="A13" s="1">
        <f t="shared" si="0"/>
        <v>43353</v>
      </c>
      <c r="B13" s="1">
        <f t="shared" si="0"/>
        <v>43359</v>
      </c>
      <c r="C13" s="2" t="s">
        <v>1104</v>
      </c>
      <c r="D13" s="2" t="s">
        <v>1102</v>
      </c>
      <c r="E13" s="2">
        <v>1</v>
      </c>
      <c r="F13" s="2" t="s">
        <v>1091</v>
      </c>
      <c r="G13" s="2" t="str">
        <f>Table13[[#This Row],[Month]]&amp;", "&amp;Table13[[#This Row],[FY]]</f>
        <v>SEP, FY19</v>
      </c>
      <c r="H13" s="2" t="str">
        <f>Table13[[#This Row],[Week]]&amp;", "&amp;Table13[[#This Row],[Month]]&amp;" "&amp;Table13[[#This Row],[FY]]</f>
        <v>Week 12, SEP FY19</v>
      </c>
      <c r="I13" s="2" t="str">
        <f>Table13[[#This Row],[Month]]&amp;", "&amp;Table13[[#This Row],[FY]]</f>
        <v>SEP, FY19</v>
      </c>
      <c r="J13" s="2" t="str">
        <f>"Q"&amp;Table13[[#This Row],[QTR]]&amp;", "&amp;Table13[[#This Row],[FY]]</f>
        <v>Q1, FY19</v>
      </c>
    </row>
    <row r="14" spans="1:10" x14ac:dyDescent="0.25">
      <c r="A14" s="1">
        <f t="shared" si="0"/>
        <v>43360</v>
      </c>
      <c r="B14" s="1">
        <f t="shared" si="0"/>
        <v>43366</v>
      </c>
      <c r="C14" s="2" t="s">
        <v>1105</v>
      </c>
      <c r="D14" s="2" t="s">
        <v>1102</v>
      </c>
      <c r="E14" s="2">
        <v>1</v>
      </c>
      <c r="F14" s="2" t="s">
        <v>1091</v>
      </c>
      <c r="G14" s="2" t="str">
        <f>Table13[[#This Row],[Month]]&amp;", "&amp;Table13[[#This Row],[FY]]</f>
        <v>SEP, FY19</v>
      </c>
      <c r="H14" s="2" t="str">
        <f>Table13[[#This Row],[Week]]&amp;", "&amp;Table13[[#This Row],[Month]]&amp;" "&amp;Table13[[#This Row],[FY]]</f>
        <v>Week 13, SEP FY19</v>
      </c>
      <c r="I14" s="2" t="str">
        <f>Table13[[#This Row],[Month]]&amp;", "&amp;Table13[[#This Row],[FY]]</f>
        <v>SEP, FY19</v>
      </c>
      <c r="J14" s="2" t="str">
        <f>"Q"&amp;Table13[[#This Row],[QTR]]&amp;", "&amp;Table13[[#This Row],[FY]]</f>
        <v>Q1, FY19</v>
      </c>
    </row>
    <row r="15" spans="1:10" x14ac:dyDescent="0.25">
      <c r="A15" s="1">
        <f t="shared" si="0"/>
        <v>43367</v>
      </c>
      <c r="B15" s="1">
        <f t="shared" si="0"/>
        <v>43373</v>
      </c>
      <c r="C15" s="2" t="s">
        <v>1106</v>
      </c>
      <c r="D15" s="2" t="s">
        <v>1107</v>
      </c>
      <c r="E15" s="2">
        <f>E2+1</f>
        <v>2</v>
      </c>
      <c r="F15" s="2" t="s">
        <v>1091</v>
      </c>
      <c r="G15" s="2" t="str">
        <f>Table13[[#This Row],[Month]]&amp;", "&amp;Table13[[#This Row],[FY]]</f>
        <v>OCT, FY19</v>
      </c>
      <c r="H15" s="2" t="str">
        <f>Table13[[#This Row],[Week]]&amp;", "&amp;Table13[[#This Row],[Month]]&amp;" "&amp;Table13[[#This Row],[FY]]</f>
        <v>Week 14, OCT FY19</v>
      </c>
      <c r="I15" s="2" t="str">
        <f>Table13[[#This Row],[Month]]&amp;", "&amp;Table13[[#This Row],[FY]]</f>
        <v>OCT, FY19</v>
      </c>
      <c r="J15" s="2" t="str">
        <f>"Q"&amp;Table13[[#This Row],[QTR]]&amp;", "&amp;Table13[[#This Row],[FY]]</f>
        <v>Q2, FY19</v>
      </c>
    </row>
    <row r="16" spans="1:10" x14ac:dyDescent="0.25">
      <c r="A16" s="1">
        <f t="shared" si="0"/>
        <v>43374</v>
      </c>
      <c r="B16" s="1">
        <f t="shared" si="0"/>
        <v>43380</v>
      </c>
      <c r="C16" s="2" t="s">
        <v>1108</v>
      </c>
      <c r="D16" s="2" t="s">
        <v>1107</v>
      </c>
      <c r="E16" s="2">
        <f t="shared" ref="E16:E53" si="1">E3+1</f>
        <v>2</v>
      </c>
      <c r="F16" s="2" t="s">
        <v>1091</v>
      </c>
      <c r="G16" s="2" t="str">
        <f>Table13[[#This Row],[Month]]&amp;", "&amp;Table13[[#This Row],[FY]]</f>
        <v>OCT, FY19</v>
      </c>
      <c r="H16" s="2" t="str">
        <f>Table13[[#This Row],[Week]]&amp;", "&amp;Table13[[#This Row],[Month]]&amp;" "&amp;Table13[[#This Row],[FY]]</f>
        <v>Week 15, OCT FY19</v>
      </c>
      <c r="I16" s="2" t="str">
        <f>Table13[[#This Row],[Month]]&amp;", "&amp;Table13[[#This Row],[FY]]</f>
        <v>OCT, FY19</v>
      </c>
      <c r="J16" s="2" t="str">
        <f>"Q"&amp;Table13[[#This Row],[QTR]]&amp;", "&amp;Table13[[#This Row],[FY]]</f>
        <v>Q2, FY19</v>
      </c>
    </row>
    <row r="17" spans="1:10" x14ac:dyDescent="0.25">
      <c r="A17" s="1">
        <f t="shared" si="0"/>
        <v>43381</v>
      </c>
      <c r="B17" s="1">
        <f t="shared" si="0"/>
        <v>43387</v>
      </c>
      <c r="C17" s="2" t="s">
        <v>1109</v>
      </c>
      <c r="D17" s="2" t="s">
        <v>1107</v>
      </c>
      <c r="E17" s="2">
        <f t="shared" si="1"/>
        <v>2</v>
      </c>
      <c r="F17" s="2" t="s">
        <v>1091</v>
      </c>
      <c r="G17" s="2" t="str">
        <f>Table13[[#This Row],[Month]]&amp;", "&amp;Table13[[#This Row],[FY]]</f>
        <v>OCT, FY19</v>
      </c>
      <c r="H17" s="2" t="str">
        <f>Table13[[#This Row],[Week]]&amp;", "&amp;Table13[[#This Row],[Month]]&amp;" "&amp;Table13[[#This Row],[FY]]</f>
        <v>Week 16, OCT FY19</v>
      </c>
      <c r="I17" s="2" t="str">
        <f>Table13[[#This Row],[Month]]&amp;", "&amp;Table13[[#This Row],[FY]]</f>
        <v>OCT, FY19</v>
      </c>
      <c r="J17" s="2" t="str">
        <f>"Q"&amp;Table13[[#This Row],[QTR]]&amp;", "&amp;Table13[[#This Row],[FY]]</f>
        <v>Q2, FY19</v>
      </c>
    </row>
    <row r="18" spans="1:10" x14ac:dyDescent="0.25">
      <c r="A18" s="1">
        <f t="shared" si="0"/>
        <v>43388</v>
      </c>
      <c r="B18" s="1">
        <f t="shared" si="0"/>
        <v>43394</v>
      </c>
      <c r="C18" s="2" t="s">
        <v>1110</v>
      </c>
      <c r="D18" s="2" t="s">
        <v>1107</v>
      </c>
      <c r="E18" s="2">
        <f t="shared" si="1"/>
        <v>2</v>
      </c>
      <c r="F18" s="2" t="s">
        <v>1091</v>
      </c>
      <c r="G18" s="2" t="str">
        <f>Table13[[#This Row],[Month]]&amp;", "&amp;Table13[[#This Row],[FY]]</f>
        <v>OCT, FY19</v>
      </c>
      <c r="H18" s="2" t="str">
        <f>Table13[[#This Row],[Week]]&amp;", "&amp;Table13[[#This Row],[Month]]&amp;" "&amp;Table13[[#This Row],[FY]]</f>
        <v>Week 17, OCT FY19</v>
      </c>
      <c r="I18" s="2" t="str">
        <f>Table13[[#This Row],[Month]]&amp;", "&amp;Table13[[#This Row],[FY]]</f>
        <v>OCT, FY19</v>
      </c>
      <c r="J18" s="2" t="str">
        <f>"Q"&amp;Table13[[#This Row],[QTR]]&amp;", "&amp;Table13[[#This Row],[FY]]</f>
        <v>Q2, FY19</v>
      </c>
    </row>
    <row r="19" spans="1:10" x14ac:dyDescent="0.25">
      <c r="A19" s="1">
        <f t="shared" ref="A19:B34" si="2">A18+7</f>
        <v>43395</v>
      </c>
      <c r="B19" s="1">
        <f t="shared" si="2"/>
        <v>43401</v>
      </c>
      <c r="C19" s="2" t="s">
        <v>1111</v>
      </c>
      <c r="D19" s="2" t="s">
        <v>1112</v>
      </c>
      <c r="E19" s="2">
        <f t="shared" si="1"/>
        <v>2</v>
      </c>
      <c r="F19" s="2" t="s">
        <v>1091</v>
      </c>
      <c r="G19" s="2" t="str">
        <f>Table13[[#This Row],[Month]]&amp;", "&amp;Table13[[#This Row],[FY]]</f>
        <v>NOV, FY19</v>
      </c>
      <c r="H19" s="2" t="str">
        <f>Table13[[#This Row],[Week]]&amp;", "&amp;Table13[[#This Row],[Month]]&amp;" "&amp;Table13[[#This Row],[FY]]</f>
        <v>Week 18, NOV FY19</v>
      </c>
      <c r="I19" s="2" t="str">
        <f>Table13[[#This Row],[Month]]&amp;", "&amp;Table13[[#This Row],[FY]]</f>
        <v>NOV, FY19</v>
      </c>
      <c r="J19" s="2" t="str">
        <f>"Q"&amp;Table13[[#This Row],[QTR]]&amp;", "&amp;Table13[[#This Row],[FY]]</f>
        <v>Q2, FY19</v>
      </c>
    </row>
    <row r="20" spans="1:10" x14ac:dyDescent="0.25">
      <c r="A20" s="1">
        <f t="shared" si="2"/>
        <v>43402</v>
      </c>
      <c r="B20" s="1">
        <f t="shared" si="2"/>
        <v>43408</v>
      </c>
      <c r="C20" s="2" t="s">
        <v>1113</v>
      </c>
      <c r="D20" s="2" t="s">
        <v>1112</v>
      </c>
      <c r="E20" s="2">
        <f t="shared" si="1"/>
        <v>2</v>
      </c>
      <c r="F20" s="2" t="s">
        <v>1091</v>
      </c>
      <c r="G20" s="2" t="str">
        <f>Table13[[#This Row],[Month]]&amp;", "&amp;Table13[[#This Row],[FY]]</f>
        <v>NOV, FY19</v>
      </c>
      <c r="H20" s="2" t="str">
        <f>Table13[[#This Row],[Week]]&amp;", "&amp;Table13[[#This Row],[Month]]&amp;" "&amp;Table13[[#This Row],[FY]]</f>
        <v>Week 19, NOV FY19</v>
      </c>
      <c r="I20" s="2" t="str">
        <f>Table13[[#This Row],[Month]]&amp;", "&amp;Table13[[#This Row],[FY]]</f>
        <v>NOV, FY19</v>
      </c>
      <c r="J20" s="2" t="str">
        <f>"Q"&amp;Table13[[#This Row],[QTR]]&amp;", "&amp;Table13[[#This Row],[FY]]</f>
        <v>Q2, FY19</v>
      </c>
    </row>
    <row r="21" spans="1:10" x14ac:dyDescent="0.25">
      <c r="A21" s="1">
        <f t="shared" si="2"/>
        <v>43409</v>
      </c>
      <c r="B21" s="1">
        <f t="shared" si="2"/>
        <v>43415</v>
      </c>
      <c r="C21" s="2" t="s">
        <v>1114</v>
      </c>
      <c r="D21" s="2" t="s">
        <v>1112</v>
      </c>
      <c r="E21" s="2">
        <f t="shared" si="1"/>
        <v>2</v>
      </c>
      <c r="F21" s="2" t="s">
        <v>1091</v>
      </c>
      <c r="G21" s="2" t="str">
        <f>Table13[[#This Row],[Month]]&amp;", "&amp;Table13[[#This Row],[FY]]</f>
        <v>NOV, FY19</v>
      </c>
      <c r="H21" s="2" t="str">
        <f>Table13[[#This Row],[Week]]&amp;", "&amp;Table13[[#This Row],[Month]]&amp;" "&amp;Table13[[#This Row],[FY]]</f>
        <v>Week 20, NOV FY19</v>
      </c>
      <c r="I21" s="2" t="str">
        <f>Table13[[#This Row],[Month]]&amp;", "&amp;Table13[[#This Row],[FY]]</f>
        <v>NOV, FY19</v>
      </c>
      <c r="J21" s="2" t="str">
        <f>"Q"&amp;Table13[[#This Row],[QTR]]&amp;", "&amp;Table13[[#This Row],[FY]]</f>
        <v>Q2, FY19</v>
      </c>
    </row>
    <row r="22" spans="1:10" x14ac:dyDescent="0.25">
      <c r="A22" s="1">
        <f t="shared" si="2"/>
        <v>43416</v>
      </c>
      <c r="B22" s="1">
        <f t="shared" si="2"/>
        <v>43422</v>
      </c>
      <c r="C22" s="2" t="s">
        <v>1115</v>
      </c>
      <c r="D22" s="2" t="s">
        <v>1112</v>
      </c>
      <c r="E22" s="2">
        <f t="shared" si="1"/>
        <v>2</v>
      </c>
      <c r="F22" s="2" t="s">
        <v>1091</v>
      </c>
      <c r="G22" s="2" t="str">
        <f>Table13[[#This Row],[Month]]&amp;", "&amp;Table13[[#This Row],[FY]]</f>
        <v>NOV, FY19</v>
      </c>
      <c r="H22" s="2" t="str">
        <f>Table13[[#This Row],[Week]]&amp;", "&amp;Table13[[#This Row],[Month]]&amp;" "&amp;Table13[[#This Row],[FY]]</f>
        <v>Week 21, NOV FY19</v>
      </c>
      <c r="I22" s="2" t="str">
        <f>Table13[[#This Row],[Month]]&amp;", "&amp;Table13[[#This Row],[FY]]</f>
        <v>NOV, FY19</v>
      </c>
      <c r="J22" s="2" t="str">
        <f>"Q"&amp;Table13[[#This Row],[QTR]]&amp;", "&amp;Table13[[#This Row],[FY]]</f>
        <v>Q2, FY19</v>
      </c>
    </row>
    <row r="23" spans="1:10" x14ac:dyDescent="0.25">
      <c r="A23" s="1">
        <f t="shared" si="2"/>
        <v>43423</v>
      </c>
      <c r="B23" s="1">
        <f t="shared" si="2"/>
        <v>43429</v>
      </c>
      <c r="C23" s="2" t="s">
        <v>1116</v>
      </c>
      <c r="D23" s="2" t="s">
        <v>1112</v>
      </c>
      <c r="E23" s="2">
        <f t="shared" si="1"/>
        <v>2</v>
      </c>
      <c r="F23" s="2" t="s">
        <v>1091</v>
      </c>
      <c r="G23" s="2" t="str">
        <f>Table13[[#This Row],[Month]]&amp;", "&amp;Table13[[#This Row],[FY]]</f>
        <v>NOV, FY19</v>
      </c>
      <c r="H23" s="2" t="str">
        <f>Table13[[#This Row],[Week]]&amp;", "&amp;Table13[[#This Row],[Month]]&amp;" "&amp;Table13[[#This Row],[FY]]</f>
        <v>Week 22, NOV FY19</v>
      </c>
      <c r="I23" s="2" t="str">
        <f>Table13[[#This Row],[Month]]&amp;", "&amp;Table13[[#This Row],[FY]]</f>
        <v>NOV, FY19</v>
      </c>
      <c r="J23" s="2" t="str">
        <f>"Q"&amp;Table13[[#This Row],[QTR]]&amp;", "&amp;Table13[[#This Row],[FY]]</f>
        <v>Q2, FY19</v>
      </c>
    </row>
    <row r="24" spans="1:10" x14ac:dyDescent="0.25">
      <c r="A24" s="1">
        <f t="shared" si="2"/>
        <v>43430</v>
      </c>
      <c r="B24" s="1">
        <f t="shared" si="2"/>
        <v>43436</v>
      </c>
      <c r="C24" s="2" t="s">
        <v>1117</v>
      </c>
      <c r="D24" s="2" t="s">
        <v>1118</v>
      </c>
      <c r="E24" s="2">
        <f t="shared" si="1"/>
        <v>2</v>
      </c>
      <c r="F24" s="2" t="s">
        <v>1091</v>
      </c>
      <c r="G24" s="2" t="str">
        <f>Table13[[#This Row],[Month]]&amp;", "&amp;Table13[[#This Row],[FY]]</f>
        <v>DEC, FY19</v>
      </c>
      <c r="H24" s="2" t="str">
        <f>Table13[[#This Row],[Week]]&amp;", "&amp;Table13[[#This Row],[Month]]&amp;" "&amp;Table13[[#This Row],[FY]]</f>
        <v>Week 23, DEC FY19</v>
      </c>
      <c r="I24" s="2" t="str">
        <f>Table13[[#This Row],[Month]]&amp;", "&amp;Table13[[#This Row],[FY]]</f>
        <v>DEC, FY19</v>
      </c>
      <c r="J24" s="2" t="str">
        <f>"Q"&amp;Table13[[#This Row],[QTR]]&amp;", "&amp;Table13[[#This Row],[FY]]</f>
        <v>Q2, FY19</v>
      </c>
    </row>
    <row r="25" spans="1:10" x14ac:dyDescent="0.25">
      <c r="A25" s="1">
        <f t="shared" si="2"/>
        <v>43437</v>
      </c>
      <c r="B25" s="1">
        <f t="shared" si="2"/>
        <v>43443</v>
      </c>
      <c r="C25" s="2" t="s">
        <v>1119</v>
      </c>
      <c r="D25" s="2" t="s">
        <v>1118</v>
      </c>
      <c r="E25" s="2">
        <f t="shared" si="1"/>
        <v>2</v>
      </c>
      <c r="F25" s="2" t="s">
        <v>1091</v>
      </c>
      <c r="G25" s="2" t="str">
        <f>Table13[[#This Row],[Month]]&amp;", "&amp;Table13[[#This Row],[FY]]</f>
        <v>DEC, FY19</v>
      </c>
      <c r="H25" s="2" t="str">
        <f>Table13[[#This Row],[Week]]&amp;", "&amp;Table13[[#This Row],[Month]]&amp;" "&amp;Table13[[#This Row],[FY]]</f>
        <v>Week 24, DEC FY19</v>
      </c>
      <c r="I25" s="2" t="str">
        <f>Table13[[#This Row],[Month]]&amp;", "&amp;Table13[[#This Row],[FY]]</f>
        <v>DEC, FY19</v>
      </c>
      <c r="J25" s="2" t="str">
        <f>"Q"&amp;Table13[[#This Row],[QTR]]&amp;", "&amp;Table13[[#This Row],[FY]]</f>
        <v>Q2, FY19</v>
      </c>
    </row>
    <row r="26" spans="1:10" x14ac:dyDescent="0.25">
      <c r="A26" s="1">
        <f t="shared" si="2"/>
        <v>43444</v>
      </c>
      <c r="B26" s="1">
        <f t="shared" si="2"/>
        <v>43450</v>
      </c>
      <c r="C26" s="2" t="s">
        <v>1120</v>
      </c>
      <c r="D26" s="2" t="s">
        <v>1118</v>
      </c>
      <c r="E26" s="2">
        <f t="shared" si="1"/>
        <v>2</v>
      </c>
      <c r="F26" s="2" t="s">
        <v>1091</v>
      </c>
      <c r="G26" s="2" t="str">
        <f>Table13[[#This Row],[Month]]&amp;", "&amp;Table13[[#This Row],[FY]]</f>
        <v>DEC, FY19</v>
      </c>
      <c r="H26" s="2" t="str">
        <f>Table13[[#This Row],[Week]]&amp;", "&amp;Table13[[#This Row],[Month]]&amp;" "&amp;Table13[[#This Row],[FY]]</f>
        <v>Week 25, DEC FY19</v>
      </c>
      <c r="I26" s="2" t="str">
        <f>Table13[[#This Row],[Month]]&amp;", "&amp;Table13[[#This Row],[FY]]</f>
        <v>DEC, FY19</v>
      </c>
      <c r="J26" s="2" t="str">
        <f>"Q"&amp;Table13[[#This Row],[QTR]]&amp;", "&amp;Table13[[#This Row],[FY]]</f>
        <v>Q2, FY19</v>
      </c>
    </row>
    <row r="27" spans="1:10" x14ac:dyDescent="0.25">
      <c r="A27" s="1">
        <f t="shared" si="2"/>
        <v>43451</v>
      </c>
      <c r="B27" s="1">
        <f t="shared" si="2"/>
        <v>43457</v>
      </c>
      <c r="C27" s="2" t="s">
        <v>1121</v>
      </c>
      <c r="D27" s="2" t="s">
        <v>1118</v>
      </c>
      <c r="E27" s="2">
        <f t="shared" si="1"/>
        <v>2</v>
      </c>
      <c r="F27" s="2" t="s">
        <v>1091</v>
      </c>
      <c r="G27" s="2" t="str">
        <f>Table13[[#This Row],[Month]]&amp;", "&amp;Table13[[#This Row],[FY]]</f>
        <v>DEC, FY19</v>
      </c>
      <c r="H27" s="2" t="str">
        <f>Table13[[#This Row],[Week]]&amp;", "&amp;Table13[[#This Row],[Month]]&amp;" "&amp;Table13[[#This Row],[FY]]</f>
        <v>Week 26, DEC FY19</v>
      </c>
      <c r="I27" s="2" t="str">
        <f>Table13[[#This Row],[Month]]&amp;", "&amp;Table13[[#This Row],[FY]]</f>
        <v>DEC, FY19</v>
      </c>
      <c r="J27" s="2" t="str">
        <f>"Q"&amp;Table13[[#This Row],[QTR]]&amp;", "&amp;Table13[[#This Row],[FY]]</f>
        <v>Q2, FY19</v>
      </c>
    </row>
    <row r="28" spans="1:10" x14ac:dyDescent="0.25">
      <c r="A28" s="1">
        <f t="shared" si="2"/>
        <v>43458</v>
      </c>
      <c r="B28" s="1">
        <f t="shared" si="2"/>
        <v>43464</v>
      </c>
      <c r="C28" s="2" t="s">
        <v>1122</v>
      </c>
      <c r="D28" s="2" t="s">
        <v>1123</v>
      </c>
      <c r="E28" s="2">
        <f t="shared" si="1"/>
        <v>3</v>
      </c>
      <c r="F28" s="2" t="s">
        <v>1091</v>
      </c>
      <c r="G28" s="2" t="str">
        <f>Table13[[#This Row],[Month]]&amp;", "&amp;Table13[[#This Row],[FY]]</f>
        <v>JAN, FY19</v>
      </c>
      <c r="H28" s="2" t="str">
        <f>Table13[[#This Row],[Week]]&amp;", "&amp;Table13[[#This Row],[Month]]&amp;" "&amp;Table13[[#This Row],[FY]]</f>
        <v>Week 27, JAN FY19</v>
      </c>
      <c r="I28" s="2" t="str">
        <f>Table13[[#This Row],[Month]]&amp;", "&amp;Table13[[#This Row],[FY]]</f>
        <v>JAN, FY19</v>
      </c>
      <c r="J28" s="2" t="str">
        <f>"Q"&amp;Table13[[#This Row],[QTR]]&amp;", "&amp;Table13[[#This Row],[FY]]</f>
        <v>Q3, FY19</v>
      </c>
    </row>
    <row r="29" spans="1:10" x14ac:dyDescent="0.25">
      <c r="A29" s="1">
        <f t="shared" si="2"/>
        <v>43465</v>
      </c>
      <c r="B29" s="1">
        <f t="shared" si="2"/>
        <v>43471</v>
      </c>
      <c r="C29" s="2" t="s">
        <v>1124</v>
      </c>
      <c r="D29" s="2" t="s">
        <v>1123</v>
      </c>
      <c r="E29" s="2">
        <f t="shared" si="1"/>
        <v>3</v>
      </c>
      <c r="F29" s="2" t="s">
        <v>1091</v>
      </c>
      <c r="G29" s="2" t="str">
        <f>Table13[[#This Row],[Month]]&amp;", "&amp;Table13[[#This Row],[FY]]</f>
        <v>JAN, FY19</v>
      </c>
      <c r="H29" s="2" t="str">
        <f>Table13[[#This Row],[Week]]&amp;", "&amp;Table13[[#This Row],[Month]]&amp;" "&amp;Table13[[#This Row],[FY]]</f>
        <v>Week 28, JAN FY19</v>
      </c>
      <c r="I29" s="2" t="str">
        <f>Table13[[#This Row],[Month]]&amp;", "&amp;Table13[[#This Row],[FY]]</f>
        <v>JAN, FY19</v>
      </c>
      <c r="J29" s="2" t="str">
        <f>"Q"&amp;Table13[[#This Row],[QTR]]&amp;", "&amp;Table13[[#This Row],[FY]]</f>
        <v>Q3, FY19</v>
      </c>
    </row>
    <row r="30" spans="1:10" x14ac:dyDescent="0.25">
      <c r="A30" s="1">
        <f t="shared" si="2"/>
        <v>43472</v>
      </c>
      <c r="B30" s="1">
        <f t="shared" si="2"/>
        <v>43478</v>
      </c>
      <c r="C30" s="2" t="s">
        <v>1125</v>
      </c>
      <c r="D30" s="2" t="s">
        <v>1123</v>
      </c>
      <c r="E30" s="2">
        <f t="shared" si="1"/>
        <v>3</v>
      </c>
      <c r="F30" s="2" t="s">
        <v>1091</v>
      </c>
      <c r="G30" s="2" t="str">
        <f>Table13[[#This Row],[Month]]&amp;", "&amp;Table13[[#This Row],[FY]]</f>
        <v>JAN, FY19</v>
      </c>
      <c r="H30" s="2" t="str">
        <f>Table13[[#This Row],[Week]]&amp;", "&amp;Table13[[#This Row],[Month]]&amp;" "&amp;Table13[[#This Row],[FY]]</f>
        <v>Week 29, JAN FY19</v>
      </c>
      <c r="I30" s="2" t="str">
        <f>Table13[[#This Row],[Month]]&amp;", "&amp;Table13[[#This Row],[FY]]</f>
        <v>JAN, FY19</v>
      </c>
      <c r="J30" s="2" t="str">
        <f>"Q"&amp;Table13[[#This Row],[QTR]]&amp;", "&amp;Table13[[#This Row],[FY]]</f>
        <v>Q3, FY19</v>
      </c>
    </row>
    <row r="31" spans="1:10" x14ac:dyDescent="0.25">
      <c r="A31" s="1">
        <f t="shared" si="2"/>
        <v>43479</v>
      </c>
      <c r="B31" s="1">
        <f t="shared" si="2"/>
        <v>43485</v>
      </c>
      <c r="C31" s="2" t="s">
        <v>1126</v>
      </c>
      <c r="D31" s="2" t="s">
        <v>1123</v>
      </c>
      <c r="E31" s="2">
        <f t="shared" si="1"/>
        <v>3</v>
      </c>
      <c r="F31" s="2" t="s">
        <v>1091</v>
      </c>
      <c r="G31" s="2" t="str">
        <f>Table13[[#This Row],[Month]]&amp;", "&amp;Table13[[#This Row],[FY]]</f>
        <v>JAN, FY19</v>
      </c>
      <c r="H31" s="2" t="str">
        <f>Table13[[#This Row],[Week]]&amp;", "&amp;Table13[[#This Row],[Month]]&amp;" "&amp;Table13[[#This Row],[FY]]</f>
        <v>Week 30, JAN FY19</v>
      </c>
      <c r="I31" s="2" t="str">
        <f>Table13[[#This Row],[Month]]&amp;", "&amp;Table13[[#This Row],[FY]]</f>
        <v>JAN, FY19</v>
      </c>
      <c r="J31" s="2" t="str">
        <f>"Q"&amp;Table13[[#This Row],[QTR]]&amp;", "&amp;Table13[[#This Row],[FY]]</f>
        <v>Q3, FY19</v>
      </c>
    </row>
    <row r="32" spans="1:10" x14ac:dyDescent="0.25">
      <c r="A32" s="1">
        <f t="shared" si="2"/>
        <v>43486</v>
      </c>
      <c r="B32" s="1">
        <f t="shared" si="2"/>
        <v>43492</v>
      </c>
      <c r="C32" s="2" t="s">
        <v>1127</v>
      </c>
      <c r="D32" s="2" t="s">
        <v>1128</v>
      </c>
      <c r="E32" s="2">
        <f t="shared" si="1"/>
        <v>3</v>
      </c>
      <c r="F32" s="2" t="s">
        <v>1091</v>
      </c>
      <c r="G32" s="2" t="str">
        <f>Table13[[#This Row],[Month]]&amp;", "&amp;Table13[[#This Row],[FY]]</f>
        <v>FEB, FY19</v>
      </c>
      <c r="H32" s="2" t="str">
        <f>Table13[[#This Row],[Week]]&amp;", "&amp;Table13[[#This Row],[Month]]&amp;" "&amp;Table13[[#This Row],[FY]]</f>
        <v>Week 31, FEB FY19</v>
      </c>
      <c r="I32" s="2" t="str">
        <f>Table13[[#This Row],[Month]]&amp;", "&amp;Table13[[#This Row],[FY]]</f>
        <v>FEB, FY19</v>
      </c>
      <c r="J32" s="2" t="str">
        <f>"Q"&amp;Table13[[#This Row],[QTR]]&amp;", "&amp;Table13[[#This Row],[FY]]</f>
        <v>Q3, FY19</v>
      </c>
    </row>
    <row r="33" spans="1:10" x14ac:dyDescent="0.25">
      <c r="A33" s="1">
        <f t="shared" si="2"/>
        <v>43493</v>
      </c>
      <c r="B33" s="1">
        <f t="shared" si="2"/>
        <v>43499</v>
      </c>
      <c r="C33" s="2" t="s">
        <v>1129</v>
      </c>
      <c r="D33" s="2" t="s">
        <v>1128</v>
      </c>
      <c r="E33" s="2">
        <f t="shared" si="1"/>
        <v>3</v>
      </c>
      <c r="F33" s="2" t="s">
        <v>1091</v>
      </c>
      <c r="G33" s="2" t="str">
        <f>Table13[[#This Row],[Month]]&amp;", "&amp;Table13[[#This Row],[FY]]</f>
        <v>FEB, FY19</v>
      </c>
      <c r="H33" s="2" t="str">
        <f>Table13[[#This Row],[Week]]&amp;", "&amp;Table13[[#This Row],[Month]]&amp;" "&amp;Table13[[#This Row],[FY]]</f>
        <v>Week 32, FEB FY19</v>
      </c>
      <c r="I33" s="2" t="str">
        <f>Table13[[#This Row],[Month]]&amp;", "&amp;Table13[[#This Row],[FY]]</f>
        <v>FEB, FY19</v>
      </c>
      <c r="J33" s="2" t="str">
        <f>"Q"&amp;Table13[[#This Row],[QTR]]&amp;", "&amp;Table13[[#This Row],[FY]]</f>
        <v>Q3, FY19</v>
      </c>
    </row>
    <row r="34" spans="1:10" x14ac:dyDescent="0.25">
      <c r="A34" s="1">
        <f t="shared" si="2"/>
        <v>43500</v>
      </c>
      <c r="B34" s="1">
        <f t="shared" si="2"/>
        <v>43506</v>
      </c>
      <c r="C34" s="2" t="s">
        <v>1130</v>
      </c>
      <c r="D34" s="2" t="s">
        <v>1128</v>
      </c>
      <c r="E34" s="2">
        <f t="shared" si="1"/>
        <v>3</v>
      </c>
      <c r="F34" s="2" t="s">
        <v>1091</v>
      </c>
      <c r="G34" s="2" t="str">
        <f>Table13[[#This Row],[Month]]&amp;", "&amp;Table13[[#This Row],[FY]]</f>
        <v>FEB, FY19</v>
      </c>
      <c r="H34" s="2" t="str">
        <f>Table13[[#This Row],[Week]]&amp;", "&amp;Table13[[#This Row],[Month]]&amp;" "&amp;Table13[[#This Row],[FY]]</f>
        <v>Week 33, FEB FY19</v>
      </c>
      <c r="I34" s="2" t="str">
        <f>Table13[[#This Row],[Month]]&amp;", "&amp;Table13[[#This Row],[FY]]</f>
        <v>FEB, FY19</v>
      </c>
      <c r="J34" s="2" t="str">
        <f>"Q"&amp;Table13[[#This Row],[QTR]]&amp;", "&amp;Table13[[#This Row],[FY]]</f>
        <v>Q3, FY19</v>
      </c>
    </row>
    <row r="35" spans="1:10" x14ac:dyDescent="0.25">
      <c r="A35" s="1">
        <f t="shared" ref="A35:B50" si="3">A34+7</f>
        <v>43507</v>
      </c>
      <c r="B35" s="1">
        <f t="shared" si="3"/>
        <v>43513</v>
      </c>
      <c r="C35" s="2" t="s">
        <v>1131</v>
      </c>
      <c r="D35" s="2" t="s">
        <v>1128</v>
      </c>
      <c r="E35" s="2">
        <f t="shared" si="1"/>
        <v>3</v>
      </c>
      <c r="F35" s="2" t="s">
        <v>1091</v>
      </c>
      <c r="G35" s="2" t="str">
        <f>Table13[[#This Row],[Month]]&amp;", "&amp;Table13[[#This Row],[FY]]</f>
        <v>FEB, FY19</v>
      </c>
      <c r="H35" s="2" t="str">
        <f>Table13[[#This Row],[Week]]&amp;", "&amp;Table13[[#This Row],[Month]]&amp;" "&amp;Table13[[#This Row],[FY]]</f>
        <v>Week 34, FEB FY19</v>
      </c>
      <c r="I35" s="2" t="str">
        <f>Table13[[#This Row],[Month]]&amp;", "&amp;Table13[[#This Row],[FY]]</f>
        <v>FEB, FY19</v>
      </c>
      <c r="J35" s="2" t="str">
        <f>"Q"&amp;Table13[[#This Row],[QTR]]&amp;", "&amp;Table13[[#This Row],[FY]]</f>
        <v>Q3, FY19</v>
      </c>
    </row>
    <row r="36" spans="1:10" x14ac:dyDescent="0.25">
      <c r="A36" s="1">
        <f t="shared" si="3"/>
        <v>43514</v>
      </c>
      <c r="B36" s="1">
        <f t="shared" si="3"/>
        <v>43520</v>
      </c>
      <c r="C36" s="2" t="s">
        <v>1132</v>
      </c>
      <c r="D36" s="2" t="s">
        <v>1128</v>
      </c>
      <c r="E36" s="2">
        <f t="shared" si="1"/>
        <v>3</v>
      </c>
      <c r="F36" s="2" t="s">
        <v>1091</v>
      </c>
      <c r="G36" s="2" t="str">
        <f>Table13[[#This Row],[Month]]&amp;", "&amp;Table13[[#This Row],[FY]]</f>
        <v>FEB, FY19</v>
      </c>
      <c r="H36" s="2" t="str">
        <f>Table13[[#This Row],[Week]]&amp;", "&amp;Table13[[#This Row],[Month]]&amp;" "&amp;Table13[[#This Row],[FY]]</f>
        <v>Week 35, FEB FY19</v>
      </c>
      <c r="I36" s="2" t="str">
        <f>Table13[[#This Row],[Month]]&amp;", "&amp;Table13[[#This Row],[FY]]</f>
        <v>FEB, FY19</v>
      </c>
      <c r="J36" s="2" t="str">
        <f>"Q"&amp;Table13[[#This Row],[QTR]]&amp;", "&amp;Table13[[#This Row],[FY]]</f>
        <v>Q3, FY19</v>
      </c>
    </row>
    <row r="37" spans="1:10" x14ac:dyDescent="0.25">
      <c r="A37" s="1">
        <f t="shared" si="3"/>
        <v>43521</v>
      </c>
      <c r="B37" s="1">
        <f t="shared" si="3"/>
        <v>43527</v>
      </c>
      <c r="C37" s="2" t="s">
        <v>1133</v>
      </c>
      <c r="D37" s="2" t="s">
        <v>1134</v>
      </c>
      <c r="E37" s="2">
        <f t="shared" si="1"/>
        <v>3</v>
      </c>
      <c r="F37" s="2" t="s">
        <v>1091</v>
      </c>
      <c r="G37" s="2" t="str">
        <f>Table13[[#This Row],[Month]]&amp;", "&amp;Table13[[#This Row],[FY]]</f>
        <v>MAR, FY19</v>
      </c>
      <c r="H37" s="2" t="str">
        <f>Table13[[#This Row],[Week]]&amp;", "&amp;Table13[[#This Row],[Month]]&amp;" "&amp;Table13[[#This Row],[FY]]</f>
        <v>Week 36, MAR FY19</v>
      </c>
      <c r="I37" s="2" t="str">
        <f>Table13[[#This Row],[Month]]&amp;", "&amp;Table13[[#This Row],[FY]]</f>
        <v>MAR, FY19</v>
      </c>
      <c r="J37" s="2" t="str">
        <f>"Q"&amp;Table13[[#This Row],[QTR]]&amp;", "&amp;Table13[[#This Row],[FY]]</f>
        <v>Q3, FY19</v>
      </c>
    </row>
    <row r="38" spans="1:10" x14ac:dyDescent="0.25">
      <c r="A38" s="1">
        <f t="shared" si="3"/>
        <v>43528</v>
      </c>
      <c r="B38" s="1">
        <f t="shared" si="3"/>
        <v>43534</v>
      </c>
      <c r="C38" s="2" t="s">
        <v>1135</v>
      </c>
      <c r="D38" s="2" t="s">
        <v>1134</v>
      </c>
      <c r="E38" s="2">
        <f t="shared" si="1"/>
        <v>3</v>
      </c>
      <c r="F38" s="2" t="s">
        <v>1091</v>
      </c>
      <c r="G38" s="2" t="str">
        <f>Table13[[#This Row],[Month]]&amp;", "&amp;Table13[[#This Row],[FY]]</f>
        <v>MAR, FY19</v>
      </c>
      <c r="H38" s="2" t="str">
        <f>Table13[[#This Row],[Week]]&amp;", "&amp;Table13[[#This Row],[Month]]&amp;" "&amp;Table13[[#This Row],[FY]]</f>
        <v>Week 37, MAR FY19</v>
      </c>
      <c r="I38" s="2" t="str">
        <f>Table13[[#This Row],[Month]]&amp;", "&amp;Table13[[#This Row],[FY]]</f>
        <v>MAR, FY19</v>
      </c>
      <c r="J38" s="2" t="str">
        <f>"Q"&amp;Table13[[#This Row],[QTR]]&amp;", "&amp;Table13[[#This Row],[FY]]</f>
        <v>Q3, FY19</v>
      </c>
    </row>
    <row r="39" spans="1:10" x14ac:dyDescent="0.25">
      <c r="A39" s="1">
        <f t="shared" si="3"/>
        <v>43535</v>
      </c>
      <c r="B39" s="1">
        <f t="shared" si="3"/>
        <v>43541</v>
      </c>
      <c r="C39" s="2" t="s">
        <v>1136</v>
      </c>
      <c r="D39" s="2" t="s">
        <v>1134</v>
      </c>
      <c r="E39" s="2">
        <f t="shared" si="1"/>
        <v>3</v>
      </c>
      <c r="F39" s="2" t="s">
        <v>1091</v>
      </c>
      <c r="G39" s="2" t="str">
        <f>Table13[[#This Row],[Month]]&amp;", "&amp;Table13[[#This Row],[FY]]</f>
        <v>MAR, FY19</v>
      </c>
      <c r="H39" s="2" t="str">
        <f>Table13[[#This Row],[Week]]&amp;", "&amp;Table13[[#This Row],[Month]]&amp;" "&amp;Table13[[#This Row],[FY]]</f>
        <v>Week 38, MAR FY19</v>
      </c>
      <c r="I39" s="2" t="str">
        <f>Table13[[#This Row],[Month]]&amp;", "&amp;Table13[[#This Row],[FY]]</f>
        <v>MAR, FY19</v>
      </c>
      <c r="J39" s="2" t="str">
        <f>"Q"&amp;Table13[[#This Row],[QTR]]&amp;", "&amp;Table13[[#This Row],[FY]]</f>
        <v>Q3, FY19</v>
      </c>
    </row>
    <row r="40" spans="1:10" x14ac:dyDescent="0.25">
      <c r="A40" s="1">
        <f t="shared" si="3"/>
        <v>43542</v>
      </c>
      <c r="B40" s="1">
        <f t="shared" si="3"/>
        <v>43548</v>
      </c>
      <c r="C40" s="2" t="s">
        <v>1137</v>
      </c>
      <c r="D40" s="2" t="s">
        <v>1134</v>
      </c>
      <c r="E40" s="2">
        <f t="shared" si="1"/>
        <v>3</v>
      </c>
      <c r="F40" s="2" t="s">
        <v>1091</v>
      </c>
      <c r="G40" s="2" t="str">
        <f>Table13[[#This Row],[Month]]&amp;", "&amp;Table13[[#This Row],[FY]]</f>
        <v>MAR, FY19</v>
      </c>
      <c r="H40" s="2" t="str">
        <f>Table13[[#This Row],[Week]]&amp;", "&amp;Table13[[#This Row],[Month]]&amp;" "&amp;Table13[[#This Row],[FY]]</f>
        <v>Week 39, MAR FY19</v>
      </c>
      <c r="I40" s="2" t="str">
        <f>Table13[[#This Row],[Month]]&amp;", "&amp;Table13[[#This Row],[FY]]</f>
        <v>MAR, FY19</v>
      </c>
      <c r="J40" s="2" t="str">
        <f>"Q"&amp;Table13[[#This Row],[QTR]]&amp;", "&amp;Table13[[#This Row],[FY]]</f>
        <v>Q3, FY19</v>
      </c>
    </row>
    <row r="41" spans="1:10" x14ac:dyDescent="0.25">
      <c r="A41" s="1">
        <f t="shared" si="3"/>
        <v>43549</v>
      </c>
      <c r="B41" s="1">
        <f t="shared" si="3"/>
        <v>43555</v>
      </c>
      <c r="C41" s="2" t="s">
        <v>1138</v>
      </c>
      <c r="D41" s="2" t="s">
        <v>1139</v>
      </c>
      <c r="E41" s="2">
        <f t="shared" si="1"/>
        <v>4</v>
      </c>
      <c r="F41" s="2" t="s">
        <v>1091</v>
      </c>
      <c r="G41" s="2" t="str">
        <f>Table13[[#This Row],[Month]]&amp;", "&amp;Table13[[#This Row],[FY]]</f>
        <v>APR, FY19</v>
      </c>
      <c r="H41" s="2" t="str">
        <f>Table13[[#This Row],[Week]]&amp;", "&amp;Table13[[#This Row],[Month]]&amp;" "&amp;Table13[[#This Row],[FY]]</f>
        <v>Week 40, APR FY19</v>
      </c>
      <c r="I41" s="2" t="str">
        <f>Table13[[#This Row],[Month]]&amp;", "&amp;Table13[[#This Row],[FY]]</f>
        <v>APR, FY19</v>
      </c>
      <c r="J41" s="2" t="str">
        <f>"Q"&amp;Table13[[#This Row],[QTR]]&amp;", "&amp;Table13[[#This Row],[FY]]</f>
        <v>Q4, FY19</v>
      </c>
    </row>
    <row r="42" spans="1:10" x14ac:dyDescent="0.25">
      <c r="A42" s="1">
        <f t="shared" si="3"/>
        <v>43556</v>
      </c>
      <c r="B42" s="1">
        <f t="shared" si="3"/>
        <v>43562</v>
      </c>
      <c r="C42" s="2" t="s">
        <v>1140</v>
      </c>
      <c r="D42" s="2" t="s">
        <v>1139</v>
      </c>
      <c r="E42" s="2">
        <f t="shared" si="1"/>
        <v>4</v>
      </c>
      <c r="F42" s="2" t="s">
        <v>1091</v>
      </c>
      <c r="G42" s="2" t="str">
        <f>Table13[[#This Row],[Month]]&amp;", "&amp;Table13[[#This Row],[FY]]</f>
        <v>APR, FY19</v>
      </c>
      <c r="H42" s="2" t="str">
        <f>Table13[[#This Row],[Week]]&amp;", "&amp;Table13[[#This Row],[Month]]&amp;" "&amp;Table13[[#This Row],[FY]]</f>
        <v>Week 41, APR FY19</v>
      </c>
      <c r="I42" s="2" t="str">
        <f>Table13[[#This Row],[Month]]&amp;", "&amp;Table13[[#This Row],[FY]]</f>
        <v>APR, FY19</v>
      </c>
      <c r="J42" s="2" t="str">
        <f>"Q"&amp;Table13[[#This Row],[QTR]]&amp;", "&amp;Table13[[#This Row],[FY]]</f>
        <v>Q4, FY19</v>
      </c>
    </row>
    <row r="43" spans="1:10" x14ac:dyDescent="0.25">
      <c r="A43" s="1">
        <f t="shared" si="3"/>
        <v>43563</v>
      </c>
      <c r="B43" s="1">
        <f t="shared" si="3"/>
        <v>43569</v>
      </c>
      <c r="C43" s="2" t="s">
        <v>1141</v>
      </c>
      <c r="D43" s="2" t="s">
        <v>1139</v>
      </c>
      <c r="E43" s="2">
        <f t="shared" si="1"/>
        <v>4</v>
      </c>
      <c r="F43" s="2" t="s">
        <v>1091</v>
      </c>
      <c r="G43" s="2" t="str">
        <f>Table13[[#This Row],[Month]]&amp;", "&amp;Table13[[#This Row],[FY]]</f>
        <v>APR, FY19</v>
      </c>
      <c r="H43" s="2" t="str">
        <f>Table13[[#This Row],[Week]]&amp;", "&amp;Table13[[#This Row],[Month]]&amp;" "&amp;Table13[[#This Row],[FY]]</f>
        <v>Week 42, APR FY19</v>
      </c>
      <c r="I43" s="2" t="str">
        <f>Table13[[#This Row],[Month]]&amp;", "&amp;Table13[[#This Row],[FY]]</f>
        <v>APR, FY19</v>
      </c>
      <c r="J43" s="2" t="str">
        <f>"Q"&amp;Table13[[#This Row],[QTR]]&amp;", "&amp;Table13[[#This Row],[FY]]</f>
        <v>Q4, FY19</v>
      </c>
    </row>
    <row r="44" spans="1:10" x14ac:dyDescent="0.25">
      <c r="A44" s="1">
        <f t="shared" si="3"/>
        <v>43570</v>
      </c>
      <c r="B44" s="1">
        <f t="shared" si="3"/>
        <v>43576</v>
      </c>
      <c r="C44" s="2" t="s">
        <v>1142</v>
      </c>
      <c r="D44" s="2" t="s">
        <v>1139</v>
      </c>
      <c r="E44" s="2">
        <f t="shared" si="1"/>
        <v>4</v>
      </c>
      <c r="F44" s="2" t="s">
        <v>1091</v>
      </c>
      <c r="G44" s="2" t="str">
        <f>Table13[[#This Row],[Month]]&amp;", "&amp;Table13[[#This Row],[FY]]</f>
        <v>APR, FY19</v>
      </c>
      <c r="H44" s="2" t="str">
        <f>Table13[[#This Row],[Week]]&amp;", "&amp;Table13[[#This Row],[Month]]&amp;" "&amp;Table13[[#This Row],[FY]]</f>
        <v>Week 43, APR FY19</v>
      </c>
      <c r="I44" s="2" t="str">
        <f>Table13[[#This Row],[Month]]&amp;", "&amp;Table13[[#This Row],[FY]]</f>
        <v>APR, FY19</v>
      </c>
      <c r="J44" s="2" t="str">
        <f>"Q"&amp;Table13[[#This Row],[QTR]]&amp;", "&amp;Table13[[#This Row],[FY]]</f>
        <v>Q4, FY19</v>
      </c>
    </row>
    <row r="45" spans="1:10" x14ac:dyDescent="0.25">
      <c r="A45" s="1">
        <f t="shared" si="3"/>
        <v>43577</v>
      </c>
      <c r="B45" s="1">
        <f t="shared" si="3"/>
        <v>43583</v>
      </c>
      <c r="C45" s="2" t="s">
        <v>1143</v>
      </c>
      <c r="D45" s="2" t="s">
        <v>6</v>
      </c>
      <c r="E45" s="2">
        <f t="shared" si="1"/>
        <v>4</v>
      </c>
      <c r="F45" s="2" t="s">
        <v>1091</v>
      </c>
      <c r="G45" s="2" t="str">
        <f>Table13[[#This Row],[Month]]&amp;", "&amp;Table13[[#This Row],[FY]]</f>
        <v>MAY, FY19</v>
      </c>
      <c r="H45" s="2" t="str">
        <f>Table13[[#This Row],[Week]]&amp;", "&amp;Table13[[#This Row],[Month]]&amp;" "&amp;Table13[[#This Row],[FY]]</f>
        <v>Week 44, MAY FY19</v>
      </c>
      <c r="I45" s="2" t="str">
        <f>Table13[[#This Row],[Month]]&amp;", "&amp;Table13[[#This Row],[FY]]</f>
        <v>MAY, FY19</v>
      </c>
      <c r="J45" s="2" t="str">
        <f>"Q"&amp;Table13[[#This Row],[QTR]]&amp;", "&amp;Table13[[#This Row],[FY]]</f>
        <v>Q4, FY19</v>
      </c>
    </row>
    <row r="46" spans="1:10" x14ac:dyDescent="0.25">
      <c r="A46" s="1">
        <f t="shared" si="3"/>
        <v>43584</v>
      </c>
      <c r="B46" s="1">
        <f t="shared" si="3"/>
        <v>43590</v>
      </c>
      <c r="C46" s="2" t="s">
        <v>1144</v>
      </c>
      <c r="D46" s="2" t="s">
        <v>6</v>
      </c>
      <c r="E46" s="2">
        <f t="shared" si="1"/>
        <v>4</v>
      </c>
      <c r="F46" s="2" t="s">
        <v>1091</v>
      </c>
      <c r="G46" s="2" t="str">
        <f>Table13[[#This Row],[Month]]&amp;", "&amp;Table13[[#This Row],[FY]]</f>
        <v>MAY, FY19</v>
      </c>
      <c r="H46" s="2" t="str">
        <f>Table13[[#This Row],[Week]]&amp;", "&amp;Table13[[#This Row],[Month]]&amp;" "&amp;Table13[[#This Row],[FY]]</f>
        <v>Week 45, MAY FY19</v>
      </c>
      <c r="I46" s="2" t="str">
        <f>Table13[[#This Row],[Month]]&amp;", "&amp;Table13[[#This Row],[FY]]</f>
        <v>MAY, FY19</v>
      </c>
      <c r="J46" s="2" t="str">
        <f>"Q"&amp;Table13[[#This Row],[QTR]]&amp;", "&amp;Table13[[#This Row],[FY]]</f>
        <v>Q4, FY19</v>
      </c>
    </row>
    <row r="47" spans="1:10" x14ac:dyDescent="0.25">
      <c r="A47" s="1">
        <f t="shared" si="3"/>
        <v>43591</v>
      </c>
      <c r="B47" s="1">
        <f t="shared" si="3"/>
        <v>43597</v>
      </c>
      <c r="C47" s="2" t="s">
        <v>1145</v>
      </c>
      <c r="D47" s="2" t="s">
        <v>6</v>
      </c>
      <c r="E47" s="2">
        <f t="shared" si="1"/>
        <v>4</v>
      </c>
      <c r="F47" s="2" t="s">
        <v>1091</v>
      </c>
      <c r="G47" s="2" t="str">
        <f>Table13[[#This Row],[Month]]&amp;", "&amp;Table13[[#This Row],[FY]]</f>
        <v>MAY, FY19</v>
      </c>
      <c r="H47" s="2" t="str">
        <f>Table13[[#This Row],[Week]]&amp;", "&amp;Table13[[#This Row],[Month]]&amp;" "&amp;Table13[[#This Row],[FY]]</f>
        <v>Week 46, MAY FY19</v>
      </c>
      <c r="I47" s="2" t="str">
        <f>Table13[[#This Row],[Month]]&amp;", "&amp;Table13[[#This Row],[FY]]</f>
        <v>MAY, FY19</v>
      </c>
      <c r="J47" s="2" t="str">
        <f>"Q"&amp;Table13[[#This Row],[QTR]]&amp;", "&amp;Table13[[#This Row],[FY]]</f>
        <v>Q4, FY19</v>
      </c>
    </row>
    <row r="48" spans="1:10" x14ac:dyDescent="0.25">
      <c r="A48" s="1">
        <f t="shared" si="3"/>
        <v>43598</v>
      </c>
      <c r="B48" s="1">
        <f t="shared" si="3"/>
        <v>43604</v>
      </c>
      <c r="C48" s="2" t="s">
        <v>1146</v>
      </c>
      <c r="D48" s="2" t="s">
        <v>6</v>
      </c>
      <c r="E48" s="2">
        <f t="shared" si="1"/>
        <v>4</v>
      </c>
      <c r="F48" s="2" t="s">
        <v>1091</v>
      </c>
      <c r="G48" s="2" t="str">
        <f>Table13[[#This Row],[Month]]&amp;", "&amp;Table13[[#This Row],[FY]]</f>
        <v>MAY, FY19</v>
      </c>
      <c r="H48" s="2" t="str">
        <f>Table13[[#This Row],[Week]]&amp;", "&amp;Table13[[#This Row],[Month]]&amp;" "&amp;Table13[[#This Row],[FY]]</f>
        <v>Week 47, MAY FY19</v>
      </c>
      <c r="I48" s="2" t="str">
        <f>Table13[[#This Row],[Month]]&amp;", "&amp;Table13[[#This Row],[FY]]</f>
        <v>MAY, FY19</v>
      </c>
      <c r="J48" s="2" t="str">
        <f>"Q"&amp;Table13[[#This Row],[QTR]]&amp;", "&amp;Table13[[#This Row],[FY]]</f>
        <v>Q4, FY19</v>
      </c>
    </row>
    <row r="49" spans="1:10" x14ac:dyDescent="0.25">
      <c r="A49" s="1">
        <f t="shared" si="3"/>
        <v>43605</v>
      </c>
      <c r="B49" s="1">
        <f t="shared" si="3"/>
        <v>43611</v>
      </c>
      <c r="C49" s="2" t="s">
        <v>1147</v>
      </c>
      <c r="D49" s="2" t="s">
        <v>6</v>
      </c>
      <c r="E49" s="2">
        <f t="shared" si="1"/>
        <v>4</v>
      </c>
      <c r="F49" s="2" t="s">
        <v>1091</v>
      </c>
      <c r="G49" s="2" t="str">
        <f>Table13[[#This Row],[Month]]&amp;", "&amp;Table13[[#This Row],[FY]]</f>
        <v>MAY, FY19</v>
      </c>
      <c r="H49" s="2" t="str">
        <f>Table13[[#This Row],[Week]]&amp;", "&amp;Table13[[#This Row],[Month]]&amp;" "&amp;Table13[[#This Row],[FY]]</f>
        <v>Week 48, MAY FY19</v>
      </c>
      <c r="I49" s="2" t="str">
        <f>Table13[[#This Row],[Month]]&amp;", "&amp;Table13[[#This Row],[FY]]</f>
        <v>MAY, FY19</v>
      </c>
      <c r="J49" s="2" t="str">
        <f>"Q"&amp;Table13[[#This Row],[QTR]]&amp;", "&amp;Table13[[#This Row],[FY]]</f>
        <v>Q4, FY19</v>
      </c>
    </row>
    <row r="50" spans="1:10" x14ac:dyDescent="0.25">
      <c r="A50" s="1">
        <f t="shared" si="3"/>
        <v>43612</v>
      </c>
      <c r="B50" s="1">
        <f t="shared" si="3"/>
        <v>43618</v>
      </c>
      <c r="C50" s="2" t="s">
        <v>1148</v>
      </c>
      <c r="D50" s="2" t="s">
        <v>1149</v>
      </c>
      <c r="E50" s="2">
        <f t="shared" si="1"/>
        <v>4</v>
      </c>
      <c r="F50" s="2" t="s">
        <v>1091</v>
      </c>
      <c r="G50" s="2" t="str">
        <f>Table13[[#This Row],[Month]]&amp;", "&amp;Table13[[#This Row],[FY]]</f>
        <v>JUN, FY19</v>
      </c>
      <c r="H50" s="2" t="str">
        <f>Table13[[#This Row],[Week]]&amp;", "&amp;Table13[[#This Row],[Month]]&amp;" "&amp;Table13[[#This Row],[FY]]</f>
        <v>Week 49, JUN FY19</v>
      </c>
      <c r="I50" s="2" t="str">
        <f>Table13[[#This Row],[Month]]&amp;", "&amp;Table13[[#This Row],[FY]]</f>
        <v>JUN, FY19</v>
      </c>
      <c r="J50" s="2" t="str">
        <f>"Q"&amp;Table13[[#This Row],[QTR]]&amp;", "&amp;Table13[[#This Row],[FY]]</f>
        <v>Q4, FY19</v>
      </c>
    </row>
    <row r="51" spans="1:10" x14ac:dyDescent="0.25">
      <c r="A51" s="1">
        <f t="shared" ref="A51:B66" si="4">A50+7</f>
        <v>43619</v>
      </c>
      <c r="B51" s="1">
        <f t="shared" si="4"/>
        <v>43625</v>
      </c>
      <c r="C51" s="2" t="s">
        <v>1150</v>
      </c>
      <c r="D51" s="2" t="s">
        <v>1149</v>
      </c>
      <c r="E51" s="2">
        <f t="shared" si="1"/>
        <v>4</v>
      </c>
      <c r="F51" s="2" t="s">
        <v>1091</v>
      </c>
      <c r="G51" s="2" t="str">
        <f>Table13[[#This Row],[Month]]&amp;", "&amp;Table13[[#This Row],[FY]]</f>
        <v>JUN, FY19</v>
      </c>
      <c r="H51" s="2" t="str">
        <f>Table13[[#This Row],[Week]]&amp;", "&amp;Table13[[#This Row],[Month]]&amp;" "&amp;Table13[[#This Row],[FY]]</f>
        <v>Week 50, JUN FY19</v>
      </c>
      <c r="I51" s="2" t="str">
        <f>Table13[[#This Row],[Month]]&amp;", "&amp;Table13[[#This Row],[FY]]</f>
        <v>JUN, FY19</v>
      </c>
      <c r="J51" s="2" t="str">
        <f>"Q"&amp;Table13[[#This Row],[QTR]]&amp;", "&amp;Table13[[#This Row],[FY]]</f>
        <v>Q4, FY19</v>
      </c>
    </row>
    <row r="52" spans="1:10" x14ac:dyDescent="0.25">
      <c r="A52" s="1">
        <f t="shared" si="4"/>
        <v>43626</v>
      </c>
      <c r="B52" s="1">
        <f t="shared" si="4"/>
        <v>43632</v>
      </c>
      <c r="C52" s="2" t="s">
        <v>1151</v>
      </c>
      <c r="D52" s="2" t="s">
        <v>1149</v>
      </c>
      <c r="E52" s="2">
        <f t="shared" si="1"/>
        <v>4</v>
      </c>
      <c r="F52" s="2" t="s">
        <v>1091</v>
      </c>
      <c r="G52" s="2" t="str">
        <f>Table13[[#This Row],[Month]]&amp;", "&amp;Table13[[#This Row],[FY]]</f>
        <v>JUN, FY19</v>
      </c>
      <c r="H52" s="2" t="str">
        <f>Table13[[#This Row],[Week]]&amp;", "&amp;Table13[[#This Row],[Month]]&amp;" "&amp;Table13[[#This Row],[FY]]</f>
        <v>Week 51, JUN FY19</v>
      </c>
      <c r="I52" s="2" t="str">
        <f>Table13[[#This Row],[Month]]&amp;", "&amp;Table13[[#This Row],[FY]]</f>
        <v>JUN, FY19</v>
      </c>
      <c r="J52" s="2" t="str">
        <f>"Q"&amp;Table13[[#This Row],[QTR]]&amp;", "&amp;Table13[[#This Row],[FY]]</f>
        <v>Q4, FY19</v>
      </c>
    </row>
    <row r="53" spans="1:10" x14ac:dyDescent="0.25">
      <c r="A53" s="1">
        <f t="shared" si="4"/>
        <v>43633</v>
      </c>
      <c r="B53" s="1">
        <f>B52+7</f>
        <v>43639</v>
      </c>
      <c r="C53" s="2" t="s">
        <v>1152</v>
      </c>
      <c r="D53" s="2" t="s">
        <v>1149</v>
      </c>
      <c r="E53" s="2">
        <f t="shared" si="1"/>
        <v>4</v>
      </c>
      <c r="F53" s="2" t="s">
        <v>1091</v>
      </c>
      <c r="G53" s="2" t="str">
        <f>Table13[[#This Row],[Month]]&amp;", "&amp;Table13[[#This Row],[FY]]</f>
        <v>JUN, FY19</v>
      </c>
      <c r="H53" s="2" t="str">
        <f>Table13[[#This Row],[Week]]&amp;", "&amp;Table13[[#This Row],[Month]]&amp;" "&amp;Table13[[#This Row],[FY]]</f>
        <v>Week 52, JUN FY19</v>
      </c>
      <c r="I53" s="2" t="str">
        <f>Table13[[#This Row],[Month]]&amp;", "&amp;Table13[[#This Row],[FY]]</f>
        <v>JUN, FY19</v>
      </c>
      <c r="J53" s="2" t="str">
        <f>"Q"&amp;Table13[[#This Row],[QTR]]&amp;", "&amp;Table13[[#This Row],[FY]]</f>
        <v>Q4, FY19</v>
      </c>
    </row>
    <row r="54" spans="1:10" x14ac:dyDescent="0.25">
      <c r="A54" s="1">
        <f t="shared" si="4"/>
        <v>43640</v>
      </c>
      <c r="B54" s="1">
        <f t="shared" si="4"/>
        <v>43646</v>
      </c>
      <c r="C54" s="2" t="s">
        <v>1153</v>
      </c>
      <c r="D54" s="2" t="s">
        <v>1149</v>
      </c>
      <c r="E54" s="2">
        <v>4</v>
      </c>
      <c r="F54" s="2" t="s">
        <v>1091</v>
      </c>
      <c r="G54" s="2" t="str">
        <f>Table13[[#This Row],[Month]]&amp;", "&amp;Table13[[#This Row],[FY]]</f>
        <v>JUN, FY19</v>
      </c>
      <c r="H54" s="2" t="str">
        <f>Table13[[#This Row],[Week]]&amp;", "&amp;Table13[[#This Row],[Month]]&amp;" "&amp;Table13[[#This Row],[FY]]</f>
        <v>Week 53, JUN FY19</v>
      </c>
      <c r="I54" s="2" t="str">
        <f>Table13[[#This Row],[Month]]&amp;", "&amp;Table13[[#This Row],[FY]]</f>
        <v>JUN, FY19</v>
      </c>
      <c r="J54" s="2" t="str">
        <f>"Q"&amp;Table13[[#This Row],[QTR]]&amp;", "&amp;Table13[[#This Row],[FY]]</f>
        <v>Q4, FY19</v>
      </c>
    </row>
    <row r="55" spans="1:10" x14ac:dyDescent="0.25">
      <c r="A55" s="1">
        <f t="shared" si="4"/>
        <v>43647</v>
      </c>
      <c r="B55" s="1">
        <f t="shared" si="4"/>
        <v>43653</v>
      </c>
      <c r="C55" s="2" t="s">
        <v>1089</v>
      </c>
      <c r="D55" s="2" t="s">
        <v>1090</v>
      </c>
      <c r="E55" s="2">
        <v>1</v>
      </c>
      <c r="F55" s="2" t="s">
        <v>1154</v>
      </c>
      <c r="G55" s="2" t="str">
        <f>Table13[[#This Row],[Month]]&amp;", "&amp;Table13[[#This Row],[FY]]</f>
        <v>JUL, FY20</v>
      </c>
      <c r="H55" s="2" t="str">
        <f>Table13[[#This Row],[Week]]&amp;", "&amp;Table13[[#This Row],[Month]]&amp;" "&amp;Table13[[#This Row],[FY]]</f>
        <v>Week 1, JUL FY20</v>
      </c>
      <c r="I55" s="2" t="str">
        <f>Table13[[#This Row],[Month]]&amp;", "&amp;Table13[[#This Row],[FY]]</f>
        <v>JUL, FY20</v>
      </c>
      <c r="J55" s="2" t="str">
        <f>"Q"&amp;Table13[[#This Row],[QTR]]&amp;", "&amp;Table13[[#This Row],[FY]]</f>
        <v>Q1, FY20</v>
      </c>
    </row>
    <row r="56" spans="1:10" x14ac:dyDescent="0.25">
      <c r="A56" s="1">
        <f t="shared" si="4"/>
        <v>43654</v>
      </c>
      <c r="B56" s="1">
        <f t="shared" si="4"/>
        <v>43660</v>
      </c>
      <c r="C56" s="2" t="s">
        <v>1092</v>
      </c>
      <c r="D56" s="2" t="s">
        <v>1090</v>
      </c>
      <c r="E56" s="2">
        <v>1</v>
      </c>
      <c r="F56" s="2" t="s">
        <v>1154</v>
      </c>
      <c r="G56" s="2" t="str">
        <f>Table13[[#This Row],[Month]]&amp;", "&amp;Table13[[#This Row],[FY]]</f>
        <v>JUL, FY20</v>
      </c>
      <c r="H56" s="2" t="str">
        <f>Table13[[#This Row],[Week]]&amp;", "&amp;Table13[[#This Row],[Month]]&amp;" "&amp;Table13[[#This Row],[FY]]</f>
        <v>Week 2, JUL FY20</v>
      </c>
      <c r="I56" s="2" t="str">
        <f>Table13[[#This Row],[Month]]&amp;", "&amp;Table13[[#This Row],[FY]]</f>
        <v>JUL, FY20</v>
      </c>
      <c r="J56" s="2" t="str">
        <f>"Q"&amp;Table13[[#This Row],[QTR]]&amp;", "&amp;Table13[[#This Row],[FY]]</f>
        <v>Q1, FY20</v>
      </c>
    </row>
    <row r="57" spans="1:10" x14ac:dyDescent="0.25">
      <c r="A57" s="1">
        <f t="shared" si="4"/>
        <v>43661</v>
      </c>
      <c r="B57" s="1">
        <f t="shared" si="4"/>
        <v>43667</v>
      </c>
      <c r="C57" s="2" t="s">
        <v>1093</v>
      </c>
      <c r="D57" s="2" t="s">
        <v>1090</v>
      </c>
      <c r="E57" s="2">
        <v>1</v>
      </c>
      <c r="F57" s="2" t="s">
        <v>1154</v>
      </c>
      <c r="G57" s="2" t="str">
        <f>Table13[[#This Row],[Month]]&amp;", "&amp;Table13[[#This Row],[FY]]</f>
        <v>JUL, FY20</v>
      </c>
      <c r="H57" s="2" t="str">
        <f>Table13[[#This Row],[Week]]&amp;", "&amp;Table13[[#This Row],[Month]]&amp;" "&amp;Table13[[#This Row],[FY]]</f>
        <v>Week 3, JUL FY20</v>
      </c>
      <c r="I57" s="2" t="str">
        <f>Table13[[#This Row],[Month]]&amp;", "&amp;Table13[[#This Row],[FY]]</f>
        <v>JUL, FY20</v>
      </c>
      <c r="J57" s="2" t="str">
        <f>"Q"&amp;Table13[[#This Row],[QTR]]&amp;", "&amp;Table13[[#This Row],[FY]]</f>
        <v>Q1, FY20</v>
      </c>
    </row>
    <row r="58" spans="1:10" x14ac:dyDescent="0.25">
      <c r="A58" s="1">
        <f t="shared" si="4"/>
        <v>43668</v>
      </c>
      <c r="B58" s="1">
        <f t="shared" si="4"/>
        <v>43674</v>
      </c>
      <c r="C58" s="2" t="s">
        <v>1094</v>
      </c>
      <c r="D58" s="2" t="s">
        <v>1090</v>
      </c>
      <c r="E58" s="2">
        <v>1</v>
      </c>
      <c r="F58" s="2" t="s">
        <v>1154</v>
      </c>
      <c r="G58" s="2" t="str">
        <f>Table13[[#This Row],[Month]]&amp;", "&amp;Table13[[#This Row],[FY]]</f>
        <v>JUL, FY20</v>
      </c>
      <c r="H58" s="2" t="str">
        <f>Table13[[#This Row],[Week]]&amp;", "&amp;Table13[[#This Row],[Month]]&amp;" "&amp;Table13[[#This Row],[FY]]</f>
        <v>Week 4, JUL FY20</v>
      </c>
      <c r="I58" s="2" t="str">
        <f>Table13[[#This Row],[Month]]&amp;", "&amp;Table13[[#This Row],[FY]]</f>
        <v>JUL, FY20</v>
      </c>
      <c r="J58" s="2" t="str">
        <f>"Q"&amp;Table13[[#This Row],[QTR]]&amp;", "&amp;Table13[[#This Row],[FY]]</f>
        <v>Q1, FY20</v>
      </c>
    </row>
    <row r="59" spans="1:10" x14ac:dyDescent="0.25">
      <c r="A59" s="1">
        <f t="shared" si="4"/>
        <v>43675</v>
      </c>
      <c r="B59" s="1">
        <f t="shared" si="4"/>
        <v>43681</v>
      </c>
      <c r="C59" s="2" t="s">
        <v>1095</v>
      </c>
      <c r="D59" s="2" t="s">
        <v>1096</v>
      </c>
      <c r="E59" s="2">
        <v>1</v>
      </c>
      <c r="F59" s="2" t="s">
        <v>1154</v>
      </c>
      <c r="G59" s="2" t="str">
        <f>Table13[[#This Row],[Month]]&amp;", "&amp;Table13[[#This Row],[FY]]</f>
        <v>AUG, FY20</v>
      </c>
      <c r="H59" s="2" t="str">
        <f>Table13[[#This Row],[Week]]&amp;", "&amp;Table13[[#This Row],[Month]]&amp;" "&amp;Table13[[#This Row],[FY]]</f>
        <v>Week 5, AUG FY20</v>
      </c>
      <c r="I59" s="2" t="str">
        <f>Table13[[#This Row],[Month]]&amp;", "&amp;Table13[[#This Row],[FY]]</f>
        <v>AUG, FY20</v>
      </c>
      <c r="J59" s="2" t="str">
        <f>"Q"&amp;Table13[[#This Row],[QTR]]&amp;", "&amp;Table13[[#This Row],[FY]]</f>
        <v>Q1, FY20</v>
      </c>
    </row>
    <row r="60" spans="1:10" x14ac:dyDescent="0.25">
      <c r="A60" s="1">
        <f t="shared" si="4"/>
        <v>43682</v>
      </c>
      <c r="B60" s="1">
        <f t="shared" si="4"/>
        <v>43688</v>
      </c>
      <c r="C60" s="2" t="s">
        <v>1097</v>
      </c>
      <c r="D60" s="2" t="s">
        <v>1096</v>
      </c>
      <c r="E60" s="2">
        <v>1</v>
      </c>
      <c r="F60" s="2" t="s">
        <v>1154</v>
      </c>
      <c r="G60" s="2" t="str">
        <f>Table13[[#This Row],[Month]]&amp;", "&amp;Table13[[#This Row],[FY]]</f>
        <v>AUG, FY20</v>
      </c>
      <c r="H60" s="2" t="str">
        <f>Table13[[#This Row],[Week]]&amp;", "&amp;Table13[[#This Row],[Month]]&amp;" "&amp;Table13[[#This Row],[FY]]</f>
        <v>Week 6, AUG FY20</v>
      </c>
      <c r="I60" s="2" t="str">
        <f>Table13[[#This Row],[Month]]&amp;", "&amp;Table13[[#This Row],[FY]]</f>
        <v>AUG, FY20</v>
      </c>
      <c r="J60" s="2" t="str">
        <f>"Q"&amp;Table13[[#This Row],[QTR]]&amp;", "&amp;Table13[[#This Row],[FY]]</f>
        <v>Q1, FY20</v>
      </c>
    </row>
    <row r="61" spans="1:10" x14ac:dyDescent="0.25">
      <c r="A61" s="1">
        <f t="shared" si="4"/>
        <v>43689</v>
      </c>
      <c r="B61" s="1">
        <f t="shared" si="4"/>
        <v>43695</v>
      </c>
      <c r="C61" s="2" t="s">
        <v>1098</v>
      </c>
      <c r="D61" s="2" t="s">
        <v>1096</v>
      </c>
      <c r="E61" s="2">
        <v>1</v>
      </c>
      <c r="F61" s="2" t="s">
        <v>1154</v>
      </c>
      <c r="G61" s="2" t="str">
        <f>Table13[[#This Row],[Month]]&amp;", "&amp;Table13[[#This Row],[FY]]</f>
        <v>AUG, FY20</v>
      </c>
      <c r="H61" s="2" t="str">
        <f>Table13[[#This Row],[Week]]&amp;", "&amp;Table13[[#This Row],[Month]]&amp;" "&amp;Table13[[#This Row],[FY]]</f>
        <v>Week 7, AUG FY20</v>
      </c>
      <c r="I61" s="2" t="str">
        <f>Table13[[#This Row],[Month]]&amp;", "&amp;Table13[[#This Row],[FY]]</f>
        <v>AUG, FY20</v>
      </c>
      <c r="J61" s="2" t="str">
        <f>"Q"&amp;Table13[[#This Row],[QTR]]&amp;", "&amp;Table13[[#This Row],[FY]]</f>
        <v>Q1, FY20</v>
      </c>
    </row>
    <row r="62" spans="1:10" x14ac:dyDescent="0.25">
      <c r="A62" s="1">
        <f t="shared" si="4"/>
        <v>43696</v>
      </c>
      <c r="B62" s="1">
        <f t="shared" si="4"/>
        <v>43702</v>
      </c>
      <c r="C62" s="2" t="s">
        <v>1099</v>
      </c>
      <c r="D62" s="2" t="s">
        <v>1096</v>
      </c>
      <c r="E62" s="2">
        <v>1</v>
      </c>
      <c r="F62" s="2" t="s">
        <v>1154</v>
      </c>
      <c r="G62" s="2" t="str">
        <f>Table13[[#This Row],[Month]]&amp;", "&amp;Table13[[#This Row],[FY]]</f>
        <v>AUG, FY20</v>
      </c>
      <c r="H62" s="2" t="str">
        <f>Table13[[#This Row],[Week]]&amp;", "&amp;Table13[[#This Row],[Month]]&amp;" "&amp;Table13[[#This Row],[FY]]</f>
        <v>Week 8, AUG FY20</v>
      </c>
      <c r="I62" s="2" t="str">
        <f>Table13[[#This Row],[Month]]&amp;", "&amp;Table13[[#This Row],[FY]]</f>
        <v>AUG, FY20</v>
      </c>
      <c r="J62" s="2" t="str">
        <f>"Q"&amp;Table13[[#This Row],[QTR]]&amp;", "&amp;Table13[[#This Row],[FY]]</f>
        <v>Q1, FY20</v>
      </c>
    </row>
    <row r="63" spans="1:10" x14ac:dyDescent="0.25">
      <c r="A63" s="1">
        <f t="shared" si="4"/>
        <v>43703</v>
      </c>
      <c r="B63" s="1">
        <f t="shared" si="4"/>
        <v>43709</v>
      </c>
      <c r="C63" s="2" t="s">
        <v>1100</v>
      </c>
      <c r="D63" s="2" t="s">
        <v>1096</v>
      </c>
      <c r="E63" s="2">
        <v>1</v>
      </c>
      <c r="F63" s="2" t="s">
        <v>1154</v>
      </c>
      <c r="G63" s="2" t="str">
        <f>Table13[[#This Row],[Month]]&amp;", "&amp;Table13[[#This Row],[FY]]</f>
        <v>AUG, FY20</v>
      </c>
      <c r="H63" s="2" t="str">
        <f>Table13[[#This Row],[Week]]&amp;", "&amp;Table13[[#This Row],[Month]]&amp;" "&amp;Table13[[#This Row],[FY]]</f>
        <v>Week 9, AUG FY20</v>
      </c>
      <c r="I63" s="2" t="str">
        <f>Table13[[#This Row],[Month]]&amp;", "&amp;Table13[[#This Row],[FY]]</f>
        <v>AUG, FY20</v>
      </c>
      <c r="J63" s="2" t="str">
        <f>"Q"&amp;Table13[[#This Row],[QTR]]&amp;", "&amp;Table13[[#This Row],[FY]]</f>
        <v>Q1, FY20</v>
      </c>
    </row>
    <row r="64" spans="1:10" x14ac:dyDescent="0.25">
      <c r="A64" s="1">
        <f t="shared" si="4"/>
        <v>43710</v>
      </c>
      <c r="B64" s="1">
        <f t="shared" si="4"/>
        <v>43716</v>
      </c>
      <c r="C64" s="2" t="s">
        <v>1101</v>
      </c>
      <c r="D64" s="2" t="s">
        <v>1102</v>
      </c>
      <c r="E64" s="2">
        <v>1</v>
      </c>
      <c r="F64" s="2" t="s">
        <v>1154</v>
      </c>
      <c r="G64" s="2" t="str">
        <f>Table13[[#This Row],[Month]]&amp;", "&amp;Table13[[#This Row],[FY]]</f>
        <v>SEP, FY20</v>
      </c>
      <c r="H64" s="2" t="str">
        <f>Table13[[#This Row],[Week]]&amp;", "&amp;Table13[[#This Row],[Month]]&amp;" "&amp;Table13[[#This Row],[FY]]</f>
        <v>Week 10, SEP FY20</v>
      </c>
      <c r="I64" s="2" t="str">
        <f>Table13[[#This Row],[Month]]&amp;", "&amp;Table13[[#This Row],[FY]]</f>
        <v>SEP, FY20</v>
      </c>
      <c r="J64" s="2" t="str">
        <f>"Q"&amp;Table13[[#This Row],[QTR]]&amp;", "&amp;Table13[[#This Row],[FY]]</f>
        <v>Q1, FY20</v>
      </c>
    </row>
    <row r="65" spans="1:10" x14ac:dyDescent="0.25">
      <c r="A65" s="1">
        <f t="shared" si="4"/>
        <v>43717</v>
      </c>
      <c r="B65" s="1">
        <f t="shared" si="4"/>
        <v>43723</v>
      </c>
      <c r="C65" s="2" t="s">
        <v>1103</v>
      </c>
      <c r="D65" s="2" t="s">
        <v>1102</v>
      </c>
      <c r="E65" s="2">
        <v>1</v>
      </c>
      <c r="F65" s="2" t="s">
        <v>1154</v>
      </c>
      <c r="G65" s="2" t="str">
        <f>Table13[[#This Row],[Month]]&amp;", "&amp;Table13[[#This Row],[FY]]</f>
        <v>SEP, FY20</v>
      </c>
      <c r="H65" s="2" t="str">
        <f>Table13[[#This Row],[Week]]&amp;", "&amp;Table13[[#This Row],[Month]]&amp;" "&amp;Table13[[#This Row],[FY]]</f>
        <v>Week 11, SEP FY20</v>
      </c>
      <c r="I65" s="2" t="str">
        <f>Table13[[#This Row],[Month]]&amp;", "&amp;Table13[[#This Row],[FY]]</f>
        <v>SEP, FY20</v>
      </c>
      <c r="J65" s="2" t="str">
        <f>"Q"&amp;Table13[[#This Row],[QTR]]&amp;", "&amp;Table13[[#This Row],[FY]]</f>
        <v>Q1, FY20</v>
      </c>
    </row>
    <row r="66" spans="1:10" x14ac:dyDescent="0.25">
      <c r="A66" s="1">
        <f t="shared" si="4"/>
        <v>43724</v>
      </c>
      <c r="B66" s="1">
        <f t="shared" si="4"/>
        <v>43730</v>
      </c>
      <c r="C66" s="2" t="s">
        <v>1104</v>
      </c>
      <c r="D66" s="2" t="s">
        <v>1102</v>
      </c>
      <c r="E66" s="2">
        <v>1</v>
      </c>
      <c r="F66" s="2" t="s">
        <v>1154</v>
      </c>
      <c r="G66" s="2" t="str">
        <f>Table13[[#This Row],[Month]]&amp;", "&amp;Table13[[#This Row],[FY]]</f>
        <v>SEP, FY20</v>
      </c>
      <c r="H66" s="2" t="str">
        <f>Table13[[#This Row],[Week]]&amp;", "&amp;Table13[[#This Row],[Month]]&amp;" "&amp;Table13[[#This Row],[FY]]</f>
        <v>Week 12, SEP FY20</v>
      </c>
      <c r="I66" s="2" t="str">
        <f>Table13[[#This Row],[Month]]&amp;", "&amp;Table13[[#This Row],[FY]]</f>
        <v>SEP, FY20</v>
      </c>
      <c r="J66" s="2" t="str">
        <f>"Q"&amp;Table13[[#This Row],[QTR]]&amp;", "&amp;Table13[[#This Row],[FY]]</f>
        <v>Q1, FY20</v>
      </c>
    </row>
    <row r="67" spans="1:10" x14ac:dyDescent="0.25">
      <c r="A67" s="1">
        <f t="shared" ref="A67:B82" si="5">A66+7</f>
        <v>43731</v>
      </c>
      <c r="B67" s="1">
        <f t="shared" si="5"/>
        <v>43737</v>
      </c>
      <c r="C67" s="2" t="s">
        <v>1105</v>
      </c>
      <c r="D67" s="2" t="s">
        <v>1102</v>
      </c>
      <c r="E67" s="2">
        <v>1</v>
      </c>
      <c r="F67" s="2" t="s">
        <v>1154</v>
      </c>
      <c r="G67" s="2" t="str">
        <f>Table13[[#This Row],[Month]]&amp;", "&amp;Table13[[#This Row],[FY]]</f>
        <v>SEP, FY20</v>
      </c>
      <c r="H67" s="2" t="str">
        <f>Table13[[#This Row],[Week]]&amp;", "&amp;Table13[[#This Row],[Month]]&amp;" "&amp;Table13[[#This Row],[FY]]</f>
        <v>Week 13, SEP FY20</v>
      </c>
      <c r="I67" s="2" t="str">
        <f>Table13[[#This Row],[Month]]&amp;", "&amp;Table13[[#This Row],[FY]]</f>
        <v>SEP, FY20</v>
      </c>
      <c r="J67" s="2" t="str">
        <f>"Q"&amp;Table13[[#This Row],[QTR]]&amp;", "&amp;Table13[[#This Row],[FY]]</f>
        <v>Q1, FY20</v>
      </c>
    </row>
    <row r="68" spans="1:10" x14ac:dyDescent="0.25">
      <c r="A68" s="1">
        <f t="shared" si="5"/>
        <v>43738</v>
      </c>
      <c r="B68" s="1">
        <f t="shared" si="5"/>
        <v>43744</v>
      </c>
      <c r="C68" s="2" t="s">
        <v>1106</v>
      </c>
      <c r="D68" s="2" t="s">
        <v>1107</v>
      </c>
      <c r="E68" s="2">
        <f t="shared" ref="E68:E105" si="6">E55+1</f>
        <v>2</v>
      </c>
      <c r="F68" s="2" t="s">
        <v>1154</v>
      </c>
      <c r="G68" s="2" t="str">
        <f>Table13[[#This Row],[Month]]&amp;", "&amp;Table13[[#This Row],[FY]]</f>
        <v>OCT, FY20</v>
      </c>
      <c r="H68" s="2" t="str">
        <f>Table13[[#This Row],[Week]]&amp;", "&amp;Table13[[#This Row],[Month]]&amp;" "&amp;Table13[[#This Row],[FY]]</f>
        <v>Week 14, OCT FY20</v>
      </c>
      <c r="I68" s="2" t="str">
        <f>Table13[[#This Row],[Month]]&amp;", "&amp;Table13[[#This Row],[FY]]</f>
        <v>OCT, FY20</v>
      </c>
      <c r="J68" s="2" t="str">
        <f>"Q"&amp;Table13[[#This Row],[QTR]]&amp;", "&amp;Table13[[#This Row],[FY]]</f>
        <v>Q2, FY20</v>
      </c>
    </row>
    <row r="69" spans="1:10" x14ac:dyDescent="0.25">
      <c r="A69" s="1">
        <f t="shared" si="5"/>
        <v>43745</v>
      </c>
      <c r="B69" s="1">
        <f t="shared" si="5"/>
        <v>43751</v>
      </c>
      <c r="C69" s="2" t="s">
        <v>1108</v>
      </c>
      <c r="D69" s="2" t="s">
        <v>1107</v>
      </c>
      <c r="E69" s="2">
        <f t="shared" si="6"/>
        <v>2</v>
      </c>
      <c r="F69" s="2" t="s">
        <v>1154</v>
      </c>
      <c r="G69" s="2" t="str">
        <f>Table13[[#This Row],[Month]]&amp;", "&amp;Table13[[#This Row],[FY]]</f>
        <v>OCT, FY20</v>
      </c>
      <c r="H69" s="2" t="str">
        <f>Table13[[#This Row],[Week]]&amp;", "&amp;Table13[[#This Row],[Month]]&amp;" "&amp;Table13[[#This Row],[FY]]</f>
        <v>Week 15, OCT FY20</v>
      </c>
      <c r="I69" s="2" t="str">
        <f>Table13[[#This Row],[Month]]&amp;", "&amp;Table13[[#This Row],[FY]]</f>
        <v>OCT, FY20</v>
      </c>
      <c r="J69" s="2" t="str">
        <f>"Q"&amp;Table13[[#This Row],[QTR]]&amp;", "&amp;Table13[[#This Row],[FY]]</f>
        <v>Q2, FY20</v>
      </c>
    </row>
    <row r="70" spans="1:10" x14ac:dyDescent="0.25">
      <c r="A70" s="1">
        <f t="shared" si="5"/>
        <v>43752</v>
      </c>
      <c r="B70" s="1">
        <f t="shared" si="5"/>
        <v>43758</v>
      </c>
      <c r="C70" s="2" t="s">
        <v>1109</v>
      </c>
      <c r="D70" s="2" t="s">
        <v>1107</v>
      </c>
      <c r="E70" s="2">
        <f t="shared" si="6"/>
        <v>2</v>
      </c>
      <c r="F70" s="2" t="s">
        <v>1154</v>
      </c>
      <c r="G70" s="2" t="str">
        <f>Table13[[#This Row],[Month]]&amp;", "&amp;Table13[[#This Row],[FY]]</f>
        <v>OCT, FY20</v>
      </c>
      <c r="H70" s="2" t="str">
        <f>Table13[[#This Row],[Week]]&amp;", "&amp;Table13[[#This Row],[Month]]&amp;" "&amp;Table13[[#This Row],[FY]]</f>
        <v>Week 16, OCT FY20</v>
      </c>
      <c r="I70" s="2" t="str">
        <f>Table13[[#This Row],[Month]]&amp;", "&amp;Table13[[#This Row],[FY]]</f>
        <v>OCT, FY20</v>
      </c>
      <c r="J70" s="2" t="str">
        <f>"Q"&amp;Table13[[#This Row],[QTR]]&amp;", "&amp;Table13[[#This Row],[FY]]</f>
        <v>Q2, FY20</v>
      </c>
    </row>
    <row r="71" spans="1:10" x14ac:dyDescent="0.25">
      <c r="A71" s="1">
        <f t="shared" si="5"/>
        <v>43759</v>
      </c>
      <c r="B71" s="1">
        <f t="shared" si="5"/>
        <v>43765</v>
      </c>
      <c r="C71" s="2" t="s">
        <v>1110</v>
      </c>
      <c r="D71" s="2" t="s">
        <v>1107</v>
      </c>
      <c r="E71" s="2">
        <f t="shared" si="6"/>
        <v>2</v>
      </c>
      <c r="F71" s="2" t="s">
        <v>1154</v>
      </c>
      <c r="G71" s="2" t="str">
        <f>Table13[[#This Row],[Month]]&amp;", "&amp;Table13[[#This Row],[FY]]</f>
        <v>OCT, FY20</v>
      </c>
      <c r="H71" s="2" t="str">
        <f>Table13[[#This Row],[Week]]&amp;", "&amp;Table13[[#This Row],[Month]]&amp;" "&amp;Table13[[#This Row],[FY]]</f>
        <v>Week 17, OCT FY20</v>
      </c>
      <c r="I71" s="2" t="str">
        <f>Table13[[#This Row],[Month]]&amp;", "&amp;Table13[[#This Row],[FY]]</f>
        <v>OCT, FY20</v>
      </c>
      <c r="J71" s="2" t="str">
        <f>"Q"&amp;Table13[[#This Row],[QTR]]&amp;", "&amp;Table13[[#This Row],[FY]]</f>
        <v>Q2, FY20</v>
      </c>
    </row>
    <row r="72" spans="1:10" x14ac:dyDescent="0.25">
      <c r="A72" s="1">
        <f t="shared" si="5"/>
        <v>43766</v>
      </c>
      <c r="B72" s="1">
        <f t="shared" si="5"/>
        <v>43772</v>
      </c>
      <c r="C72" s="2" t="s">
        <v>1111</v>
      </c>
      <c r="D72" s="2" t="s">
        <v>1112</v>
      </c>
      <c r="E72" s="2">
        <f t="shared" si="6"/>
        <v>2</v>
      </c>
      <c r="F72" s="2" t="s">
        <v>1154</v>
      </c>
      <c r="G72" s="2" t="str">
        <f>Table13[[#This Row],[Month]]&amp;", "&amp;Table13[[#This Row],[FY]]</f>
        <v>NOV, FY20</v>
      </c>
      <c r="H72" s="2" t="str">
        <f>Table13[[#This Row],[Week]]&amp;", "&amp;Table13[[#This Row],[Month]]&amp;" "&amp;Table13[[#This Row],[FY]]</f>
        <v>Week 18, NOV FY20</v>
      </c>
      <c r="I72" s="2" t="str">
        <f>Table13[[#This Row],[Month]]&amp;", "&amp;Table13[[#This Row],[FY]]</f>
        <v>NOV, FY20</v>
      </c>
      <c r="J72" s="2" t="str">
        <f>"Q"&amp;Table13[[#This Row],[QTR]]&amp;", "&amp;Table13[[#This Row],[FY]]</f>
        <v>Q2, FY20</v>
      </c>
    </row>
    <row r="73" spans="1:10" x14ac:dyDescent="0.25">
      <c r="A73" s="1">
        <f t="shared" si="5"/>
        <v>43773</v>
      </c>
      <c r="B73" s="1">
        <f t="shared" si="5"/>
        <v>43779</v>
      </c>
      <c r="C73" s="2" t="s">
        <v>1113</v>
      </c>
      <c r="D73" s="2" t="s">
        <v>1112</v>
      </c>
      <c r="E73" s="2">
        <f t="shared" si="6"/>
        <v>2</v>
      </c>
      <c r="F73" s="2" t="s">
        <v>1154</v>
      </c>
      <c r="G73" s="2" t="str">
        <f>Table13[[#This Row],[Month]]&amp;", "&amp;Table13[[#This Row],[FY]]</f>
        <v>NOV, FY20</v>
      </c>
      <c r="H73" s="2" t="str">
        <f>Table13[[#This Row],[Week]]&amp;", "&amp;Table13[[#This Row],[Month]]&amp;" "&amp;Table13[[#This Row],[FY]]</f>
        <v>Week 19, NOV FY20</v>
      </c>
      <c r="I73" s="2" t="str">
        <f>Table13[[#This Row],[Month]]&amp;", "&amp;Table13[[#This Row],[FY]]</f>
        <v>NOV, FY20</v>
      </c>
      <c r="J73" s="2" t="str">
        <f>"Q"&amp;Table13[[#This Row],[QTR]]&amp;", "&amp;Table13[[#This Row],[FY]]</f>
        <v>Q2, FY20</v>
      </c>
    </row>
    <row r="74" spans="1:10" x14ac:dyDescent="0.25">
      <c r="A74" s="1">
        <f t="shared" si="5"/>
        <v>43780</v>
      </c>
      <c r="B74" s="1">
        <f t="shared" si="5"/>
        <v>43786</v>
      </c>
      <c r="C74" s="2" t="s">
        <v>1114</v>
      </c>
      <c r="D74" s="2" t="s">
        <v>1112</v>
      </c>
      <c r="E74" s="2">
        <f t="shared" si="6"/>
        <v>2</v>
      </c>
      <c r="F74" s="2" t="s">
        <v>1154</v>
      </c>
      <c r="G74" s="2" t="str">
        <f>Table13[[#This Row],[Month]]&amp;", "&amp;Table13[[#This Row],[FY]]</f>
        <v>NOV, FY20</v>
      </c>
      <c r="H74" s="2" t="str">
        <f>Table13[[#This Row],[Week]]&amp;", "&amp;Table13[[#This Row],[Month]]&amp;" "&amp;Table13[[#This Row],[FY]]</f>
        <v>Week 20, NOV FY20</v>
      </c>
      <c r="I74" s="2" t="str">
        <f>Table13[[#This Row],[Month]]&amp;", "&amp;Table13[[#This Row],[FY]]</f>
        <v>NOV, FY20</v>
      </c>
      <c r="J74" s="2" t="str">
        <f>"Q"&amp;Table13[[#This Row],[QTR]]&amp;", "&amp;Table13[[#This Row],[FY]]</f>
        <v>Q2, FY20</v>
      </c>
    </row>
    <row r="75" spans="1:10" x14ac:dyDescent="0.25">
      <c r="A75" s="1">
        <f t="shared" si="5"/>
        <v>43787</v>
      </c>
      <c r="B75" s="1">
        <f t="shared" si="5"/>
        <v>43793</v>
      </c>
      <c r="C75" s="2" t="s">
        <v>1115</v>
      </c>
      <c r="D75" s="2" t="s">
        <v>1112</v>
      </c>
      <c r="E75" s="2">
        <f t="shared" si="6"/>
        <v>2</v>
      </c>
      <c r="F75" s="2" t="s">
        <v>1154</v>
      </c>
      <c r="G75" s="2" t="str">
        <f>Table13[[#This Row],[Month]]&amp;", "&amp;Table13[[#This Row],[FY]]</f>
        <v>NOV, FY20</v>
      </c>
      <c r="H75" s="2" t="str">
        <f>Table13[[#This Row],[Week]]&amp;", "&amp;Table13[[#This Row],[Month]]&amp;" "&amp;Table13[[#This Row],[FY]]</f>
        <v>Week 21, NOV FY20</v>
      </c>
      <c r="I75" s="2" t="str">
        <f>Table13[[#This Row],[Month]]&amp;", "&amp;Table13[[#This Row],[FY]]</f>
        <v>NOV, FY20</v>
      </c>
      <c r="J75" s="2" t="str">
        <f>"Q"&amp;Table13[[#This Row],[QTR]]&amp;", "&amp;Table13[[#This Row],[FY]]</f>
        <v>Q2, FY20</v>
      </c>
    </row>
    <row r="76" spans="1:10" x14ac:dyDescent="0.25">
      <c r="A76" s="1">
        <f t="shared" si="5"/>
        <v>43794</v>
      </c>
      <c r="B76" s="1">
        <f t="shared" si="5"/>
        <v>43800</v>
      </c>
      <c r="C76" s="2" t="s">
        <v>1116</v>
      </c>
      <c r="D76" s="2" t="s">
        <v>1112</v>
      </c>
      <c r="E76" s="2">
        <f t="shared" si="6"/>
        <v>2</v>
      </c>
      <c r="F76" s="2" t="s">
        <v>1154</v>
      </c>
      <c r="G76" s="2" t="str">
        <f>Table13[[#This Row],[Month]]&amp;", "&amp;Table13[[#This Row],[FY]]</f>
        <v>NOV, FY20</v>
      </c>
      <c r="H76" s="2" t="str">
        <f>Table13[[#This Row],[Week]]&amp;", "&amp;Table13[[#This Row],[Month]]&amp;" "&amp;Table13[[#This Row],[FY]]</f>
        <v>Week 22, NOV FY20</v>
      </c>
      <c r="I76" s="2" t="str">
        <f>Table13[[#This Row],[Month]]&amp;", "&amp;Table13[[#This Row],[FY]]</f>
        <v>NOV, FY20</v>
      </c>
      <c r="J76" s="2" t="str">
        <f>"Q"&amp;Table13[[#This Row],[QTR]]&amp;", "&amp;Table13[[#This Row],[FY]]</f>
        <v>Q2, FY20</v>
      </c>
    </row>
    <row r="77" spans="1:10" x14ac:dyDescent="0.25">
      <c r="A77" s="1">
        <f t="shared" si="5"/>
        <v>43801</v>
      </c>
      <c r="B77" s="1">
        <f t="shared" si="5"/>
        <v>43807</v>
      </c>
      <c r="C77" s="2" t="s">
        <v>1117</v>
      </c>
      <c r="D77" s="2" t="s">
        <v>1118</v>
      </c>
      <c r="E77" s="2">
        <f t="shared" si="6"/>
        <v>2</v>
      </c>
      <c r="F77" s="2" t="s">
        <v>1154</v>
      </c>
      <c r="G77" s="2" t="str">
        <f>Table13[[#This Row],[Month]]&amp;", "&amp;Table13[[#This Row],[FY]]</f>
        <v>DEC, FY20</v>
      </c>
      <c r="H77" s="2" t="str">
        <f>Table13[[#This Row],[Week]]&amp;", "&amp;Table13[[#This Row],[Month]]&amp;" "&amp;Table13[[#This Row],[FY]]</f>
        <v>Week 23, DEC FY20</v>
      </c>
      <c r="I77" s="2" t="str">
        <f>Table13[[#This Row],[Month]]&amp;", "&amp;Table13[[#This Row],[FY]]</f>
        <v>DEC, FY20</v>
      </c>
      <c r="J77" s="2" t="str">
        <f>"Q"&amp;Table13[[#This Row],[QTR]]&amp;", "&amp;Table13[[#This Row],[FY]]</f>
        <v>Q2, FY20</v>
      </c>
    </row>
    <row r="78" spans="1:10" x14ac:dyDescent="0.25">
      <c r="A78" s="1">
        <f t="shared" si="5"/>
        <v>43808</v>
      </c>
      <c r="B78" s="1">
        <f t="shared" si="5"/>
        <v>43814</v>
      </c>
      <c r="C78" s="2" t="s">
        <v>1119</v>
      </c>
      <c r="D78" s="2" t="s">
        <v>1118</v>
      </c>
      <c r="E78" s="2">
        <f t="shared" si="6"/>
        <v>2</v>
      </c>
      <c r="F78" s="2" t="s">
        <v>1154</v>
      </c>
      <c r="G78" s="2" t="str">
        <f>Table13[[#This Row],[Month]]&amp;", "&amp;Table13[[#This Row],[FY]]</f>
        <v>DEC, FY20</v>
      </c>
      <c r="H78" s="2" t="str">
        <f>Table13[[#This Row],[Week]]&amp;", "&amp;Table13[[#This Row],[Month]]&amp;" "&amp;Table13[[#This Row],[FY]]</f>
        <v>Week 24, DEC FY20</v>
      </c>
      <c r="I78" s="2" t="str">
        <f>Table13[[#This Row],[Month]]&amp;", "&amp;Table13[[#This Row],[FY]]</f>
        <v>DEC, FY20</v>
      </c>
      <c r="J78" s="2" t="str">
        <f>"Q"&amp;Table13[[#This Row],[QTR]]&amp;", "&amp;Table13[[#This Row],[FY]]</f>
        <v>Q2, FY20</v>
      </c>
    </row>
    <row r="79" spans="1:10" x14ac:dyDescent="0.25">
      <c r="A79" s="1">
        <f t="shared" si="5"/>
        <v>43815</v>
      </c>
      <c r="B79" s="1">
        <f t="shared" si="5"/>
        <v>43821</v>
      </c>
      <c r="C79" s="2" t="s">
        <v>1120</v>
      </c>
      <c r="D79" s="2" t="s">
        <v>1118</v>
      </c>
      <c r="E79" s="2">
        <f t="shared" si="6"/>
        <v>2</v>
      </c>
      <c r="F79" s="2" t="s">
        <v>1154</v>
      </c>
      <c r="G79" s="2" t="str">
        <f>Table13[[#This Row],[Month]]&amp;", "&amp;Table13[[#This Row],[FY]]</f>
        <v>DEC, FY20</v>
      </c>
      <c r="H79" s="2" t="str">
        <f>Table13[[#This Row],[Week]]&amp;", "&amp;Table13[[#This Row],[Month]]&amp;" "&amp;Table13[[#This Row],[FY]]</f>
        <v>Week 25, DEC FY20</v>
      </c>
      <c r="I79" s="2" t="str">
        <f>Table13[[#This Row],[Month]]&amp;", "&amp;Table13[[#This Row],[FY]]</f>
        <v>DEC, FY20</v>
      </c>
      <c r="J79" s="2" t="str">
        <f>"Q"&amp;Table13[[#This Row],[QTR]]&amp;", "&amp;Table13[[#This Row],[FY]]</f>
        <v>Q2, FY20</v>
      </c>
    </row>
    <row r="80" spans="1:10" x14ac:dyDescent="0.25">
      <c r="A80" s="1">
        <f t="shared" si="5"/>
        <v>43822</v>
      </c>
      <c r="B80" s="1">
        <f t="shared" si="5"/>
        <v>43828</v>
      </c>
      <c r="C80" s="2" t="s">
        <v>1121</v>
      </c>
      <c r="D80" s="2" t="s">
        <v>1118</v>
      </c>
      <c r="E80" s="2">
        <v>2</v>
      </c>
      <c r="F80" s="2" t="s">
        <v>1154</v>
      </c>
      <c r="G80" s="2" t="str">
        <f>Table13[[#This Row],[Month]]&amp;", "&amp;Table13[[#This Row],[FY]]</f>
        <v>DEC, FY20</v>
      </c>
      <c r="H80" s="2" t="str">
        <f>Table13[[#This Row],[Week]]&amp;", "&amp;Table13[[#This Row],[Month]]&amp;" "&amp;Table13[[#This Row],[FY]]</f>
        <v>Week 26, DEC FY20</v>
      </c>
      <c r="I80" s="2" t="str">
        <f>Table13[[#This Row],[Month]]&amp;", "&amp;Table13[[#This Row],[FY]]</f>
        <v>DEC, FY20</v>
      </c>
      <c r="J80" s="2" t="str">
        <f>"Q"&amp;Table13[[#This Row],[QTR]]&amp;", "&amp;Table13[[#This Row],[FY]]</f>
        <v>Q2, FY20</v>
      </c>
    </row>
    <row r="81" spans="1:10" x14ac:dyDescent="0.25">
      <c r="A81" s="1">
        <f t="shared" si="5"/>
        <v>43829</v>
      </c>
      <c r="B81" s="1">
        <f t="shared" si="5"/>
        <v>43835</v>
      </c>
      <c r="C81" s="2" t="s">
        <v>1122</v>
      </c>
      <c r="D81" s="2" t="s">
        <v>1123</v>
      </c>
      <c r="E81" s="2">
        <f t="shared" si="6"/>
        <v>3</v>
      </c>
      <c r="F81" s="2" t="s">
        <v>1154</v>
      </c>
      <c r="G81" s="2" t="str">
        <f>Table13[[#This Row],[Month]]&amp;", "&amp;Table13[[#This Row],[FY]]</f>
        <v>JAN, FY20</v>
      </c>
      <c r="H81" s="2" t="str">
        <f>Table13[[#This Row],[Week]]&amp;", "&amp;Table13[[#This Row],[Month]]&amp;" "&amp;Table13[[#This Row],[FY]]</f>
        <v>Week 27, JAN FY20</v>
      </c>
      <c r="I81" s="2" t="str">
        <f>Table13[[#This Row],[Month]]&amp;", "&amp;Table13[[#This Row],[FY]]</f>
        <v>JAN, FY20</v>
      </c>
      <c r="J81" s="2" t="str">
        <f>"Q"&amp;Table13[[#This Row],[QTR]]&amp;", "&amp;Table13[[#This Row],[FY]]</f>
        <v>Q3, FY20</v>
      </c>
    </row>
    <row r="82" spans="1:10" x14ac:dyDescent="0.25">
      <c r="A82" s="1">
        <f t="shared" si="5"/>
        <v>43836</v>
      </c>
      <c r="B82" s="1">
        <f t="shared" si="5"/>
        <v>43842</v>
      </c>
      <c r="C82" s="2" t="s">
        <v>1124</v>
      </c>
      <c r="D82" s="2" t="s">
        <v>1123</v>
      </c>
      <c r="E82" s="2">
        <f t="shared" si="6"/>
        <v>3</v>
      </c>
      <c r="F82" s="2" t="s">
        <v>1154</v>
      </c>
      <c r="G82" s="2" t="str">
        <f>Table13[[#This Row],[Month]]&amp;", "&amp;Table13[[#This Row],[FY]]</f>
        <v>JAN, FY20</v>
      </c>
      <c r="H82" s="2" t="str">
        <f>Table13[[#This Row],[Week]]&amp;", "&amp;Table13[[#This Row],[Month]]&amp;" "&amp;Table13[[#This Row],[FY]]</f>
        <v>Week 28, JAN FY20</v>
      </c>
      <c r="I82" s="2" t="str">
        <f>Table13[[#This Row],[Month]]&amp;", "&amp;Table13[[#This Row],[FY]]</f>
        <v>JAN, FY20</v>
      </c>
      <c r="J82" s="2" t="str">
        <f>"Q"&amp;Table13[[#This Row],[QTR]]&amp;", "&amp;Table13[[#This Row],[FY]]</f>
        <v>Q3, FY20</v>
      </c>
    </row>
    <row r="83" spans="1:10" x14ac:dyDescent="0.25">
      <c r="A83" s="1">
        <f t="shared" ref="A83:B98" si="7">A82+7</f>
        <v>43843</v>
      </c>
      <c r="B83" s="1">
        <f t="shared" si="7"/>
        <v>43849</v>
      </c>
      <c r="C83" s="2" t="s">
        <v>1125</v>
      </c>
      <c r="D83" s="2" t="s">
        <v>1123</v>
      </c>
      <c r="E83" s="2">
        <f t="shared" si="6"/>
        <v>3</v>
      </c>
      <c r="F83" s="2" t="s">
        <v>1154</v>
      </c>
      <c r="G83" s="2" t="str">
        <f>Table13[[#This Row],[Month]]&amp;", "&amp;Table13[[#This Row],[FY]]</f>
        <v>JAN, FY20</v>
      </c>
      <c r="H83" s="2" t="str">
        <f>Table13[[#This Row],[Week]]&amp;", "&amp;Table13[[#This Row],[Month]]&amp;" "&amp;Table13[[#This Row],[FY]]</f>
        <v>Week 29, JAN FY20</v>
      </c>
      <c r="I83" s="2" t="str">
        <f>Table13[[#This Row],[Month]]&amp;", "&amp;Table13[[#This Row],[FY]]</f>
        <v>JAN, FY20</v>
      </c>
      <c r="J83" s="2" t="str">
        <f>"Q"&amp;Table13[[#This Row],[QTR]]&amp;", "&amp;Table13[[#This Row],[FY]]</f>
        <v>Q3, FY20</v>
      </c>
    </row>
    <row r="84" spans="1:10" x14ac:dyDescent="0.25">
      <c r="A84" s="1">
        <f t="shared" si="7"/>
        <v>43850</v>
      </c>
      <c r="B84" s="1">
        <f t="shared" si="7"/>
        <v>43856</v>
      </c>
      <c r="C84" s="2" t="s">
        <v>1126</v>
      </c>
      <c r="D84" s="2" t="s">
        <v>1123</v>
      </c>
      <c r="E84" s="2">
        <f t="shared" si="6"/>
        <v>3</v>
      </c>
      <c r="F84" s="2" t="s">
        <v>1154</v>
      </c>
      <c r="G84" s="2" t="str">
        <f>Table13[[#This Row],[Month]]&amp;", "&amp;Table13[[#This Row],[FY]]</f>
        <v>JAN, FY20</v>
      </c>
      <c r="H84" s="2" t="str">
        <f>Table13[[#This Row],[Week]]&amp;", "&amp;Table13[[#This Row],[Month]]&amp;" "&amp;Table13[[#This Row],[FY]]</f>
        <v>Week 30, JAN FY20</v>
      </c>
      <c r="I84" s="2" t="str">
        <f>Table13[[#This Row],[Month]]&amp;", "&amp;Table13[[#This Row],[FY]]</f>
        <v>JAN, FY20</v>
      </c>
      <c r="J84" s="2" t="str">
        <f>"Q"&amp;Table13[[#This Row],[QTR]]&amp;", "&amp;Table13[[#This Row],[FY]]</f>
        <v>Q3, FY20</v>
      </c>
    </row>
    <row r="85" spans="1:10" x14ac:dyDescent="0.25">
      <c r="A85" s="1">
        <f t="shared" si="7"/>
        <v>43857</v>
      </c>
      <c r="B85" s="1">
        <f t="shared" si="7"/>
        <v>43863</v>
      </c>
      <c r="C85" s="2" t="s">
        <v>1127</v>
      </c>
      <c r="D85" s="2" t="s">
        <v>1128</v>
      </c>
      <c r="E85" s="2">
        <f t="shared" si="6"/>
        <v>3</v>
      </c>
      <c r="F85" s="2" t="s">
        <v>1154</v>
      </c>
      <c r="G85" s="2" t="str">
        <f>Table13[[#This Row],[Month]]&amp;", "&amp;Table13[[#This Row],[FY]]</f>
        <v>FEB, FY20</v>
      </c>
      <c r="H85" s="2" t="str">
        <f>Table13[[#This Row],[Week]]&amp;", "&amp;Table13[[#This Row],[Month]]&amp;" "&amp;Table13[[#This Row],[FY]]</f>
        <v>Week 31, FEB FY20</v>
      </c>
      <c r="I85" s="2" t="str">
        <f>Table13[[#This Row],[Month]]&amp;", "&amp;Table13[[#This Row],[FY]]</f>
        <v>FEB, FY20</v>
      </c>
      <c r="J85" s="2" t="str">
        <f>"Q"&amp;Table13[[#This Row],[QTR]]&amp;", "&amp;Table13[[#This Row],[FY]]</f>
        <v>Q3, FY20</v>
      </c>
    </row>
    <row r="86" spans="1:10" x14ac:dyDescent="0.25">
      <c r="A86" s="1">
        <f t="shared" si="7"/>
        <v>43864</v>
      </c>
      <c r="B86" s="1">
        <f t="shared" si="7"/>
        <v>43870</v>
      </c>
      <c r="C86" s="2" t="s">
        <v>1129</v>
      </c>
      <c r="D86" s="2" t="s">
        <v>1128</v>
      </c>
      <c r="E86" s="2">
        <f t="shared" si="6"/>
        <v>3</v>
      </c>
      <c r="F86" s="2" t="s">
        <v>1154</v>
      </c>
      <c r="G86" s="2" t="str">
        <f>Table13[[#This Row],[Month]]&amp;", "&amp;Table13[[#This Row],[FY]]</f>
        <v>FEB, FY20</v>
      </c>
      <c r="H86" s="2" t="str">
        <f>Table13[[#This Row],[Week]]&amp;", "&amp;Table13[[#This Row],[Month]]&amp;" "&amp;Table13[[#This Row],[FY]]</f>
        <v>Week 32, FEB FY20</v>
      </c>
      <c r="I86" s="2" t="str">
        <f>Table13[[#This Row],[Month]]&amp;", "&amp;Table13[[#This Row],[FY]]</f>
        <v>FEB, FY20</v>
      </c>
      <c r="J86" s="2" t="str">
        <f>"Q"&amp;Table13[[#This Row],[QTR]]&amp;", "&amp;Table13[[#This Row],[FY]]</f>
        <v>Q3, FY20</v>
      </c>
    </row>
    <row r="87" spans="1:10" x14ac:dyDescent="0.25">
      <c r="A87" s="1">
        <f t="shared" si="7"/>
        <v>43871</v>
      </c>
      <c r="B87" s="1">
        <f t="shared" si="7"/>
        <v>43877</v>
      </c>
      <c r="C87" s="2" t="s">
        <v>1130</v>
      </c>
      <c r="D87" s="2" t="s">
        <v>1128</v>
      </c>
      <c r="E87" s="2">
        <f t="shared" si="6"/>
        <v>3</v>
      </c>
      <c r="F87" s="2" t="s">
        <v>1154</v>
      </c>
      <c r="G87" s="2" t="str">
        <f>Table13[[#This Row],[Month]]&amp;", "&amp;Table13[[#This Row],[FY]]</f>
        <v>FEB, FY20</v>
      </c>
      <c r="H87" s="2" t="str">
        <f>Table13[[#This Row],[Week]]&amp;", "&amp;Table13[[#This Row],[Month]]&amp;" "&amp;Table13[[#This Row],[FY]]</f>
        <v>Week 33, FEB FY20</v>
      </c>
      <c r="I87" s="2" t="str">
        <f>Table13[[#This Row],[Month]]&amp;", "&amp;Table13[[#This Row],[FY]]</f>
        <v>FEB, FY20</v>
      </c>
      <c r="J87" s="2" t="str">
        <f>"Q"&amp;Table13[[#This Row],[QTR]]&amp;", "&amp;Table13[[#This Row],[FY]]</f>
        <v>Q3, FY20</v>
      </c>
    </row>
    <row r="88" spans="1:10" x14ac:dyDescent="0.25">
      <c r="A88" s="1">
        <f t="shared" si="7"/>
        <v>43878</v>
      </c>
      <c r="B88" s="1">
        <f t="shared" si="7"/>
        <v>43884</v>
      </c>
      <c r="C88" s="2" t="s">
        <v>1131</v>
      </c>
      <c r="D88" s="2" t="s">
        <v>1128</v>
      </c>
      <c r="E88" s="2">
        <f t="shared" si="6"/>
        <v>3</v>
      </c>
      <c r="F88" s="2" t="s">
        <v>1154</v>
      </c>
      <c r="G88" s="2" t="str">
        <f>Table13[[#This Row],[Month]]&amp;", "&amp;Table13[[#This Row],[FY]]</f>
        <v>FEB, FY20</v>
      </c>
      <c r="H88" s="2" t="str">
        <f>Table13[[#This Row],[Week]]&amp;", "&amp;Table13[[#This Row],[Month]]&amp;" "&amp;Table13[[#This Row],[FY]]</f>
        <v>Week 34, FEB FY20</v>
      </c>
      <c r="I88" s="2" t="str">
        <f>Table13[[#This Row],[Month]]&amp;", "&amp;Table13[[#This Row],[FY]]</f>
        <v>FEB, FY20</v>
      </c>
      <c r="J88" s="2" t="str">
        <f>"Q"&amp;Table13[[#This Row],[QTR]]&amp;", "&amp;Table13[[#This Row],[FY]]</f>
        <v>Q3, FY20</v>
      </c>
    </row>
    <row r="89" spans="1:10" x14ac:dyDescent="0.25">
      <c r="A89" s="1">
        <f t="shared" si="7"/>
        <v>43885</v>
      </c>
      <c r="B89" s="1">
        <f t="shared" si="7"/>
        <v>43891</v>
      </c>
      <c r="C89" s="2" t="s">
        <v>1132</v>
      </c>
      <c r="D89" s="2" t="s">
        <v>1128</v>
      </c>
      <c r="E89" s="2">
        <f t="shared" si="6"/>
        <v>3</v>
      </c>
      <c r="F89" s="2" t="s">
        <v>1154</v>
      </c>
      <c r="G89" s="2" t="str">
        <f>Table13[[#This Row],[Month]]&amp;", "&amp;Table13[[#This Row],[FY]]</f>
        <v>FEB, FY20</v>
      </c>
      <c r="H89" s="2" t="str">
        <f>Table13[[#This Row],[Week]]&amp;", "&amp;Table13[[#This Row],[Month]]&amp;" "&amp;Table13[[#This Row],[FY]]</f>
        <v>Week 35, FEB FY20</v>
      </c>
      <c r="I89" s="2" t="str">
        <f>Table13[[#This Row],[Month]]&amp;", "&amp;Table13[[#This Row],[FY]]</f>
        <v>FEB, FY20</v>
      </c>
      <c r="J89" s="2" t="str">
        <f>"Q"&amp;Table13[[#This Row],[QTR]]&amp;", "&amp;Table13[[#This Row],[FY]]</f>
        <v>Q3, FY20</v>
      </c>
    </row>
    <row r="90" spans="1:10" x14ac:dyDescent="0.25">
      <c r="A90" s="1">
        <f t="shared" si="7"/>
        <v>43892</v>
      </c>
      <c r="B90" s="1">
        <f t="shared" si="7"/>
        <v>43898</v>
      </c>
      <c r="C90" s="2" t="s">
        <v>1133</v>
      </c>
      <c r="D90" s="2" t="s">
        <v>1134</v>
      </c>
      <c r="E90" s="2">
        <f t="shared" si="6"/>
        <v>3</v>
      </c>
      <c r="F90" s="2" t="s">
        <v>1154</v>
      </c>
      <c r="G90" s="2" t="str">
        <f>Table13[[#This Row],[Month]]&amp;", "&amp;Table13[[#This Row],[FY]]</f>
        <v>MAR, FY20</v>
      </c>
      <c r="H90" s="2" t="str">
        <f>Table13[[#This Row],[Week]]&amp;", "&amp;Table13[[#This Row],[Month]]&amp;" "&amp;Table13[[#This Row],[FY]]</f>
        <v>Week 36, MAR FY20</v>
      </c>
      <c r="I90" s="2" t="str">
        <f>Table13[[#This Row],[Month]]&amp;", "&amp;Table13[[#This Row],[FY]]</f>
        <v>MAR, FY20</v>
      </c>
      <c r="J90" s="2" t="str">
        <f>"Q"&amp;Table13[[#This Row],[QTR]]&amp;", "&amp;Table13[[#This Row],[FY]]</f>
        <v>Q3, FY20</v>
      </c>
    </row>
    <row r="91" spans="1:10" x14ac:dyDescent="0.25">
      <c r="A91" s="1">
        <f t="shared" si="7"/>
        <v>43899</v>
      </c>
      <c r="B91" s="1">
        <f t="shared" si="7"/>
        <v>43905</v>
      </c>
      <c r="C91" s="2" t="s">
        <v>1135</v>
      </c>
      <c r="D91" s="2" t="s">
        <v>1134</v>
      </c>
      <c r="E91" s="2">
        <f t="shared" si="6"/>
        <v>3</v>
      </c>
      <c r="F91" s="2" t="s">
        <v>1154</v>
      </c>
      <c r="G91" s="2" t="str">
        <f>Table13[[#This Row],[Month]]&amp;", "&amp;Table13[[#This Row],[FY]]</f>
        <v>MAR, FY20</v>
      </c>
      <c r="H91" s="2" t="str">
        <f>Table13[[#This Row],[Week]]&amp;", "&amp;Table13[[#This Row],[Month]]&amp;" "&amp;Table13[[#This Row],[FY]]</f>
        <v>Week 37, MAR FY20</v>
      </c>
      <c r="I91" s="2" t="str">
        <f>Table13[[#This Row],[Month]]&amp;", "&amp;Table13[[#This Row],[FY]]</f>
        <v>MAR, FY20</v>
      </c>
      <c r="J91" s="2" t="str">
        <f>"Q"&amp;Table13[[#This Row],[QTR]]&amp;", "&amp;Table13[[#This Row],[FY]]</f>
        <v>Q3, FY20</v>
      </c>
    </row>
    <row r="92" spans="1:10" x14ac:dyDescent="0.25">
      <c r="A92" s="1">
        <f t="shared" si="7"/>
        <v>43906</v>
      </c>
      <c r="B92" s="1">
        <f t="shared" si="7"/>
        <v>43912</v>
      </c>
      <c r="C92" s="2" t="s">
        <v>1136</v>
      </c>
      <c r="D92" s="2" t="s">
        <v>1134</v>
      </c>
      <c r="E92" s="2">
        <f t="shared" si="6"/>
        <v>3</v>
      </c>
      <c r="F92" s="2" t="s">
        <v>1154</v>
      </c>
      <c r="G92" s="2" t="str">
        <f>Table13[[#This Row],[Month]]&amp;", "&amp;Table13[[#This Row],[FY]]</f>
        <v>MAR, FY20</v>
      </c>
      <c r="H92" s="2" t="str">
        <f>Table13[[#This Row],[Week]]&amp;", "&amp;Table13[[#This Row],[Month]]&amp;" "&amp;Table13[[#This Row],[FY]]</f>
        <v>Week 38, MAR FY20</v>
      </c>
      <c r="I92" s="2" t="str">
        <f>Table13[[#This Row],[Month]]&amp;", "&amp;Table13[[#This Row],[FY]]</f>
        <v>MAR, FY20</v>
      </c>
      <c r="J92" s="2" t="str">
        <f>"Q"&amp;Table13[[#This Row],[QTR]]&amp;", "&amp;Table13[[#This Row],[FY]]</f>
        <v>Q3, FY20</v>
      </c>
    </row>
    <row r="93" spans="1:10" x14ac:dyDescent="0.25">
      <c r="A93" s="1">
        <f t="shared" si="7"/>
        <v>43913</v>
      </c>
      <c r="B93" s="1">
        <f t="shared" si="7"/>
        <v>43919</v>
      </c>
      <c r="C93" s="2" t="s">
        <v>1137</v>
      </c>
      <c r="D93" s="2" t="s">
        <v>1134</v>
      </c>
      <c r="E93" s="2">
        <v>3</v>
      </c>
      <c r="F93" s="2" t="s">
        <v>1154</v>
      </c>
      <c r="G93" s="2" t="str">
        <f>Table13[[#This Row],[Month]]&amp;", "&amp;Table13[[#This Row],[FY]]</f>
        <v>MAR, FY20</v>
      </c>
      <c r="H93" s="2" t="str">
        <f>Table13[[#This Row],[Week]]&amp;", "&amp;Table13[[#This Row],[Month]]&amp;" "&amp;Table13[[#This Row],[FY]]</f>
        <v>Week 39, MAR FY20</v>
      </c>
      <c r="I93" s="2" t="str">
        <f>Table13[[#This Row],[Month]]&amp;", "&amp;Table13[[#This Row],[FY]]</f>
        <v>MAR, FY20</v>
      </c>
      <c r="J93" s="2" t="str">
        <f>"Q"&amp;Table13[[#This Row],[QTR]]&amp;", "&amp;Table13[[#This Row],[FY]]</f>
        <v>Q3, FY20</v>
      </c>
    </row>
    <row r="94" spans="1:10" x14ac:dyDescent="0.25">
      <c r="A94" s="1">
        <f t="shared" si="7"/>
        <v>43920</v>
      </c>
      <c r="B94" s="1">
        <f t="shared" si="7"/>
        <v>43926</v>
      </c>
      <c r="C94" s="2" t="s">
        <v>1138</v>
      </c>
      <c r="D94" s="2" t="s">
        <v>1139</v>
      </c>
      <c r="E94" s="2">
        <f t="shared" si="6"/>
        <v>4</v>
      </c>
      <c r="F94" s="2" t="s">
        <v>1154</v>
      </c>
      <c r="G94" s="2" t="str">
        <f>Table13[[#This Row],[Month]]&amp;", "&amp;Table13[[#This Row],[FY]]</f>
        <v>APR, FY20</v>
      </c>
      <c r="H94" s="2" t="str">
        <f>Table13[[#This Row],[Week]]&amp;", "&amp;Table13[[#This Row],[Month]]&amp;" "&amp;Table13[[#This Row],[FY]]</f>
        <v>Week 40, APR FY20</v>
      </c>
      <c r="I94" s="2" t="str">
        <f>Table13[[#This Row],[Month]]&amp;", "&amp;Table13[[#This Row],[FY]]</f>
        <v>APR, FY20</v>
      </c>
      <c r="J94" s="2" t="str">
        <f>"Q"&amp;Table13[[#This Row],[QTR]]&amp;", "&amp;Table13[[#This Row],[FY]]</f>
        <v>Q4, FY20</v>
      </c>
    </row>
    <row r="95" spans="1:10" x14ac:dyDescent="0.25">
      <c r="A95" s="1">
        <f t="shared" si="7"/>
        <v>43927</v>
      </c>
      <c r="B95" s="1">
        <f t="shared" si="7"/>
        <v>43933</v>
      </c>
      <c r="C95" s="2" t="s">
        <v>1140</v>
      </c>
      <c r="D95" s="2" t="s">
        <v>1139</v>
      </c>
      <c r="E95" s="2">
        <f t="shared" si="6"/>
        <v>4</v>
      </c>
      <c r="F95" s="2" t="s">
        <v>1154</v>
      </c>
      <c r="G95" s="2" t="str">
        <f>Table13[[#This Row],[Month]]&amp;", "&amp;Table13[[#This Row],[FY]]</f>
        <v>APR, FY20</v>
      </c>
      <c r="H95" s="2" t="str">
        <f>Table13[[#This Row],[Week]]&amp;", "&amp;Table13[[#This Row],[Month]]&amp;" "&amp;Table13[[#This Row],[FY]]</f>
        <v>Week 41, APR FY20</v>
      </c>
      <c r="I95" s="2" t="str">
        <f>Table13[[#This Row],[Month]]&amp;", "&amp;Table13[[#This Row],[FY]]</f>
        <v>APR, FY20</v>
      </c>
      <c r="J95" s="2" t="str">
        <f>"Q"&amp;Table13[[#This Row],[QTR]]&amp;", "&amp;Table13[[#This Row],[FY]]</f>
        <v>Q4, FY20</v>
      </c>
    </row>
    <row r="96" spans="1:10" x14ac:dyDescent="0.25">
      <c r="A96" s="1">
        <f t="shared" si="7"/>
        <v>43934</v>
      </c>
      <c r="B96" s="1">
        <f t="shared" si="7"/>
        <v>43940</v>
      </c>
      <c r="C96" s="2" t="s">
        <v>1141</v>
      </c>
      <c r="D96" s="2" t="s">
        <v>1139</v>
      </c>
      <c r="E96" s="2">
        <f t="shared" si="6"/>
        <v>4</v>
      </c>
      <c r="F96" s="2" t="s">
        <v>1154</v>
      </c>
      <c r="G96" s="2" t="str">
        <f>Table13[[#This Row],[Month]]&amp;", "&amp;Table13[[#This Row],[FY]]</f>
        <v>APR, FY20</v>
      </c>
      <c r="H96" s="2" t="str">
        <f>Table13[[#This Row],[Week]]&amp;", "&amp;Table13[[#This Row],[Month]]&amp;" "&amp;Table13[[#This Row],[FY]]</f>
        <v>Week 42, APR FY20</v>
      </c>
      <c r="I96" s="2" t="str">
        <f>Table13[[#This Row],[Month]]&amp;", "&amp;Table13[[#This Row],[FY]]</f>
        <v>APR, FY20</v>
      </c>
      <c r="J96" s="2" t="str">
        <f>"Q"&amp;Table13[[#This Row],[QTR]]&amp;", "&amp;Table13[[#This Row],[FY]]</f>
        <v>Q4, FY20</v>
      </c>
    </row>
    <row r="97" spans="1:10" x14ac:dyDescent="0.25">
      <c r="A97" s="1">
        <f t="shared" si="7"/>
        <v>43941</v>
      </c>
      <c r="B97" s="1">
        <f t="shared" si="7"/>
        <v>43947</v>
      </c>
      <c r="C97" s="2" t="s">
        <v>1142</v>
      </c>
      <c r="D97" s="2" t="s">
        <v>1139</v>
      </c>
      <c r="E97" s="2">
        <f t="shared" si="6"/>
        <v>4</v>
      </c>
      <c r="F97" s="2" t="s">
        <v>1154</v>
      </c>
      <c r="G97" s="2" t="str">
        <f>Table13[[#This Row],[Month]]&amp;", "&amp;Table13[[#This Row],[FY]]</f>
        <v>APR, FY20</v>
      </c>
      <c r="H97" s="2" t="str">
        <f>Table13[[#This Row],[Week]]&amp;", "&amp;Table13[[#This Row],[Month]]&amp;" "&amp;Table13[[#This Row],[FY]]</f>
        <v>Week 43, APR FY20</v>
      </c>
      <c r="I97" s="2" t="str">
        <f>Table13[[#This Row],[Month]]&amp;", "&amp;Table13[[#This Row],[FY]]</f>
        <v>APR, FY20</v>
      </c>
      <c r="J97" s="2" t="str">
        <f>"Q"&amp;Table13[[#This Row],[QTR]]&amp;", "&amp;Table13[[#This Row],[FY]]</f>
        <v>Q4, FY20</v>
      </c>
    </row>
    <row r="98" spans="1:10" x14ac:dyDescent="0.25">
      <c r="A98" s="1">
        <f t="shared" si="7"/>
        <v>43948</v>
      </c>
      <c r="B98" s="1">
        <f t="shared" si="7"/>
        <v>43954</v>
      </c>
      <c r="C98" s="2" t="s">
        <v>1143</v>
      </c>
      <c r="D98" s="2" t="s">
        <v>6</v>
      </c>
      <c r="E98" s="2">
        <f t="shared" si="6"/>
        <v>4</v>
      </c>
      <c r="F98" s="2" t="s">
        <v>1154</v>
      </c>
      <c r="G98" s="2" t="str">
        <f>Table13[[#This Row],[Month]]&amp;", "&amp;Table13[[#This Row],[FY]]</f>
        <v>MAY, FY20</v>
      </c>
      <c r="H98" s="2" t="str">
        <f>Table13[[#This Row],[Week]]&amp;", "&amp;Table13[[#This Row],[Month]]&amp;" "&amp;Table13[[#This Row],[FY]]</f>
        <v>Week 44, MAY FY20</v>
      </c>
      <c r="I98" s="2" t="str">
        <f>Table13[[#This Row],[Month]]&amp;", "&amp;Table13[[#This Row],[FY]]</f>
        <v>MAY, FY20</v>
      </c>
      <c r="J98" s="2" t="str">
        <f>"Q"&amp;Table13[[#This Row],[QTR]]&amp;", "&amp;Table13[[#This Row],[FY]]</f>
        <v>Q4, FY20</v>
      </c>
    </row>
    <row r="99" spans="1:10" x14ac:dyDescent="0.25">
      <c r="A99" s="1">
        <f t="shared" ref="A99:B114" si="8">A98+7</f>
        <v>43955</v>
      </c>
      <c r="B99" s="1">
        <f t="shared" si="8"/>
        <v>43961</v>
      </c>
      <c r="C99" s="2" t="s">
        <v>1144</v>
      </c>
      <c r="D99" s="2" t="s">
        <v>6</v>
      </c>
      <c r="E99" s="2">
        <f t="shared" si="6"/>
        <v>4</v>
      </c>
      <c r="F99" s="2" t="s">
        <v>1154</v>
      </c>
      <c r="G99" s="2" t="str">
        <f>Table13[[#This Row],[Month]]&amp;", "&amp;Table13[[#This Row],[FY]]</f>
        <v>MAY, FY20</v>
      </c>
      <c r="H99" s="2" t="str">
        <f>Table13[[#This Row],[Week]]&amp;", "&amp;Table13[[#This Row],[Month]]&amp;" "&amp;Table13[[#This Row],[FY]]</f>
        <v>Week 45, MAY FY20</v>
      </c>
      <c r="I99" s="2" t="str">
        <f>Table13[[#This Row],[Month]]&amp;", "&amp;Table13[[#This Row],[FY]]</f>
        <v>MAY, FY20</v>
      </c>
      <c r="J99" s="2" t="str">
        <f>"Q"&amp;Table13[[#This Row],[QTR]]&amp;", "&amp;Table13[[#This Row],[FY]]</f>
        <v>Q4, FY20</v>
      </c>
    </row>
    <row r="100" spans="1:10" x14ac:dyDescent="0.25">
      <c r="A100" s="1">
        <f t="shared" si="8"/>
        <v>43962</v>
      </c>
      <c r="B100" s="1">
        <f t="shared" si="8"/>
        <v>43968</v>
      </c>
      <c r="C100" s="2" t="s">
        <v>1145</v>
      </c>
      <c r="D100" s="2" t="s">
        <v>6</v>
      </c>
      <c r="E100" s="2">
        <f t="shared" si="6"/>
        <v>4</v>
      </c>
      <c r="F100" s="2" t="s">
        <v>1154</v>
      </c>
      <c r="G100" s="2" t="str">
        <f>Table13[[#This Row],[Month]]&amp;", "&amp;Table13[[#This Row],[FY]]</f>
        <v>MAY, FY20</v>
      </c>
      <c r="H100" s="2" t="str">
        <f>Table13[[#This Row],[Week]]&amp;", "&amp;Table13[[#This Row],[Month]]&amp;" "&amp;Table13[[#This Row],[FY]]</f>
        <v>Week 46, MAY FY20</v>
      </c>
      <c r="I100" s="2" t="str">
        <f>Table13[[#This Row],[Month]]&amp;", "&amp;Table13[[#This Row],[FY]]</f>
        <v>MAY, FY20</v>
      </c>
      <c r="J100" s="2" t="str">
        <f>"Q"&amp;Table13[[#This Row],[QTR]]&amp;", "&amp;Table13[[#This Row],[FY]]</f>
        <v>Q4, FY20</v>
      </c>
    </row>
    <row r="101" spans="1:10" x14ac:dyDescent="0.25">
      <c r="A101" s="1">
        <f t="shared" si="8"/>
        <v>43969</v>
      </c>
      <c r="B101" s="1">
        <f t="shared" si="8"/>
        <v>43975</v>
      </c>
      <c r="C101" s="2" t="s">
        <v>1146</v>
      </c>
      <c r="D101" s="2" t="s">
        <v>6</v>
      </c>
      <c r="E101" s="2">
        <f t="shared" si="6"/>
        <v>4</v>
      </c>
      <c r="F101" s="2" t="s">
        <v>1154</v>
      </c>
      <c r="G101" s="2" t="str">
        <f>Table13[[#This Row],[Month]]&amp;", "&amp;Table13[[#This Row],[FY]]</f>
        <v>MAY, FY20</v>
      </c>
      <c r="H101" s="2" t="str">
        <f>Table13[[#This Row],[Week]]&amp;", "&amp;Table13[[#This Row],[Month]]&amp;" "&amp;Table13[[#This Row],[FY]]</f>
        <v>Week 47, MAY FY20</v>
      </c>
      <c r="I101" s="2" t="str">
        <f>Table13[[#This Row],[Month]]&amp;", "&amp;Table13[[#This Row],[FY]]</f>
        <v>MAY, FY20</v>
      </c>
      <c r="J101" s="2" t="str">
        <f>"Q"&amp;Table13[[#This Row],[QTR]]&amp;", "&amp;Table13[[#This Row],[FY]]</f>
        <v>Q4, FY20</v>
      </c>
    </row>
    <row r="102" spans="1:10" x14ac:dyDescent="0.25">
      <c r="A102" s="1">
        <f t="shared" si="8"/>
        <v>43976</v>
      </c>
      <c r="B102" s="1">
        <f t="shared" si="8"/>
        <v>43982</v>
      </c>
      <c r="C102" s="2" t="s">
        <v>1147</v>
      </c>
      <c r="D102" s="2" t="s">
        <v>6</v>
      </c>
      <c r="E102" s="2">
        <f t="shared" si="6"/>
        <v>4</v>
      </c>
      <c r="F102" s="2" t="s">
        <v>1154</v>
      </c>
      <c r="G102" s="2" t="str">
        <f>Table13[[#This Row],[Month]]&amp;", "&amp;Table13[[#This Row],[FY]]</f>
        <v>MAY, FY20</v>
      </c>
      <c r="H102" s="2" t="str">
        <f>Table13[[#This Row],[Week]]&amp;", "&amp;Table13[[#This Row],[Month]]&amp;" "&amp;Table13[[#This Row],[FY]]</f>
        <v>Week 48, MAY FY20</v>
      </c>
      <c r="I102" s="2" t="str">
        <f>Table13[[#This Row],[Month]]&amp;", "&amp;Table13[[#This Row],[FY]]</f>
        <v>MAY, FY20</v>
      </c>
      <c r="J102" s="2" t="str">
        <f>"Q"&amp;Table13[[#This Row],[QTR]]&amp;", "&amp;Table13[[#This Row],[FY]]</f>
        <v>Q4, FY20</v>
      </c>
    </row>
    <row r="103" spans="1:10" x14ac:dyDescent="0.25">
      <c r="A103" s="1">
        <f t="shared" si="8"/>
        <v>43983</v>
      </c>
      <c r="B103" s="1">
        <f t="shared" si="8"/>
        <v>43989</v>
      </c>
      <c r="C103" s="2" t="s">
        <v>1148</v>
      </c>
      <c r="D103" s="2" t="s">
        <v>1149</v>
      </c>
      <c r="E103" s="2">
        <f t="shared" si="6"/>
        <v>4</v>
      </c>
      <c r="F103" s="2" t="s">
        <v>1154</v>
      </c>
      <c r="G103" s="2" t="str">
        <f>Table13[[#This Row],[Month]]&amp;", "&amp;Table13[[#This Row],[FY]]</f>
        <v>JUN, FY20</v>
      </c>
      <c r="H103" s="2" t="str">
        <f>Table13[[#This Row],[Week]]&amp;", "&amp;Table13[[#This Row],[Month]]&amp;" "&amp;Table13[[#This Row],[FY]]</f>
        <v>Week 49, JUN FY20</v>
      </c>
      <c r="I103" s="2" t="str">
        <f>Table13[[#This Row],[Month]]&amp;", "&amp;Table13[[#This Row],[FY]]</f>
        <v>JUN, FY20</v>
      </c>
      <c r="J103" s="2" t="str">
        <f>"Q"&amp;Table13[[#This Row],[QTR]]&amp;", "&amp;Table13[[#This Row],[FY]]</f>
        <v>Q4, FY20</v>
      </c>
    </row>
    <row r="104" spans="1:10" x14ac:dyDescent="0.25">
      <c r="A104" s="1">
        <f t="shared" si="8"/>
        <v>43990</v>
      </c>
      <c r="B104" s="1">
        <f t="shared" si="8"/>
        <v>43996</v>
      </c>
      <c r="C104" s="2" t="s">
        <v>1150</v>
      </c>
      <c r="D104" s="2" t="s">
        <v>1149</v>
      </c>
      <c r="E104" s="2">
        <f t="shared" si="6"/>
        <v>4</v>
      </c>
      <c r="F104" s="2" t="s">
        <v>1154</v>
      </c>
      <c r="G104" s="2" t="str">
        <f>Table13[[#This Row],[Month]]&amp;", "&amp;Table13[[#This Row],[FY]]</f>
        <v>JUN, FY20</v>
      </c>
      <c r="H104" s="2" t="str">
        <f>Table13[[#This Row],[Week]]&amp;", "&amp;Table13[[#This Row],[Month]]&amp;" "&amp;Table13[[#This Row],[FY]]</f>
        <v>Week 50, JUN FY20</v>
      </c>
      <c r="I104" s="2" t="str">
        <f>Table13[[#This Row],[Month]]&amp;", "&amp;Table13[[#This Row],[FY]]</f>
        <v>JUN, FY20</v>
      </c>
      <c r="J104" s="2" t="str">
        <f>"Q"&amp;Table13[[#This Row],[QTR]]&amp;", "&amp;Table13[[#This Row],[FY]]</f>
        <v>Q4, FY20</v>
      </c>
    </row>
    <row r="105" spans="1:10" x14ac:dyDescent="0.25">
      <c r="A105" s="1">
        <f t="shared" si="8"/>
        <v>43997</v>
      </c>
      <c r="B105" s="1">
        <f t="shared" si="8"/>
        <v>44003</v>
      </c>
      <c r="C105" s="2" t="s">
        <v>1151</v>
      </c>
      <c r="D105" s="2" t="s">
        <v>1149</v>
      </c>
      <c r="E105" s="2">
        <f t="shared" si="6"/>
        <v>4</v>
      </c>
      <c r="F105" s="2" t="s">
        <v>1154</v>
      </c>
      <c r="G105" s="2" t="str">
        <f>Table13[[#This Row],[Month]]&amp;", "&amp;Table13[[#This Row],[FY]]</f>
        <v>JUN, FY20</v>
      </c>
      <c r="H105" s="2" t="str">
        <f>Table13[[#This Row],[Week]]&amp;", "&amp;Table13[[#This Row],[Month]]&amp;" "&amp;Table13[[#This Row],[FY]]</f>
        <v>Week 51, JUN FY20</v>
      </c>
      <c r="I105" s="2" t="str">
        <f>Table13[[#This Row],[Month]]&amp;", "&amp;Table13[[#This Row],[FY]]</f>
        <v>JUN, FY20</v>
      </c>
      <c r="J105" s="2" t="str">
        <f>"Q"&amp;Table13[[#This Row],[QTR]]&amp;", "&amp;Table13[[#This Row],[FY]]</f>
        <v>Q4, FY20</v>
      </c>
    </row>
    <row r="106" spans="1:10" x14ac:dyDescent="0.25">
      <c r="A106" s="1">
        <f t="shared" si="8"/>
        <v>44004</v>
      </c>
      <c r="B106" s="1">
        <f t="shared" si="8"/>
        <v>44010</v>
      </c>
      <c r="C106" s="2" t="s">
        <v>1152</v>
      </c>
      <c r="D106" s="2" t="s">
        <v>1149</v>
      </c>
      <c r="E106" s="2">
        <v>4</v>
      </c>
      <c r="F106" s="2" t="s">
        <v>1155</v>
      </c>
      <c r="G106" s="2" t="str">
        <f>Table13[[#This Row],[Month]]&amp;", "&amp;Table13[[#This Row],[FY]]</f>
        <v>JUN, FY21</v>
      </c>
      <c r="H106" s="2" t="str">
        <f>Table13[[#This Row],[Week]]&amp;", "&amp;Table13[[#This Row],[Month]]&amp;" "&amp;Table13[[#This Row],[FY]]</f>
        <v>Week 52, JUN FY21</v>
      </c>
      <c r="I106" s="2" t="str">
        <f>Table13[[#This Row],[Month]]&amp;", "&amp;Table13[[#This Row],[FY]]</f>
        <v>JUN, FY21</v>
      </c>
      <c r="J106" s="2" t="str">
        <f>"Q"&amp;Table13[[#This Row],[QTR]]&amp;", "&amp;Table13[[#This Row],[FY]]</f>
        <v>Q4, FY21</v>
      </c>
    </row>
    <row r="107" spans="1:10" x14ac:dyDescent="0.25">
      <c r="A107" s="1">
        <f t="shared" si="8"/>
        <v>44011</v>
      </c>
      <c r="B107" s="1">
        <f t="shared" si="8"/>
        <v>44017</v>
      </c>
      <c r="C107" s="2" t="s">
        <v>1089</v>
      </c>
      <c r="D107" s="2" t="s">
        <v>1090</v>
      </c>
      <c r="E107" s="2">
        <v>1</v>
      </c>
      <c r="F107" s="2" t="s">
        <v>1155</v>
      </c>
      <c r="G107" s="2" t="str">
        <f>Table13[[#This Row],[Month]]&amp;", "&amp;Table13[[#This Row],[FY]]</f>
        <v>JUL, FY21</v>
      </c>
      <c r="H107" s="2" t="str">
        <f>Table13[[#This Row],[Week]]&amp;", "&amp;Table13[[#This Row],[Month]]&amp;" "&amp;Table13[[#This Row],[FY]]</f>
        <v>Week 1, JUL FY21</v>
      </c>
      <c r="I107" s="2" t="str">
        <f>Table13[[#This Row],[Month]]&amp;", "&amp;Table13[[#This Row],[FY]]</f>
        <v>JUL, FY21</v>
      </c>
      <c r="J107" s="2" t="str">
        <f>"Q"&amp;Table13[[#This Row],[QTR]]&amp;", "&amp;Table13[[#This Row],[FY]]</f>
        <v>Q1, FY21</v>
      </c>
    </row>
    <row r="108" spans="1:10" x14ac:dyDescent="0.25">
      <c r="A108" s="1">
        <f t="shared" si="8"/>
        <v>44018</v>
      </c>
      <c r="B108" s="1">
        <f t="shared" si="8"/>
        <v>44024</v>
      </c>
      <c r="C108" s="2" t="s">
        <v>1092</v>
      </c>
      <c r="D108" s="2" t="s">
        <v>1090</v>
      </c>
      <c r="E108" s="2">
        <v>1</v>
      </c>
      <c r="F108" s="2" t="s">
        <v>1155</v>
      </c>
      <c r="G108" s="2" t="str">
        <f>Table13[[#This Row],[Month]]&amp;", "&amp;Table13[[#This Row],[FY]]</f>
        <v>JUL, FY21</v>
      </c>
      <c r="H108" s="2" t="str">
        <f>Table13[[#This Row],[Week]]&amp;", "&amp;Table13[[#This Row],[Month]]&amp;" "&amp;Table13[[#This Row],[FY]]</f>
        <v>Week 2, JUL FY21</v>
      </c>
      <c r="I108" s="2" t="str">
        <f>Table13[[#This Row],[Month]]&amp;", "&amp;Table13[[#This Row],[FY]]</f>
        <v>JUL, FY21</v>
      </c>
      <c r="J108" s="2" t="str">
        <f>"Q"&amp;Table13[[#This Row],[QTR]]&amp;", "&amp;Table13[[#This Row],[FY]]</f>
        <v>Q1, FY21</v>
      </c>
    </row>
    <row r="109" spans="1:10" x14ac:dyDescent="0.25">
      <c r="A109" s="1">
        <f t="shared" si="8"/>
        <v>44025</v>
      </c>
      <c r="B109" s="1">
        <f t="shared" si="8"/>
        <v>44031</v>
      </c>
      <c r="C109" s="2" t="s">
        <v>1093</v>
      </c>
      <c r="D109" s="2" t="s">
        <v>1090</v>
      </c>
      <c r="E109" s="2">
        <v>1</v>
      </c>
      <c r="F109" s="2" t="s">
        <v>1155</v>
      </c>
      <c r="G109" s="2" t="str">
        <f>Table13[[#This Row],[Month]]&amp;", "&amp;Table13[[#This Row],[FY]]</f>
        <v>JUL, FY21</v>
      </c>
      <c r="H109" s="2" t="str">
        <f>Table13[[#This Row],[Week]]&amp;", "&amp;Table13[[#This Row],[Month]]&amp;" "&amp;Table13[[#This Row],[FY]]</f>
        <v>Week 3, JUL FY21</v>
      </c>
      <c r="I109" s="2" t="str">
        <f>Table13[[#This Row],[Month]]&amp;", "&amp;Table13[[#This Row],[FY]]</f>
        <v>JUL, FY21</v>
      </c>
      <c r="J109" s="2" t="str">
        <f>"Q"&amp;Table13[[#This Row],[QTR]]&amp;", "&amp;Table13[[#This Row],[FY]]</f>
        <v>Q1, FY21</v>
      </c>
    </row>
    <row r="110" spans="1:10" x14ac:dyDescent="0.25">
      <c r="A110" s="1">
        <f t="shared" si="8"/>
        <v>44032</v>
      </c>
      <c r="B110" s="1">
        <f t="shared" si="8"/>
        <v>44038</v>
      </c>
      <c r="C110" s="2" t="s">
        <v>1094</v>
      </c>
      <c r="D110" s="2" t="s">
        <v>1090</v>
      </c>
      <c r="E110" s="2">
        <v>1</v>
      </c>
      <c r="F110" s="2" t="s">
        <v>1155</v>
      </c>
      <c r="G110" s="2" t="str">
        <f>Table13[[#This Row],[Month]]&amp;", "&amp;Table13[[#This Row],[FY]]</f>
        <v>JUL, FY21</v>
      </c>
      <c r="H110" s="2" t="str">
        <f>Table13[[#This Row],[Week]]&amp;", "&amp;Table13[[#This Row],[Month]]&amp;" "&amp;Table13[[#This Row],[FY]]</f>
        <v>Week 4, JUL FY21</v>
      </c>
      <c r="I110" s="2" t="str">
        <f>Table13[[#This Row],[Month]]&amp;", "&amp;Table13[[#This Row],[FY]]</f>
        <v>JUL, FY21</v>
      </c>
      <c r="J110" s="2" t="str">
        <f>"Q"&amp;Table13[[#This Row],[QTR]]&amp;", "&amp;Table13[[#This Row],[FY]]</f>
        <v>Q1, FY21</v>
      </c>
    </row>
    <row r="111" spans="1:10" x14ac:dyDescent="0.25">
      <c r="A111" s="1">
        <f t="shared" si="8"/>
        <v>44039</v>
      </c>
      <c r="B111" s="1">
        <f t="shared" si="8"/>
        <v>44045</v>
      </c>
      <c r="C111" s="2" t="s">
        <v>1095</v>
      </c>
      <c r="D111" s="2" t="s">
        <v>1096</v>
      </c>
      <c r="E111" s="2">
        <v>1</v>
      </c>
      <c r="F111" s="2" t="s">
        <v>1155</v>
      </c>
      <c r="G111" s="2" t="str">
        <f>Table13[[#This Row],[Month]]&amp;", "&amp;Table13[[#This Row],[FY]]</f>
        <v>AUG, FY21</v>
      </c>
      <c r="H111" s="2" t="str">
        <f>Table13[[#This Row],[Week]]&amp;", "&amp;Table13[[#This Row],[Month]]&amp;" "&amp;Table13[[#This Row],[FY]]</f>
        <v>Week 5, AUG FY21</v>
      </c>
      <c r="I111" s="2" t="str">
        <f>Table13[[#This Row],[Month]]&amp;", "&amp;Table13[[#This Row],[FY]]</f>
        <v>AUG, FY21</v>
      </c>
      <c r="J111" s="2" t="str">
        <f>"Q"&amp;Table13[[#This Row],[QTR]]&amp;", "&amp;Table13[[#This Row],[FY]]</f>
        <v>Q1, FY21</v>
      </c>
    </row>
    <row r="112" spans="1:10" x14ac:dyDescent="0.25">
      <c r="A112" s="1">
        <f t="shared" si="8"/>
        <v>44046</v>
      </c>
      <c r="B112" s="1">
        <f t="shared" si="8"/>
        <v>44052</v>
      </c>
      <c r="C112" s="2" t="s">
        <v>1097</v>
      </c>
      <c r="D112" s="2" t="s">
        <v>1096</v>
      </c>
      <c r="E112" s="2">
        <v>1</v>
      </c>
      <c r="F112" s="2" t="s">
        <v>1155</v>
      </c>
      <c r="G112" s="2" t="str">
        <f>Table13[[#This Row],[Month]]&amp;", "&amp;Table13[[#This Row],[FY]]</f>
        <v>AUG, FY21</v>
      </c>
      <c r="H112" s="2" t="str">
        <f>Table13[[#This Row],[Week]]&amp;", "&amp;Table13[[#This Row],[Month]]&amp;" "&amp;Table13[[#This Row],[FY]]</f>
        <v>Week 6, AUG FY21</v>
      </c>
      <c r="I112" s="2" t="str">
        <f>Table13[[#This Row],[Month]]&amp;", "&amp;Table13[[#This Row],[FY]]</f>
        <v>AUG, FY21</v>
      </c>
      <c r="J112" s="2" t="str">
        <f>"Q"&amp;Table13[[#This Row],[QTR]]&amp;", "&amp;Table13[[#This Row],[FY]]</f>
        <v>Q1, FY21</v>
      </c>
    </row>
    <row r="113" spans="1:10" x14ac:dyDescent="0.25">
      <c r="A113" s="1">
        <f t="shared" si="8"/>
        <v>44053</v>
      </c>
      <c r="B113" s="1">
        <f t="shared" si="8"/>
        <v>44059</v>
      </c>
      <c r="C113" s="2" t="s">
        <v>1098</v>
      </c>
      <c r="D113" s="2" t="s">
        <v>1096</v>
      </c>
      <c r="E113" s="2">
        <v>1</v>
      </c>
      <c r="F113" s="2" t="s">
        <v>1155</v>
      </c>
      <c r="G113" s="2" t="str">
        <f>Table13[[#This Row],[Month]]&amp;", "&amp;Table13[[#This Row],[FY]]</f>
        <v>AUG, FY21</v>
      </c>
      <c r="H113" s="2" t="str">
        <f>Table13[[#This Row],[Week]]&amp;", "&amp;Table13[[#This Row],[Month]]&amp;" "&amp;Table13[[#This Row],[FY]]</f>
        <v>Week 7, AUG FY21</v>
      </c>
      <c r="I113" s="2" t="str">
        <f>Table13[[#This Row],[Month]]&amp;", "&amp;Table13[[#This Row],[FY]]</f>
        <v>AUG, FY21</v>
      </c>
      <c r="J113" s="2" t="str">
        <f>"Q"&amp;Table13[[#This Row],[QTR]]&amp;", "&amp;Table13[[#This Row],[FY]]</f>
        <v>Q1, FY21</v>
      </c>
    </row>
    <row r="114" spans="1:10" x14ac:dyDescent="0.25">
      <c r="A114" s="1">
        <f t="shared" si="8"/>
        <v>44060</v>
      </c>
      <c r="B114" s="1">
        <f t="shared" si="8"/>
        <v>44066</v>
      </c>
      <c r="C114" s="2" t="s">
        <v>1099</v>
      </c>
      <c r="D114" s="2" t="s">
        <v>1096</v>
      </c>
      <c r="E114" s="2">
        <v>1</v>
      </c>
      <c r="F114" s="2" t="s">
        <v>1155</v>
      </c>
      <c r="G114" s="2" t="str">
        <f>Table13[[#This Row],[Month]]&amp;", "&amp;Table13[[#This Row],[FY]]</f>
        <v>AUG, FY21</v>
      </c>
      <c r="H114" s="2" t="str">
        <f>Table13[[#This Row],[Week]]&amp;", "&amp;Table13[[#This Row],[Month]]&amp;" "&amp;Table13[[#This Row],[FY]]</f>
        <v>Week 8, AUG FY21</v>
      </c>
      <c r="I114" s="2" t="str">
        <f>Table13[[#This Row],[Month]]&amp;", "&amp;Table13[[#This Row],[FY]]</f>
        <v>AUG, FY21</v>
      </c>
      <c r="J114" s="2" t="str">
        <f>"Q"&amp;Table13[[#This Row],[QTR]]&amp;", "&amp;Table13[[#This Row],[FY]]</f>
        <v>Q1, FY21</v>
      </c>
    </row>
    <row r="115" spans="1:10" x14ac:dyDescent="0.25">
      <c r="A115" s="1">
        <f t="shared" ref="A115:B130" si="9">A114+7</f>
        <v>44067</v>
      </c>
      <c r="B115" s="1">
        <f t="shared" si="9"/>
        <v>44073</v>
      </c>
      <c r="C115" s="2" t="s">
        <v>1100</v>
      </c>
      <c r="D115" s="2" t="s">
        <v>1096</v>
      </c>
      <c r="E115" s="2">
        <v>1</v>
      </c>
      <c r="F115" s="2" t="s">
        <v>1155</v>
      </c>
      <c r="G115" s="2" t="str">
        <f>Table13[[#This Row],[Month]]&amp;", "&amp;Table13[[#This Row],[FY]]</f>
        <v>AUG, FY21</v>
      </c>
      <c r="H115" s="2" t="str">
        <f>Table13[[#This Row],[Week]]&amp;", "&amp;Table13[[#This Row],[Month]]&amp;" "&amp;Table13[[#This Row],[FY]]</f>
        <v>Week 9, AUG FY21</v>
      </c>
      <c r="I115" s="2" t="str">
        <f>Table13[[#This Row],[Month]]&amp;", "&amp;Table13[[#This Row],[FY]]</f>
        <v>AUG, FY21</v>
      </c>
      <c r="J115" s="2" t="str">
        <f>"Q"&amp;Table13[[#This Row],[QTR]]&amp;", "&amp;Table13[[#This Row],[FY]]</f>
        <v>Q1, FY21</v>
      </c>
    </row>
    <row r="116" spans="1:10" x14ac:dyDescent="0.25">
      <c r="A116" s="1">
        <f t="shared" si="9"/>
        <v>44074</v>
      </c>
      <c r="B116" s="1">
        <f t="shared" si="9"/>
        <v>44080</v>
      </c>
      <c r="C116" s="2" t="s">
        <v>1101</v>
      </c>
      <c r="D116" s="2" t="s">
        <v>1102</v>
      </c>
      <c r="E116" s="2">
        <v>1</v>
      </c>
      <c r="F116" s="2" t="s">
        <v>1155</v>
      </c>
      <c r="G116" s="2" t="str">
        <f>Table13[[#This Row],[Month]]&amp;", "&amp;Table13[[#This Row],[FY]]</f>
        <v>SEP, FY21</v>
      </c>
      <c r="H116" s="2" t="str">
        <f>Table13[[#This Row],[Week]]&amp;", "&amp;Table13[[#This Row],[Month]]&amp;" "&amp;Table13[[#This Row],[FY]]</f>
        <v>Week 10, SEP FY21</v>
      </c>
      <c r="I116" s="2" t="str">
        <f>Table13[[#This Row],[Month]]&amp;", "&amp;Table13[[#This Row],[FY]]</f>
        <v>SEP, FY21</v>
      </c>
      <c r="J116" s="2" t="str">
        <f>"Q"&amp;Table13[[#This Row],[QTR]]&amp;", "&amp;Table13[[#This Row],[FY]]</f>
        <v>Q1, FY21</v>
      </c>
    </row>
    <row r="117" spans="1:10" x14ac:dyDescent="0.25">
      <c r="A117" s="1">
        <f t="shared" si="9"/>
        <v>44081</v>
      </c>
      <c r="B117" s="1">
        <f t="shared" si="9"/>
        <v>44087</v>
      </c>
      <c r="C117" s="2" t="s">
        <v>1103</v>
      </c>
      <c r="D117" s="2" t="s">
        <v>1102</v>
      </c>
      <c r="E117" s="2">
        <v>1</v>
      </c>
      <c r="F117" s="2" t="s">
        <v>1155</v>
      </c>
      <c r="G117" s="2" t="str">
        <f>Table13[[#This Row],[Month]]&amp;", "&amp;Table13[[#This Row],[FY]]</f>
        <v>SEP, FY21</v>
      </c>
      <c r="H117" s="2" t="str">
        <f>Table13[[#This Row],[Week]]&amp;", "&amp;Table13[[#This Row],[Month]]&amp;" "&amp;Table13[[#This Row],[FY]]</f>
        <v>Week 11, SEP FY21</v>
      </c>
      <c r="I117" s="2" t="str">
        <f>Table13[[#This Row],[Month]]&amp;", "&amp;Table13[[#This Row],[FY]]</f>
        <v>SEP, FY21</v>
      </c>
      <c r="J117" s="2" t="str">
        <f>"Q"&amp;Table13[[#This Row],[QTR]]&amp;", "&amp;Table13[[#This Row],[FY]]</f>
        <v>Q1, FY21</v>
      </c>
    </row>
    <row r="118" spans="1:10" x14ac:dyDescent="0.25">
      <c r="A118" s="1">
        <f t="shared" si="9"/>
        <v>44088</v>
      </c>
      <c r="B118" s="1">
        <f t="shared" si="9"/>
        <v>44094</v>
      </c>
      <c r="C118" s="2" t="s">
        <v>1104</v>
      </c>
      <c r="D118" s="2" t="s">
        <v>1102</v>
      </c>
      <c r="E118" s="2">
        <v>1</v>
      </c>
      <c r="F118" s="2" t="s">
        <v>1155</v>
      </c>
      <c r="G118" s="2" t="str">
        <f>Table13[[#This Row],[Month]]&amp;", "&amp;Table13[[#This Row],[FY]]</f>
        <v>SEP, FY21</v>
      </c>
      <c r="H118" s="2" t="str">
        <f>Table13[[#This Row],[Week]]&amp;", "&amp;Table13[[#This Row],[Month]]&amp;" "&amp;Table13[[#This Row],[FY]]</f>
        <v>Week 12, SEP FY21</v>
      </c>
      <c r="I118" s="2" t="str">
        <f>Table13[[#This Row],[Month]]&amp;", "&amp;Table13[[#This Row],[FY]]</f>
        <v>SEP, FY21</v>
      </c>
      <c r="J118" s="2" t="str">
        <f>"Q"&amp;Table13[[#This Row],[QTR]]&amp;", "&amp;Table13[[#This Row],[FY]]</f>
        <v>Q1, FY21</v>
      </c>
    </row>
    <row r="119" spans="1:10" x14ac:dyDescent="0.25">
      <c r="A119" s="1">
        <f t="shared" si="9"/>
        <v>44095</v>
      </c>
      <c r="B119" s="1">
        <f t="shared" si="9"/>
        <v>44101</v>
      </c>
      <c r="C119" s="2" t="s">
        <v>1105</v>
      </c>
      <c r="D119" s="2" t="s">
        <v>1102</v>
      </c>
      <c r="E119" s="2">
        <v>2</v>
      </c>
      <c r="F119" s="2" t="s">
        <v>1155</v>
      </c>
      <c r="G119" s="2" t="str">
        <f>Table13[[#This Row],[Month]]&amp;", "&amp;Table13[[#This Row],[FY]]</f>
        <v>SEP, FY21</v>
      </c>
      <c r="H119" s="2" t="str">
        <f>Table13[[#This Row],[Week]]&amp;", "&amp;Table13[[#This Row],[Month]]&amp;" "&amp;Table13[[#This Row],[FY]]</f>
        <v>Week 13, SEP FY21</v>
      </c>
      <c r="I119" s="2" t="str">
        <f>Table13[[#This Row],[Month]]&amp;", "&amp;Table13[[#This Row],[FY]]</f>
        <v>SEP, FY21</v>
      </c>
      <c r="J119" s="2" t="str">
        <f>"Q"&amp;Table13[[#This Row],[QTR]]&amp;", "&amp;Table13[[#This Row],[FY]]</f>
        <v>Q2, FY21</v>
      </c>
    </row>
    <row r="120" spans="1:10" x14ac:dyDescent="0.25">
      <c r="A120" s="1">
        <f t="shared" si="9"/>
        <v>44102</v>
      </c>
      <c r="B120" s="1">
        <f t="shared" si="9"/>
        <v>44108</v>
      </c>
      <c r="C120" s="2" t="s">
        <v>1106</v>
      </c>
      <c r="D120" s="2" t="s">
        <v>1107</v>
      </c>
      <c r="E120" s="2">
        <f t="shared" ref="E120:E157" si="10">E107+1</f>
        <v>2</v>
      </c>
      <c r="F120" s="2" t="s">
        <v>1155</v>
      </c>
      <c r="G120" s="2" t="str">
        <f>Table13[[#This Row],[Month]]&amp;", "&amp;Table13[[#This Row],[FY]]</f>
        <v>OCT, FY21</v>
      </c>
      <c r="H120" s="2" t="str">
        <f>Table13[[#This Row],[Week]]&amp;", "&amp;Table13[[#This Row],[Month]]&amp;" "&amp;Table13[[#This Row],[FY]]</f>
        <v>Week 14, OCT FY21</v>
      </c>
      <c r="I120" s="2" t="str">
        <f>Table13[[#This Row],[Month]]&amp;", "&amp;Table13[[#This Row],[FY]]</f>
        <v>OCT, FY21</v>
      </c>
      <c r="J120" s="2" t="str">
        <f>"Q"&amp;Table13[[#This Row],[QTR]]&amp;", "&amp;Table13[[#This Row],[FY]]</f>
        <v>Q2, FY21</v>
      </c>
    </row>
    <row r="121" spans="1:10" x14ac:dyDescent="0.25">
      <c r="A121" s="1">
        <f t="shared" si="9"/>
        <v>44109</v>
      </c>
      <c r="B121" s="1">
        <f t="shared" si="9"/>
        <v>44115</v>
      </c>
      <c r="C121" s="2" t="s">
        <v>1108</v>
      </c>
      <c r="D121" s="2" t="s">
        <v>1107</v>
      </c>
      <c r="E121" s="2">
        <f t="shared" si="10"/>
        <v>2</v>
      </c>
      <c r="F121" s="2" t="s">
        <v>1155</v>
      </c>
      <c r="G121" s="2" t="str">
        <f>Table13[[#This Row],[Month]]&amp;", "&amp;Table13[[#This Row],[FY]]</f>
        <v>OCT, FY21</v>
      </c>
      <c r="H121" s="2" t="str">
        <f>Table13[[#This Row],[Week]]&amp;", "&amp;Table13[[#This Row],[Month]]&amp;" "&amp;Table13[[#This Row],[FY]]</f>
        <v>Week 15, OCT FY21</v>
      </c>
      <c r="I121" s="2" t="str">
        <f>Table13[[#This Row],[Month]]&amp;", "&amp;Table13[[#This Row],[FY]]</f>
        <v>OCT, FY21</v>
      </c>
      <c r="J121" s="2" t="str">
        <f>"Q"&amp;Table13[[#This Row],[QTR]]&amp;", "&amp;Table13[[#This Row],[FY]]</f>
        <v>Q2, FY21</v>
      </c>
    </row>
    <row r="122" spans="1:10" x14ac:dyDescent="0.25">
      <c r="A122" s="1">
        <f t="shared" si="9"/>
        <v>44116</v>
      </c>
      <c r="B122" s="1">
        <f t="shared" si="9"/>
        <v>44122</v>
      </c>
      <c r="C122" s="2" t="s">
        <v>1109</v>
      </c>
      <c r="D122" s="2" t="s">
        <v>1107</v>
      </c>
      <c r="E122" s="2">
        <f t="shared" si="10"/>
        <v>2</v>
      </c>
      <c r="F122" s="2" t="s">
        <v>1155</v>
      </c>
      <c r="G122" s="2" t="str">
        <f>Table13[[#This Row],[Month]]&amp;", "&amp;Table13[[#This Row],[FY]]</f>
        <v>OCT, FY21</v>
      </c>
      <c r="H122" s="2" t="str">
        <f>Table13[[#This Row],[Week]]&amp;", "&amp;Table13[[#This Row],[Month]]&amp;" "&amp;Table13[[#This Row],[FY]]</f>
        <v>Week 16, OCT FY21</v>
      </c>
      <c r="I122" s="2" t="str">
        <f>Table13[[#This Row],[Month]]&amp;", "&amp;Table13[[#This Row],[FY]]</f>
        <v>OCT, FY21</v>
      </c>
      <c r="J122" s="2" t="str">
        <f>"Q"&amp;Table13[[#This Row],[QTR]]&amp;", "&amp;Table13[[#This Row],[FY]]</f>
        <v>Q2, FY21</v>
      </c>
    </row>
    <row r="123" spans="1:10" x14ac:dyDescent="0.25">
      <c r="A123" s="1">
        <f t="shared" si="9"/>
        <v>44123</v>
      </c>
      <c r="B123" s="1">
        <f t="shared" si="9"/>
        <v>44129</v>
      </c>
      <c r="C123" s="2" t="s">
        <v>1110</v>
      </c>
      <c r="D123" s="2" t="s">
        <v>1107</v>
      </c>
      <c r="E123" s="2">
        <f t="shared" si="10"/>
        <v>2</v>
      </c>
      <c r="F123" s="2" t="s">
        <v>1155</v>
      </c>
      <c r="G123" s="2" t="str">
        <f>Table13[[#This Row],[Month]]&amp;", "&amp;Table13[[#This Row],[FY]]</f>
        <v>OCT, FY21</v>
      </c>
      <c r="H123" s="2" t="str">
        <f>Table13[[#This Row],[Week]]&amp;", "&amp;Table13[[#This Row],[Month]]&amp;" "&amp;Table13[[#This Row],[FY]]</f>
        <v>Week 17, OCT FY21</v>
      </c>
      <c r="I123" s="2" t="str">
        <f>Table13[[#This Row],[Month]]&amp;", "&amp;Table13[[#This Row],[FY]]</f>
        <v>OCT, FY21</v>
      </c>
      <c r="J123" s="2" t="str">
        <f>"Q"&amp;Table13[[#This Row],[QTR]]&amp;", "&amp;Table13[[#This Row],[FY]]</f>
        <v>Q2, FY21</v>
      </c>
    </row>
    <row r="124" spans="1:10" x14ac:dyDescent="0.25">
      <c r="A124" s="1">
        <f t="shared" si="9"/>
        <v>44130</v>
      </c>
      <c r="B124" s="1">
        <f t="shared" si="9"/>
        <v>44136</v>
      </c>
      <c r="C124" s="2" t="s">
        <v>1111</v>
      </c>
      <c r="D124" s="2" t="s">
        <v>1112</v>
      </c>
      <c r="E124" s="2">
        <f t="shared" si="10"/>
        <v>2</v>
      </c>
      <c r="F124" s="2" t="s">
        <v>1155</v>
      </c>
      <c r="G124" s="2" t="str">
        <f>Table13[[#This Row],[Month]]&amp;", "&amp;Table13[[#This Row],[FY]]</f>
        <v>NOV, FY21</v>
      </c>
      <c r="H124" s="2" t="str">
        <f>Table13[[#This Row],[Week]]&amp;", "&amp;Table13[[#This Row],[Month]]&amp;" "&amp;Table13[[#This Row],[FY]]</f>
        <v>Week 18, NOV FY21</v>
      </c>
      <c r="I124" s="2" t="str">
        <f>Table13[[#This Row],[Month]]&amp;", "&amp;Table13[[#This Row],[FY]]</f>
        <v>NOV, FY21</v>
      </c>
      <c r="J124" s="2" t="str">
        <f>"Q"&amp;Table13[[#This Row],[QTR]]&amp;", "&amp;Table13[[#This Row],[FY]]</f>
        <v>Q2, FY21</v>
      </c>
    </row>
    <row r="125" spans="1:10" x14ac:dyDescent="0.25">
      <c r="A125" s="1">
        <f t="shared" si="9"/>
        <v>44137</v>
      </c>
      <c r="B125" s="1">
        <f t="shared" si="9"/>
        <v>44143</v>
      </c>
      <c r="C125" s="2" t="s">
        <v>1113</v>
      </c>
      <c r="D125" s="2" t="s">
        <v>1112</v>
      </c>
      <c r="E125" s="2">
        <f t="shared" si="10"/>
        <v>2</v>
      </c>
      <c r="F125" s="2" t="s">
        <v>1155</v>
      </c>
      <c r="G125" s="2" t="str">
        <f>Table13[[#This Row],[Month]]&amp;", "&amp;Table13[[#This Row],[FY]]</f>
        <v>NOV, FY21</v>
      </c>
      <c r="H125" s="2" t="str">
        <f>Table13[[#This Row],[Week]]&amp;", "&amp;Table13[[#This Row],[Month]]&amp;" "&amp;Table13[[#This Row],[FY]]</f>
        <v>Week 19, NOV FY21</v>
      </c>
      <c r="I125" s="2" t="str">
        <f>Table13[[#This Row],[Month]]&amp;", "&amp;Table13[[#This Row],[FY]]</f>
        <v>NOV, FY21</v>
      </c>
      <c r="J125" s="2" t="str">
        <f>"Q"&amp;Table13[[#This Row],[QTR]]&amp;", "&amp;Table13[[#This Row],[FY]]</f>
        <v>Q2, FY21</v>
      </c>
    </row>
    <row r="126" spans="1:10" x14ac:dyDescent="0.25">
      <c r="A126" s="1">
        <f t="shared" si="9"/>
        <v>44144</v>
      </c>
      <c r="B126" s="1">
        <f t="shared" si="9"/>
        <v>44150</v>
      </c>
      <c r="C126" s="2" t="s">
        <v>1114</v>
      </c>
      <c r="D126" s="2" t="s">
        <v>1112</v>
      </c>
      <c r="E126" s="2">
        <f t="shared" si="10"/>
        <v>2</v>
      </c>
      <c r="F126" s="2" t="s">
        <v>1155</v>
      </c>
      <c r="G126" s="2" t="str">
        <f>Table13[[#This Row],[Month]]&amp;", "&amp;Table13[[#This Row],[FY]]</f>
        <v>NOV, FY21</v>
      </c>
      <c r="H126" s="2" t="str">
        <f>Table13[[#This Row],[Week]]&amp;", "&amp;Table13[[#This Row],[Month]]&amp;" "&amp;Table13[[#This Row],[FY]]</f>
        <v>Week 20, NOV FY21</v>
      </c>
      <c r="I126" s="2" t="str">
        <f>Table13[[#This Row],[Month]]&amp;", "&amp;Table13[[#This Row],[FY]]</f>
        <v>NOV, FY21</v>
      </c>
      <c r="J126" s="2" t="str">
        <f>"Q"&amp;Table13[[#This Row],[QTR]]&amp;", "&amp;Table13[[#This Row],[FY]]</f>
        <v>Q2, FY21</v>
      </c>
    </row>
    <row r="127" spans="1:10" x14ac:dyDescent="0.25">
      <c r="A127" s="1">
        <f t="shared" si="9"/>
        <v>44151</v>
      </c>
      <c r="B127" s="1">
        <f t="shared" si="9"/>
        <v>44157</v>
      </c>
      <c r="C127" s="2" t="s">
        <v>1115</v>
      </c>
      <c r="D127" s="2" t="s">
        <v>1112</v>
      </c>
      <c r="E127" s="2">
        <f t="shared" si="10"/>
        <v>2</v>
      </c>
      <c r="F127" s="2" t="s">
        <v>1155</v>
      </c>
      <c r="G127" s="2" t="str">
        <f>Table13[[#This Row],[Month]]&amp;", "&amp;Table13[[#This Row],[FY]]</f>
        <v>NOV, FY21</v>
      </c>
      <c r="H127" s="2" t="str">
        <f>Table13[[#This Row],[Week]]&amp;", "&amp;Table13[[#This Row],[Month]]&amp;" "&amp;Table13[[#This Row],[FY]]</f>
        <v>Week 21, NOV FY21</v>
      </c>
      <c r="I127" s="2" t="str">
        <f>Table13[[#This Row],[Month]]&amp;", "&amp;Table13[[#This Row],[FY]]</f>
        <v>NOV, FY21</v>
      </c>
      <c r="J127" s="2" t="str">
        <f>"Q"&amp;Table13[[#This Row],[QTR]]&amp;", "&amp;Table13[[#This Row],[FY]]</f>
        <v>Q2, FY21</v>
      </c>
    </row>
    <row r="128" spans="1:10" x14ac:dyDescent="0.25">
      <c r="A128" s="1">
        <f t="shared" si="9"/>
        <v>44158</v>
      </c>
      <c r="B128" s="1">
        <f t="shared" si="9"/>
        <v>44164</v>
      </c>
      <c r="C128" s="2" t="s">
        <v>1116</v>
      </c>
      <c r="D128" s="2" t="s">
        <v>1112</v>
      </c>
      <c r="E128" s="2">
        <f t="shared" si="10"/>
        <v>2</v>
      </c>
      <c r="F128" s="2" t="s">
        <v>1155</v>
      </c>
      <c r="G128" s="2" t="str">
        <f>Table13[[#This Row],[Month]]&amp;", "&amp;Table13[[#This Row],[FY]]</f>
        <v>NOV, FY21</v>
      </c>
      <c r="H128" s="2" t="str">
        <f>Table13[[#This Row],[Week]]&amp;", "&amp;Table13[[#This Row],[Month]]&amp;" "&amp;Table13[[#This Row],[FY]]</f>
        <v>Week 22, NOV FY21</v>
      </c>
      <c r="I128" s="2" t="str">
        <f>Table13[[#This Row],[Month]]&amp;", "&amp;Table13[[#This Row],[FY]]</f>
        <v>NOV, FY21</v>
      </c>
      <c r="J128" s="2" t="str">
        <f>"Q"&amp;Table13[[#This Row],[QTR]]&amp;", "&amp;Table13[[#This Row],[FY]]</f>
        <v>Q2, FY21</v>
      </c>
    </row>
    <row r="129" spans="1:10" x14ac:dyDescent="0.25">
      <c r="A129" s="1">
        <f t="shared" si="9"/>
        <v>44165</v>
      </c>
      <c r="B129" s="1">
        <f t="shared" si="9"/>
        <v>44171</v>
      </c>
      <c r="C129" s="2" t="s">
        <v>1117</v>
      </c>
      <c r="D129" s="2" t="s">
        <v>1118</v>
      </c>
      <c r="E129" s="2">
        <f t="shared" si="10"/>
        <v>2</v>
      </c>
      <c r="F129" s="2" t="s">
        <v>1155</v>
      </c>
      <c r="G129" s="2" t="str">
        <f>Table13[[#This Row],[Month]]&amp;", "&amp;Table13[[#This Row],[FY]]</f>
        <v>DEC, FY21</v>
      </c>
      <c r="H129" s="2" t="str">
        <f>Table13[[#This Row],[Week]]&amp;", "&amp;Table13[[#This Row],[Month]]&amp;" "&amp;Table13[[#This Row],[FY]]</f>
        <v>Week 23, DEC FY21</v>
      </c>
      <c r="I129" s="2" t="str">
        <f>Table13[[#This Row],[Month]]&amp;", "&amp;Table13[[#This Row],[FY]]</f>
        <v>DEC, FY21</v>
      </c>
      <c r="J129" s="2" t="str">
        <f>"Q"&amp;Table13[[#This Row],[QTR]]&amp;", "&amp;Table13[[#This Row],[FY]]</f>
        <v>Q2, FY21</v>
      </c>
    </row>
    <row r="130" spans="1:10" x14ac:dyDescent="0.25">
      <c r="A130" s="1">
        <f t="shared" si="9"/>
        <v>44172</v>
      </c>
      <c r="B130" s="1">
        <f t="shared" si="9"/>
        <v>44178</v>
      </c>
      <c r="C130" s="2" t="s">
        <v>1119</v>
      </c>
      <c r="D130" s="2" t="s">
        <v>1118</v>
      </c>
      <c r="E130" s="2">
        <f t="shared" si="10"/>
        <v>2</v>
      </c>
      <c r="F130" s="2" t="s">
        <v>1155</v>
      </c>
      <c r="G130" s="2" t="str">
        <f>Table13[[#This Row],[Month]]&amp;", "&amp;Table13[[#This Row],[FY]]</f>
        <v>DEC, FY21</v>
      </c>
      <c r="H130" s="2" t="str">
        <f>Table13[[#This Row],[Week]]&amp;", "&amp;Table13[[#This Row],[Month]]&amp;" "&amp;Table13[[#This Row],[FY]]</f>
        <v>Week 24, DEC FY21</v>
      </c>
      <c r="I130" s="2" t="str">
        <f>Table13[[#This Row],[Month]]&amp;", "&amp;Table13[[#This Row],[FY]]</f>
        <v>DEC, FY21</v>
      </c>
      <c r="J130" s="2" t="str">
        <f>"Q"&amp;Table13[[#This Row],[QTR]]&amp;", "&amp;Table13[[#This Row],[FY]]</f>
        <v>Q2, FY21</v>
      </c>
    </row>
    <row r="131" spans="1:10" x14ac:dyDescent="0.25">
      <c r="A131" s="1">
        <f t="shared" ref="A131:B146" si="11">A130+7</f>
        <v>44179</v>
      </c>
      <c r="B131" s="1">
        <f t="shared" si="11"/>
        <v>44185</v>
      </c>
      <c r="C131" s="2" t="s">
        <v>1120</v>
      </c>
      <c r="D131" s="2" t="s">
        <v>1118</v>
      </c>
      <c r="E131" s="2">
        <f t="shared" si="10"/>
        <v>2</v>
      </c>
      <c r="F131" s="2" t="s">
        <v>1155</v>
      </c>
      <c r="G131" s="2" t="str">
        <f>Table13[[#This Row],[Month]]&amp;", "&amp;Table13[[#This Row],[FY]]</f>
        <v>DEC, FY21</v>
      </c>
      <c r="H131" s="2" t="str">
        <f>Table13[[#This Row],[Week]]&amp;", "&amp;Table13[[#This Row],[Month]]&amp;" "&amp;Table13[[#This Row],[FY]]</f>
        <v>Week 25, DEC FY21</v>
      </c>
      <c r="I131" s="2" t="str">
        <f>Table13[[#This Row],[Month]]&amp;", "&amp;Table13[[#This Row],[FY]]</f>
        <v>DEC, FY21</v>
      </c>
      <c r="J131" s="2" t="str">
        <f>"Q"&amp;Table13[[#This Row],[QTR]]&amp;", "&amp;Table13[[#This Row],[FY]]</f>
        <v>Q2, FY21</v>
      </c>
    </row>
    <row r="132" spans="1:10" x14ac:dyDescent="0.25">
      <c r="A132" s="1">
        <f t="shared" si="11"/>
        <v>44186</v>
      </c>
      <c r="B132" s="1">
        <f t="shared" si="11"/>
        <v>44192</v>
      </c>
      <c r="C132" s="2" t="s">
        <v>1121</v>
      </c>
      <c r="D132" s="2" t="s">
        <v>1118</v>
      </c>
      <c r="E132" s="2">
        <f t="shared" si="10"/>
        <v>3</v>
      </c>
      <c r="F132" s="2" t="s">
        <v>1155</v>
      </c>
      <c r="G132" s="2" t="str">
        <f>Table13[[#This Row],[Month]]&amp;", "&amp;Table13[[#This Row],[FY]]</f>
        <v>DEC, FY21</v>
      </c>
      <c r="H132" s="2" t="str">
        <f>Table13[[#This Row],[Week]]&amp;", "&amp;Table13[[#This Row],[Month]]&amp;" "&amp;Table13[[#This Row],[FY]]</f>
        <v>Week 26, DEC FY21</v>
      </c>
      <c r="I132" s="2" t="str">
        <f>Table13[[#This Row],[Month]]&amp;", "&amp;Table13[[#This Row],[FY]]</f>
        <v>DEC, FY21</v>
      </c>
      <c r="J132" s="2" t="str">
        <f>"Q"&amp;Table13[[#This Row],[QTR]]&amp;", "&amp;Table13[[#This Row],[FY]]</f>
        <v>Q3, FY21</v>
      </c>
    </row>
    <row r="133" spans="1:10" x14ac:dyDescent="0.25">
      <c r="A133" s="1">
        <f t="shared" si="11"/>
        <v>44193</v>
      </c>
      <c r="B133" s="1">
        <f t="shared" si="11"/>
        <v>44199</v>
      </c>
      <c r="C133" s="2" t="s">
        <v>1122</v>
      </c>
      <c r="D133" s="2" t="s">
        <v>1123</v>
      </c>
      <c r="E133" s="2">
        <f t="shared" si="10"/>
        <v>3</v>
      </c>
      <c r="F133" s="2" t="s">
        <v>1155</v>
      </c>
      <c r="G133" s="2" t="str">
        <f>Table13[[#This Row],[Month]]&amp;", "&amp;Table13[[#This Row],[FY]]</f>
        <v>JAN, FY21</v>
      </c>
      <c r="H133" s="2" t="str">
        <f>Table13[[#This Row],[Week]]&amp;", "&amp;Table13[[#This Row],[Month]]&amp;" "&amp;Table13[[#This Row],[FY]]</f>
        <v>Week 27, JAN FY21</v>
      </c>
      <c r="I133" s="2" t="str">
        <f>Table13[[#This Row],[Month]]&amp;", "&amp;Table13[[#This Row],[FY]]</f>
        <v>JAN, FY21</v>
      </c>
      <c r="J133" s="2" t="str">
        <f>"Q"&amp;Table13[[#This Row],[QTR]]&amp;", "&amp;Table13[[#This Row],[FY]]</f>
        <v>Q3, FY21</v>
      </c>
    </row>
    <row r="134" spans="1:10" x14ac:dyDescent="0.25">
      <c r="A134" s="1">
        <f t="shared" si="11"/>
        <v>44200</v>
      </c>
      <c r="B134" s="1">
        <f t="shared" si="11"/>
        <v>44206</v>
      </c>
      <c r="C134" s="2" t="s">
        <v>1124</v>
      </c>
      <c r="D134" s="2" t="s">
        <v>1123</v>
      </c>
      <c r="E134" s="2">
        <f t="shared" si="10"/>
        <v>3</v>
      </c>
      <c r="F134" s="2" t="s">
        <v>1155</v>
      </c>
      <c r="G134" s="2" t="str">
        <f>Table13[[#This Row],[Month]]&amp;", "&amp;Table13[[#This Row],[FY]]</f>
        <v>JAN, FY21</v>
      </c>
      <c r="H134" s="2" t="str">
        <f>Table13[[#This Row],[Week]]&amp;", "&amp;Table13[[#This Row],[Month]]&amp;" "&amp;Table13[[#This Row],[FY]]</f>
        <v>Week 28, JAN FY21</v>
      </c>
      <c r="I134" s="2" t="str">
        <f>Table13[[#This Row],[Month]]&amp;", "&amp;Table13[[#This Row],[FY]]</f>
        <v>JAN, FY21</v>
      </c>
      <c r="J134" s="2" t="str">
        <f>"Q"&amp;Table13[[#This Row],[QTR]]&amp;", "&amp;Table13[[#This Row],[FY]]</f>
        <v>Q3, FY21</v>
      </c>
    </row>
    <row r="135" spans="1:10" x14ac:dyDescent="0.25">
      <c r="A135" s="1">
        <f t="shared" si="11"/>
        <v>44207</v>
      </c>
      <c r="B135" s="1">
        <f t="shared" si="11"/>
        <v>44213</v>
      </c>
      <c r="C135" s="2" t="s">
        <v>1125</v>
      </c>
      <c r="D135" s="2" t="s">
        <v>1123</v>
      </c>
      <c r="E135" s="2">
        <f t="shared" si="10"/>
        <v>3</v>
      </c>
      <c r="F135" s="2" t="s">
        <v>1155</v>
      </c>
      <c r="G135" s="2" t="str">
        <f>Table13[[#This Row],[Month]]&amp;", "&amp;Table13[[#This Row],[FY]]</f>
        <v>JAN, FY21</v>
      </c>
      <c r="H135" s="2" t="str">
        <f>Table13[[#This Row],[Week]]&amp;", "&amp;Table13[[#This Row],[Month]]&amp;" "&amp;Table13[[#This Row],[FY]]</f>
        <v>Week 29, JAN FY21</v>
      </c>
      <c r="I135" s="2" t="str">
        <f>Table13[[#This Row],[Month]]&amp;", "&amp;Table13[[#This Row],[FY]]</f>
        <v>JAN, FY21</v>
      </c>
      <c r="J135" s="2" t="str">
        <f>"Q"&amp;Table13[[#This Row],[QTR]]&amp;", "&amp;Table13[[#This Row],[FY]]</f>
        <v>Q3, FY21</v>
      </c>
    </row>
    <row r="136" spans="1:10" x14ac:dyDescent="0.25">
      <c r="A136" s="1">
        <f t="shared" si="11"/>
        <v>44214</v>
      </c>
      <c r="B136" s="1">
        <f t="shared" si="11"/>
        <v>44220</v>
      </c>
      <c r="C136" s="2" t="s">
        <v>1126</v>
      </c>
      <c r="D136" s="2" t="s">
        <v>1123</v>
      </c>
      <c r="E136" s="2">
        <f t="shared" si="10"/>
        <v>3</v>
      </c>
      <c r="F136" s="2" t="s">
        <v>1155</v>
      </c>
      <c r="G136" s="2" t="str">
        <f>Table13[[#This Row],[Month]]&amp;", "&amp;Table13[[#This Row],[FY]]</f>
        <v>JAN, FY21</v>
      </c>
      <c r="H136" s="2" t="str">
        <f>Table13[[#This Row],[Week]]&amp;", "&amp;Table13[[#This Row],[Month]]&amp;" "&amp;Table13[[#This Row],[FY]]</f>
        <v>Week 30, JAN FY21</v>
      </c>
      <c r="I136" s="2" t="str">
        <f>Table13[[#This Row],[Month]]&amp;", "&amp;Table13[[#This Row],[FY]]</f>
        <v>JAN, FY21</v>
      </c>
      <c r="J136" s="2" t="str">
        <f>"Q"&amp;Table13[[#This Row],[QTR]]&amp;", "&amp;Table13[[#This Row],[FY]]</f>
        <v>Q3, FY21</v>
      </c>
    </row>
    <row r="137" spans="1:10" x14ac:dyDescent="0.25">
      <c r="A137" s="1">
        <f t="shared" si="11"/>
        <v>44221</v>
      </c>
      <c r="B137" s="1">
        <f t="shared" si="11"/>
        <v>44227</v>
      </c>
      <c r="C137" s="2" t="s">
        <v>1127</v>
      </c>
      <c r="D137" s="2" t="s">
        <v>1128</v>
      </c>
      <c r="E137" s="2">
        <f t="shared" si="10"/>
        <v>3</v>
      </c>
      <c r="F137" s="2" t="s">
        <v>1155</v>
      </c>
      <c r="G137" s="2" t="str">
        <f>Table13[[#This Row],[Month]]&amp;", "&amp;Table13[[#This Row],[FY]]</f>
        <v>FEB, FY21</v>
      </c>
      <c r="H137" s="2" t="str">
        <f>Table13[[#This Row],[Week]]&amp;", "&amp;Table13[[#This Row],[Month]]&amp;" "&amp;Table13[[#This Row],[FY]]</f>
        <v>Week 31, FEB FY21</v>
      </c>
      <c r="I137" s="2" t="str">
        <f>Table13[[#This Row],[Month]]&amp;", "&amp;Table13[[#This Row],[FY]]</f>
        <v>FEB, FY21</v>
      </c>
      <c r="J137" s="2" t="str">
        <f>"Q"&amp;Table13[[#This Row],[QTR]]&amp;", "&amp;Table13[[#This Row],[FY]]</f>
        <v>Q3, FY21</v>
      </c>
    </row>
    <row r="138" spans="1:10" x14ac:dyDescent="0.25">
      <c r="A138" s="1">
        <f t="shared" si="11"/>
        <v>44228</v>
      </c>
      <c r="B138" s="1">
        <f t="shared" si="11"/>
        <v>44234</v>
      </c>
      <c r="C138" s="2" t="s">
        <v>1129</v>
      </c>
      <c r="D138" s="2" t="s">
        <v>1128</v>
      </c>
      <c r="E138" s="2">
        <f t="shared" si="10"/>
        <v>3</v>
      </c>
      <c r="F138" s="2" t="s">
        <v>1155</v>
      </c>
      <c r="G138" s="2" t="str">
        <f>Table13[[#This Row],[Month]]&amp;", "&amp;Table13[[#This Row],[FY]]</f>
        <v>FEB, FY21</v>
      </c>
      <c r="H138" s="2" t="str">
        <f>Table13[[#This Row],[Week]]&amp;", "&amp;Table13[[#This Row],[Month]]&amp;" "&amp;Table13[[#This Row],[FY]]</f>
        <v>Week 32, FEB FY21</v>
      </c>
      <c r="I138" s="2" t="str">
        <f>Table13[[#This Row],[Month]]&amp;", "&amp;Table13[[#This Row],[FY]]</f>
        <v>FEB, FY21</v>
      </c>
      <c r="J138" s="2" t="str">
        <f>"Q"&amp;Table13[[#This Row],[QTR]]&amp;", "&amp;Table13[[#This Row],[FY]]</f>
        <v>Q3, FY21</v>
      </c>
    </row>
    <row r="139" spans="1:10" x14ac:dyDescent="0.25">
      <c r="A139" s="1">
        <f t="shared" si="11"/>
        <v>44235</v>
      </c>
      <c r="B139" s="1">
        <f t="shared" si="11"/>
        <v>44241</v>
      </c>
      <c r="C139" s="2" t="s">
        <v>1130</v>
      </c>
      <c r="D139" s="2" t="s">
        <v>1128</v>
      </c>
      <c r="E139" s="2">
        <f t="shared" si="10"/>
        <v>3</v>
      </c>
      <c r="F139" s="2" t="s">
        <v>1155</v>
      </c>
      <c r="G139" s="2" t="str">
        <f>Table13[[#This Row],[Month]]&amp;", "&amp;Table13[[#This Row],[FY]]</f>
        <v>FEB, FY21</v>
      </c>
      <c r="H139" s="2" t="str">
        <f>Table13[[#This Row],[Week]]&amp;", "&amp;Table13[[#This Row],[Month]]&amp;" "&amp;Table13[[#This Row],[FY]]</f>
        <v>Week 33, FEB FY21</v>
      </c>
      <c r="I139" s="2" t="str">
        <f>Table13[[#This Row],[Month]]&amp;", "&amp;Table13[[#This Row],[FY]]</f>
        <v>FEB, FY21</v>
      </c>
      <c r="J139" s="2" t="str">
        <f>"Q"&amp;Table13[[#This Row],[QTR]]&amp;", "&amp;Table13[[#This Row],[FY]]</f>
        <v>Q3, FY21</v>
      </c>
    </row>
    <row r="140" spans="1:10" x14ac:dyDescent="0.25">
      <c r="A140" s="1">
        <f t="shared" si="11"/>
        <v>44242</v>
      </c>
      <c r="B140" s="1">
        <f t="shared" si="11"/>
        <v>44248</v>
      </c>
      <c r="C140" s="2" t="s">
        <v>1131</v>
      </c>
      <c r="D140" s="2" t="s">
        <v>1128</v>
      </c>
      <c r="E140" s="2">
        <f t="shared" si="10"/>
        <v>3</v>
      </c>
      <c r="F140" s="2" t="s">
        <v>1155</v>
      </c>
      <c r="G140" s="2" t="str">
        <f>Table13[[#This Row],[Month]]&amp;", "&amp;Table13[[#This Row],[FY]]</f>
        <v>FEB, FY21</v>
      </c>
      <c r="H140" s="2" t="str">
        <f>Table13[[#This Row],[Week]]&amp;", "&amp;Table13[[#This Row],[Month]]&amp;" "&amp;Table13[[#This Row],[FY]]</f>
        <v>Week 34, FEB FY21</v>
      </c>
      <c r="I140" s="2" t="str">
        <f>Table13[[#This Row],[Month]]&amp;", "&amp;Table13[[#This Row],[FY]]</f>
        <v>FEB, FY21</v>
      </c>
      <c r="J140" s="2" t="str">
        <f>"Q"&amp;Table13[[#This Row],[QTR]]&amp;", "&amp;Table13[[#This Row],[FY]]</f>
        <v>Q3, FY21</v>
      </c>
    </row>
    <row r="141" spans="1:10" x14ac:dyDescent="0.25">
      <c r="A141" s="1">
        <f t="shared" si="11"/>
        <v>44249</v>
      </c>
      <c r="B141" s="1">
        <f t="shared" si="11"/>
        <v>44255</v>
      </c>
      <c r="C141" s="2" t="s">
        <v>1132</v>
      </c>
      <c r="D141" s="2" t="s">
        <v>1128</v>
      </c>
      <c r="E141" s="2">
        <f t="shared" si="10"/>
        <v>3</v>
      </c>
      <c r="F141" s="2" t="s">
        <v>1155</v>
      </c>
      <c r="G141" s="2" t="str">
        <f>Table13[[#This Row],[Month]]&amp;", "&amp;Table13[[#This Row],[FY]]</f>
        <v>FEB, FY21</v>
      </c>
      <c r="H141" s="2" t="str">
        <f>Table13[[#This Row],[Week]]&amp;", "&amp;Table13[[#This Row],[Month]]&amp;" "&amp;Table13[[#This Row],[FY]]</f>
        <v>Week 35, FEB FY21</v>
      </c>
      <c r="I141" s="2" t="str">
        <f>Table13[[#This Row],[Month]]&amp;", "&amp;Table13[[#This Row],[FY]]</f>
        <v>FEB, FY21</v>
      </c>
      <c r="J141" s="2" t="str">
        <f>"Q"&amp;Table13[[#This Row],[QTR]]&amp;", "&amp;Table13[[#This Row],[FY]]</f>
        <v>Q3, FY21</v>
      </c>
    </row>
    <row r="142" spans="1:10" x14ac:dyDescent="0.25">
      <c r="A142" s="1">
        <f t="shared" si="11"/>
        <v>44256</v>
      </c>
      <c r="B142" s="1">
        <f t="shared" si="11"/>
        <v>44262</v>
      </c>
      <c r="C142" s="2" t="s">
        <v>1133</v>
      </c>
      <c r="D142" s="2" t="s">
        <v>1134</v>
      </c>
      <c r="E142" s="2">
        <f t="shared" si="10"/>
        <v>3</v>
      </c>
      <c r="F142" s="2" t="s">
        <v>1155</v>
      </c>
      <c r="G142" s="2" t="str">
        <f>Table13[[#This Row],[Month]]&amp;", "&amp;Table13[[#This Row],[FY]]</f>
        <v>MAR, FY21</v>
      </c>
      <c r="H142" s="2" t="str">
        <f>Table13[[#This Row],[Week]]&amp;", "&amp;Table13[[#This Row],[Month]]&amp;" "&amp;Table13[[#This Row],[FY]]</f>
        <v>Week 36, MAR FY21</v>
      </c>
      <c r="I142" s="2" t="str">
        <f>Table13[[#This Row],[Month]]&amp;", "&amp;Table13[[#This Row],[FY]]</f>
        <v>MAR, FY21</v>
      </c>
      <c r="J142" s="2" t="str">
        <f>"Q"&amp;Table13[[#This Row],[QTR]]&amp;", "&amp;Table13[[#This Row],[FY]]</f>
        <v>Q3, FY21</v>
      </c>
    </row>
    <row r="143" spans="1:10" x14ac:dyDescent="0.25">
      <c r="A143" s="1">
        <f t="shared" si="11"/>
        <v>44263</v>
      </c>
      <c r="B143" s="1">
        <f t="shared" si="11"/>
        <v>44269</v>
      </c>
      <c r="C143" s="2" t="s">
        <v>1135</v>
      </c>
      <c r="D143" s="2" t="s">
        <v>1134</v>
      </c>
      <c r="E143" s="2">
        <f t="shared" si="10"/>
        <v>3</v>
      </c>
      <c r="F143" s="2" t="s">
        <v>1155</v>
      </c>
      <c r="G143" s="2" t="str">
        <f>Table13[[#This Row],[Month]]&amp;", "&amp;Table13[[#This Row],[FY]]</f>
        <v>MAR, FY21</v>
      </c>
      <c r="H143" s="2" t="str">
        <f>Table13[[#This Row],[Week]]&amp;", "&amp;Table13[[#This Row],[Month]]&amp;" "&amp;Table13[[#This Row],[FY]]</f>
        <v>Week 37, MAR FY21</v>
      </c>
      <c r="I143" s="2" t="str">
        <f>Table13[[#This Row],[Month]]&amp;", "&amp;Table13[[#This Row],[FY]]</f>
        <v>MAR, FY21</v>
      </c>
      <c r="J143" s="2" t="str">
        <f>"Q"&amp;Table13[[#This Row],[QTR]]&amp;", "&amp;Table13[[#This Row],[FY]]</f>
        <v>Q3, FY21</v>
      </c>
    </row>
    <row r="144" spans="1:10" x14ac:dyDescent="0.25">
      <c r="A144" s="1">
        <f t="shared" si="11"/>
        <v>44270</v>
      </c>
      <c r="B144" s="1">
        <f t="shared" si="11"/>
        <v>44276</v>
      </c>
      <c r="C144" s="2" t="s">
        <v>1136</v>
      </c>
      <c r="D144" s="2" t="s">
        <v>1134</v>
      </c>
      <c r="E144" s="2">
        <f t="shared" si="10"/>
        <v>3</v>
      </c>
      <c r="F144" s="2" t="s">
        <v>1155</v>
      </c>
      <c r="G144" s="2" t="str">
        <f>Table13[[#This Row],[Month]]&amp;", "&amp;Table13[[#This Row],[FY]]</f>
        <v>MAR, FY21</v>
      </c>
      <c r="H144" s="2" t="str">
        <f>Table13[[#This Row],[Week]]&amp;", "&amp;Table13[[#This Row],[Month]]&amp;" "&amp;Table13[[#This Row],[FY]]</f>
        <v>Week 38, MAR FY21</v>
      </c>
      <c r="I144" s="2" t="str">
        <f>Table13[[#This Row],[Month]]&amp;", "&amp;Table13[[#This Row],[FY]]</f>
        <v>MAR, FY21</v>
      </c>
      <c r="J144" s="2" t="str">
        <f>"Q"&amp;Table13[[#This Row],[QTR]]&amp;", "&amp;Table13[[#This Row],[FY]]</f>
        <v>Q3, FY21</v>
      </c>
    </row>
    <row r="145" spans="1:10" x14ac:dyDescent="0.25">
      <c r="A145" s="1">
        <f t="shared" si="11"/>
        <v>44277</v>
      </c>
      <c r="B145" s="1">
        <f t="shared" si="11"/>
        <v>44283</v>
      </c>
      <c r="C145" s="2" t="s">
        <v>1137</v>
      </c>
      <c r="D145" s="2" t="s">
        <v>1134</v>
      </c>
      <c r="E145" s="2">
        <f t="shared" si="10"/>
        <v>4</v>
      </c>
      <c r="F145" s="2" t="s">
        <v>1155</v>
      </c>
      <c r="G145" s="2" t="str">
        <f>Table13[[#This Row],[Month]]&amp;", "&amp;Table13[[#This Row],[FY]]</f>
        <v>MAR, FY21</v>
      </c>
      <c r="H145" s="2" t="str">
        <f>Table13[[#This Row],[Week]]&amp;", "&amp;Table13[[#This Row],[Month]]&amp;" "&amp;Table13[[#This Row],[FY]]</f>
        <v>Week 39, MAR FY21</v>
      </c>
      <c r="I145" s="2" t="str">
        <f>Table13[[#This Row],[Month]]&amp;", "&amp;Table13[[#This Row],[FY]]</f>
        <v>MAR, FY21</v>
      </c>
      <c r="J145" s="2" t="str">
        <f>"Q"&amp;Table13[[#This Row],[QTR]]&amp;", "&amp;Table13[[#This Row],[FY]]</f>
        <v>Q4, FY21</v>
      </c>
    </row>
    <row r="146" spans="1:10" x14ac:dyDescent="0.25">
      <c r="A146" s="1">
        <f t="shared" si="11"/>
        <v>44284</v>
      </c>
      <c r="B146" s="1">
        <f t="shared" si="11"/>
        <v>44290</v>
      </c>
      <c r="C146" s="2" t="s">
        <v>1138</v>
      </c>
      <c r="D146" s="2" t="s">
        <v>1139</v>
      </c>
      <c r="E146" s="2">
        <f t="shared" si="10"/>
        <v>4</v>
      </c>
      <c r="F146" s="2" t="s">
        <v>1155</v>
      </c>
      <c r="G146" s="2" t="str">
        <f>Table13[[#This Row],[Month]]&amp;", "&amp;Table13[[#This Row],[FY]]</f>
        <v>APR, FY21</v>
      </c>
      <c r="H146" s="2" t="str">
        <f>Table13[[#This Row],[Week]]&amp;", "&amp;Table13[[#This Row],[Month]]&amp;" "&amp;Table13[[#This Row],[FY]]</f>
        <v>Week 40, APR FY21</v>
      </c>
      <c r="I146" s="2" t="str">
        <f>Table13[[#This Row],[Month]]&amp;", "&amp;Table13[[#This Row],[FY]]</f>
        <v>APR, FY21</v>
      </c>
      <c r="J146" s="2" t="str">
        <f>"Q"&amp;Table13[[#This Row],[QTR]]&amp;", "&amp;Table13[[#This Row],[FY]]</f>
        <v>Q4, FY21</v>
      </c>
    </row>
    <row r="147" spans="1:10" x14ac:dyDescent="0.25">
      <c r="A147" s="1">
        <f t="shared" ref="A147:B157" si="12">A146+7</f>
        <v>44291</v>
      </c>
      <c r="B147" s="1">
        <f t="shared" si="12"/>
        <v>44297</v>
      </c>
      <c r="C147" s="2" t="s">
        <v>1140</v>
      </c>
      <c r="D147" s="2" t="s">
        <v>1139</v>
      </c>
      <c r="E147" s="2">
        <f t="shared" si="10"/>
        <v>4</v>
      </c>
      <c r="F147" s="2" t="s">
        <v>1155</v>
      </c>
      <c r="G147" s="2" t="str">
        <f>Table13[[#This Row],[Month]]&amp;", "&amp;Table13[[#This Row],[FY]]</f>
        <v>APR, FY21</v>
      </c>
      <c r="H147" s="2" t="str">
        <f>Table13[[#This Row],[Week]]&amp;", "&amp;Table13[[#This Row],[Month]]&amp;" "&amp;Table13[[#This Row],[FY]]</f>
        <v>Week 41, APR FY21</v>
      </c>
      <c r="I147" s="2" t="str">
        <f>Table13[[#This Row],[Month]]&amp;", "&amp;Table13[[#This Row],[FY]]</f>
        <v>APR, FY21</v>
      </c>
      <c r="J147" s="2" t="str">
        <f>"Q"&amp;Table13[[#This Row],[QTR]]&amp;", "&amp;Table13[[#This Row],[FY]]</f>
        <v>Q4, FY21</v>
      </c>
    </row>
    <row r="148" spans="1:10" x14ac:dyDescent="0.25">
      <c r="A148" s="1">
        <f t="shared" si="12"/>
        <v>44298</v>
      </c>
      <c r="B148" s="1">
        <f t="shared" si="12"/>
        <v>44304</v>
      </c>
      <c r="C148" s="2" t="s">
        <v>1141</v>
      </c>
      <c r="D148" s="2" t="s">
        <v>1139</v>
      </c>
      <c r="E148" s="2">
        <f t="shared" si="10"/>
        <v>4</v>
      </c>
      <c r="F148" s="2" t="s">
        <v>1155</v>
      </c>
      <c r="G148" s="2" t="str">
        <f>Table13[[#This Row],[Month]]&amp;", "&amp;Table13[[#This Row],[FY]]</f>
        <v>APR, FY21</v>
      </c>
      <c r="H148" s="2" t="str">
        <f>Table13[[#This Row],[Week]]&amp;", "&amp;Table13[[#This Row],[Month]]&amp;" "&amp;Table13[[#This Row],[FY]]</f>
        <v>Week 42, APR FY21</v>
      </c>
      <c r="I148" s="2" t="str">
        <f>Table13[[#This Row],[Month]]&amp;", "&amp;Table13[[#This Row],[FY]]</f>
        <v>APR, FY21</v>
      </c>
      <c r="J148" s="2" t="str">
        <f>"Q"&amp;Table13[[#This Row],[QTR]]&amp;", "&amp;Table13[[#This Row],[FY]]</f>
        <v>Q4, FY21</v>
      </c>
    </row>
    <row r="149" spans="1:10" x14ac:dyDescent="0.25">
      <c r="A149" s="1">
        <f t="shared" si="12"/>
        <v>44305</v>
      </c>
      <c r="B149" s="1">
        <f t="shared" si="12"/>
        <v>44311</v>
      </c>
      <c r="C149" s="2" t="s">
        <v>1142</v>
      </c>
      <c r="D149" s="2" t="s">
        <v>1139</v>
      </c>
      <c r="E149" s="2">
        <f t="shared" si="10"/>
        <v>4</v>
      </c>
      <c r="F149" s="2" t="s">
        <v>1155</v>
      </c>
      <c r="G149" s="2" t="str">
        <f>Table13[[#This Row],[Month]]&amp;", "&amp;Table13[[#This Row],[FY]]</f>
        <v>APR, FY21</v>
      </c>
      <c r="H149" s="2" t="str">
        <f>Table13[[#This Row],[Week]]&amp;", "&amp;Table13[[#This Row],[Month]]&amp;" "&amp;Table13[[#This Row],[FY]]</f>
        <v>Week 43, APR FY21</v>
      </c>
      <c r="I149" s="2" t="str">
        <f>Table13[[#This Row],[Month]]&amp;", "&amp;Table13[[#This Row],[FY]]</f>
        <v>APR, FY21</v>
      </c>
      <c r="J149" s="2" t="str">
        <f>"Q"&amp;Table13[[#This Row],[QTR]]&amp;", "&amp;Table13[[#This Row],[FY]]</f>
        <v>Q4, FY21</v>
      </c>
    </row>
    <row r="150" spans="1:10" x14ac:dyDescent="0.25">
      <c r="A150" s="1">
        <f t="shared" si="12"/>
        <v>44312</v>
      </c>
      <c r="B150" s="1">
        <f t="shared" si="12"/>
        <v>44318</v>
      </c>
      <c r="C150" s="2" t="s">
        <v>1143</v>
      </c>
      <c r="D150" s="2" t="s">
        <v>6</v>
      </c>
      <c r="E150" s="2">
        <f t="shared" si="10"/>
        <v>4</v>
      </c>
      <c r="F150" s="2" t="s">
        <v>1155</v>
      </c>
      <c r="G150" s="2" t="str">
        <f>Table13[[#This Row],[Month]]&amp;", "&amp;Table13[[#This Row],[FY]]</f>
        <v>MAY, FY21</v>
      </c>
      <c r="H150" s="2" t="str">
        <f>Table13[[#This Row],[Week]]&amp;", "&amp;Table13[[#This Row],[Month]]&amp;" "&amp;Table13[[#This Row],[FY]]</f>
        <v>Week 44, MAY FY21</v>
      </c>
      <c r="I150" s="2" t="str">
        <f>Table13[[#This Row],[Month]]&amp;", "&amp;Table13[[#This Row],[FY]]</f>
        <v>MAY, FY21</v>
      </c>
      <c r="J150" s="2" t="str">
        <f>"Q"&amp;Table13[[#This Row],[QTR]]&amp;", "&amp;Table13[[#This Row],[FY]]</f>
        <v>Q4, FY21</v>
      </c>
    </row>
    <row r="151" spans="1:10" x14ac:dyDescent="0.25">
      <c r="A151" s="1">
        <f t="shared" si="12"/>
        <v>44319</v>
      </c>
      <c r="B151" s="1">
        <f t="shared" si="12"/>
        <v>44325</v>
      </c>
      <c r="C151" s="2" t="s">
        <v>1144</v>
      </c>
      <c r="D151" s="2" t="s">
        <v>6</v>
      </c>
      <c r="E151" s="2">
        <f t="shared" si="10"/>
        <v>4</v>
      </c>
      <c r="F151" s="2" t="s">
        <v>1155</v>
      </c>
      <c r="G151" s="2" t="str">
        <f>Table13[[#This Row],[Month]]&amp;", "&amp;Table13[[#This Row],[FY]]</f>
        <v>MAY, FY21</v>
      </c>
      <c r="H151" s="2" t="str">
        <f>Table13[[#This Row],[Week]]&amp;", "&amp;Table13[[#This Row],[Month]]&amp;" "&amp;Table13[[#This Row],[FY]]</f>
        <v>Week 45, MAY FY21</v>
      </c>
      <c r="I151" s="2" t="str">
        <f>Table13[[#This Row],[Month]]&amp;", "&amp;Table13[[#This Row],[FY]]</f>
        <v>MAY, FY21</v>
      </c>
      <c r="J151" s="2" t="str">
        <f>"Q"&amp;Table13[[#This Row],[QTR]]&amp;", "&amp;Table13[[#This Row],[FY]]</f>
        <v>Q4, FY21</v>
      </c>
    </row>
    <row r="152" spans="1:10" x14ac:dyDescent="0.25">
      <c r="A152" s="1">
        <f t="shared" si="12"/>
        <v>44326</v>
      </c>
      <c r="B152" s="1">
        <f t="shared" si="12"/>
        <v>44332</v>
      </c>
      <c r="C152" s="2" t="s">
        <v>1145</v>
      </c>
      <c r="D152" s="2" t="s">
        <v>6</v>
      </c>
      <c r="E152" s="2">
        <f t="shared" si="10"/>
        <v>4</v>
      </c>
      <c r="F152" s="2" t="s">
        <v>1155</v>
      </c>
      <c r="G152" s="2" t="str">
        <f>Table13[[#This Row],[Month]]&amp;", "&amp;Table13[[#This Row],[FY]]</f>
        <v>MAY, FY21</v>
      </c>
      <c r="H152" s="2" t="str">
        <f>Table13[[#This Row],[Week]]&amp;", "&amp;Table13[[#This Row],[Month]]&amp;" "&amp;Table13[[#This Row],[FY]]</f>
        <v>Week 46, MAY FY21</v>
      </c>
      <c r="I152" s="2" t="str">
        <f>Table13[[#This Row],[Month]]&amp;", "&amp;Table13[[#This Row],[FY]]</f>
        <v>MAY, FY21</v>
      </c>
      <c r="J152" s="2" t="str">
        <f>"Q"&amp;Table13[[#This Row],[QTR]]&amp;", "&amp;Table13[[#This Row],[FY]]</f>
        <v>Q4, FY21</v>
      </c>
    </row>
    <row r="153" spans="1:10" x14ac:dyDescent="0.25">
      <c r="A153" s="1">
        <f t="shared" si="12"/>
        <v>44333</v>
      </c>
      <c r="B153" s="1">
        <f t="shared" si="12"/>
        <v>44339</v>
      </c>
      <c r="C153" s="2" t="s">
        <v>1146</v>
      </c>
      <c r="D153" s="2" t="s">
        <v>6</v>
      </c>
      <c r="E153" s="2">
        <f t="shared" si="10"/>
        <v>4</v>
      </c>
      <c r="F153" s="2" t="s">
        <v>1155</v>
      </c>
      <c r="G153" s="2" t="str">
        <f>Table13[[#This Row],[Month]]&amp;", "&amp;Table13[[#This Row],[FY]]</f>
        <v>MAY, FY21</v>
      </c>
      <c r="H153" s="2" t="str">
        <f>Table13[[#This Row],[Week]]&amp;", "&amp;Table13[[#This Row],[Month]]&amp;" "&amp;Table13[[#This Row],[FY]]</f>
        <v>Week 47, MAY FY21</v>
      </c>
      <c r="I153" s="2" t="str">
        <f>Table13[[#This Row],[Month]]&amp;", "&amp;Table13[[#This Row],[FY]]</f>
        <v>MAY, FY21</v>
      </c>
      <c r="J153" s="2" t="str">
        <f>"Q"&amp;Table13[[#This Row],[QTR]]&amp;", "&amp;Table13[[#This Row],[FY]]</f>
        <v>Q4, FY21</v>
      </c>
    </row>
    <row r="154" spans="1:10" x14ac:dyDescent="0.25">
      <c r="A154" s="1">
        <f t="shared" si="12"/>
        <v>44340</v>
      </c>
      <c r="B154" s="1">
        <f t="shared" si="12"/>
        <v>44346</v>
      </c>
      <c r="C154" s="2" t="s">
        <v>1147</v>
      </c>
      <c r="D154" s="2" t="s">
        <v>6</v>
      </c>
      <c r="E154" s="2">
        <f t="shared" si="10"/>
        <v>4</v>
      </c>
      <c r="F154" s="2" t="s">
        <v>1155</v>
      </c>
      <c r="G154" s="2" t="str">
        <f>Table13[[#This Row],[Month]]&amp;", "&amp;Table13[[#This Row],[FY]]</f>
        <v>MAY, FY21</v>
      </c>
      <c r="H154" s="2" t="str">
        <f>Table13[[#This Row],[Week]]&amp;", "&amp;Table13[[#This Row],[Month]]&amp;" "&amp;Table13[[#This Row],[FY]]</f>
        <v>Week 48, MAY FY21</v>
      </c>
      <c r="I154" s="2" t="str">
        <f>Table13[[#This Row],[Month]]&amp;", "&amp;Table13[[#This Row],[FY]]</f>
        <v>MAY, FY21</v>
      </c>
      <c r="J154" s="2" t="str">
        <f>"Q"&amp;Table13[[#This Row],[QTR]]&amp;", "&amp;Table13[[#This Row],[FY]]</f>
        <v>Q4, FY21</v>
      </c>
    </row>
    <row r="155" spans="1:10" x14ac:dyDescent="0.25">
      <c r="A155" s="1">
        <f t="shared" si="12"/>
        <v>44347</v>
      </c>
      <c r="B155" s="1">
        <f t="shared" si="12"/>
        <v>44353</v>
      </c>
      <c r="C155" s="2" t="s">
        <v>1148</v>
      </c>
      <c r="D155" s="2" t="s">
        <v>1149</v>
      </c>
      <c r="E155" s="2">
        <f t="shared" si="10"/>
        <v>4</v>
      </c>
      <c r="F155" s="2" t="s">
        <v>1155</v>
      </c>
      <c r="G155" s="2" t="str">
        <f>Table13[[#This Row],[Month]]&amp;", "&amp;Table13[[#This Row],[FY]]</f>
        <v>JUN, FY21</v>
      </c>
      <c r="H155" s="2" t="str">
        <f>Table13[[#This Row],[Week]]&amp;", "&amp;Table13[[#This Row],[Month]]&amp;" "&amp;Table13[[#This Row],[FY]]</f>
        <v>Week 49, JUN FY21</v>
      </c>
      <c r="I155" s="2" t="str">
        <f>Table13[[#This Row],[Month]]&amp;", "&amp;Table13[[#This Row],[FY]]</f>
        <v>JUN, FY21</v>
      </c>
      <c r="J155" s="2" t="str">
        <f>"Q"&amp;Table13[[#This Row],[QTR]]&amp;", "&amp;Table13[[#This Row],[FY]]</f>
        <v>Q4, FY21</v>
      </c>
    </row>
    <row r="156" spans="1:10" x14ac:dyDescent="0.25">
      <c r="A156" s="1">
        <f t="shared" si="12"/>
        <v>44354</v>
      </c>
      <c r="B156" s="1">
        <f t="shared" si="12"/>
        <v>44360</v>
      </c>
      <c r="C156" s="2" t="s">
        <v>1150</v>
      </c>
      <c r="D156" s="2" t="s">
        <v>1149</v>
      </c>
      <c r="E156" s="2">
        <f t="shared" si="10"/>
        <v>4</v>
      </c>
      <c r="F156" s="2" t="s">
        <v>1155</v>
      </c>
      <c r="G156" s="2" t="str">
        <f>Table13[[#This Row],[Month]]&amp;", "&amp;Table13[[#This Row],[FY]]</f>
        <v>JUN, FY21</v>
      </c>
      <c r="H156" s="2" t="str">
        <f>Table13[[#This Row],[Week]]&amp;", "&amp;Table13[[#This Row],[Month]]&amp;" "&amp;Table13[[#This Row],[FY]]</f>
        <v>Week 50, JUN FY21</v>
      </c>
      <c r="I156" s="2" t="str">
        <f>Table13[[#This Row],[Month]]&amp;", "&amp;Table13[[#This Row],[FY]]</f>
        <v>JUN, FY21</v>
      </c>
      <c r="J156" s="2" t="str">
        <f>"Q"&amp;Table13[[#This Row],[QTR]]&amp;", "&amp;Table13[[#This Row],[FY]]</f>
        <v>Q4, FY21</v>
      </c>
    </row>
    <row r="157" spans="1:10" x14ac:dyDescent="0.25">
      <c r="A157" s="1">
        <f t="shared" si="12"/>
        <v>44361</v>
      </c>
      <c r="B157" s="1">
        <f t="shared" si="12"/>
        <v>44367</v>
      </c>
      <c r="C157" s="2" t="s">
        <v>1151</v>
      </c>
      <c r="D157" s="2" t="s">
        <v>1149</v>
      </c>
      <c r="E157" s="2">
        <f t="shared" si="10"/>
        <v>4</v>
      </c>
      <c r="F157" s="2" t="s">
        <v>1155</v>
      </c>
      <c r="G157" s="2" t="str">
        <f>Table13[[#This Row],[Month]]&amp;", "&amp;Table13[[#This Row],[FY]]</f>
        <v>JUN, FY21</v>
      </c>
      <c r="H157" s="2" t="str">
        <f>Table13[[#This Row],[Week]]&amp;", "&amp;Table13[[#This Row],[Month]]&amp;" "&amp;Table13[[#This Row],[FY]]</f>
        <v>Week 51, JUN FY21</v>
      </c>
      <c r="I157" s="2" t="str">
        <f>Table13[[#This Row],[Month]]&amp;", "&amp;Table13[[#This Row],[FY]]</f>
        <v>JUN, FY21</v>
      </c>
      <c r="J157" s="2" t="str">
        <f>"Q"&amp;Table13[[#This Row],[QTR]]&amp;", "&amp;Table13[[#This Row],[FY]]</f>
        <v>Q4, FY21</v>
      </c>
    </row>
    <row r="158" spans="1:10" x14ac:dyDescent="0.25">
      <c r="A158" s="1">
        <f>A157+7</f>
        <v>44368</v>
      </c>
      <c r="B158" s="1">
        <f>B157+7</f>
        <v>44374</v>
      </c>
      <c r="C158" s="2" t="s">
        <v>1152</v>
      </c>
      <c r="D158" s="2" t="s">
        <v>1149</v>
      </c>
      <c r="E158" s="2">
        <v>4</v>
      </c>
      <c r="F158" s="2" t="s">
        <v>1155</v>
      </c>
      <c r="G158" s="2" t="str">
        <f>Table13[[#This Row],[Month]]&amp;", "&amp;Table13[[#This Row],[FY]]</f>
        <v>JUN, FY21</v>
      </c>
      <c r="H158" s="2" t="str">
        <f>Table13[[#This Row],[Week]]&amp;", "&amp;Table13[[#This Row],[Month]]&amp;" "&amp;Table13[[#This Row],[FY]]</f>
        <v>Week 52, JUN FY21</v>
      </c>
      <c r="I158" s="2" t="str">
        <f>Table13[[#This Row],[Month]]&amp;", "&amp;Table13[[#This Row],[FY]]</f>
        <v>JUN, FY21</v>
      </c>
      <c r="J158" s="2" t="str">
        <f>"Q"&amp;Table13[[#This Row],[QTR]]&amp;", "&amp;Table13[[#This Row],[FY]]</f>
        <v>Q4, FY21</v>
      </c>
    </row>
    <row r="159" spans="1:10" x14ac:dyDescent="0.25">
      <c r="A159" s="1">
        <v>44375</v>
      </c>
      <c r="B159" s="1">
        <f>A159+6</f>
        <v>44381</v>
      </c>
      <c r="C159" s="2" t="s">
        <v>1089</v>
      </c>
      <c r="D159" s="2" t="s">
        <v>1090</v>
      </c>
      <c r="E159" s="2">
        <v>1</v>
      </c>
      <c r="F159" s="2" t="s">
        <v>1156</v>
      </c>
      <c r="G159" s="2" t="str">
        <f>Table13[[#This Row],[Month]]&amp;", "&amp;Table13[[#This Row],[FY]]</f>
        <v>JUL, FY22</v>
      </c>
      <c r="H159" s="2" t="str">
        <f>Table13[[#This Row],[Week]]&amp;", "&amp;Table13[[#This Row],[Month]]&amp;" "&amp;Table13[[#This Row],[FY]]</f>
        <v>Week 1, JUL FY22</v>
      </c>
      <c r="I159" s="2" t="str">
        <f>Table13[[#This Row],[Month]]&amp;", "&amp;Table13[[#This Row],[FY]]</f>
        <v>JUL, FY22</v>
      </c>
      <c r="J159" s="2" t="str">
        <f>"Q"&amp;Table13[[#This Row],[QTR]]&amp;", "&amp;Table13[[#This Row],[FY]]</f>
        <v>Q1, FY22</v>
      </c>
    </row>
    <row r="160" spans="1:10" x14ac:dyDescent="0.25">
      <c r="A160" s="1">
        <f t="shared" ref="A160:B175" si="13">A159+7</f>
        <v>44382</v>
      </c>
      <c r="B160" s="1">
        <f t="shared" si="13"/>
        <v>44388</v>
      </c>
      <c r="C160" s="2" t="s">
        <v>1092</v>
      </c>
      <c r="D160" s="2" t="s">
        <v>1090</v>
      </c>
      <c r="E160" s="2">
        <v>1</v>
      </c>
      <c r="F160" s="2" t="s">
        <v>1156</v>
      </c>
      <c r="G160" s="2" t="str">
        <f>Table13[[#This Row],[Month]]&amp;", "&amp;Table13[[#This Row],[FY]]</f>
        <v>JUL, FY22</v>
      </c>
      <c r="H160" s="2" t="str">
        <f>Table13[[#This Row],[Week]]&amp;", "&amp;Table13[[#This Row],[Month]]&amp;" "&amp;Table13[[#This Row],[FY]]</f>
        <v>Week 2, JUL FY22</v>
      </c>
      <c r="I160" s="2" t="str">
        <f>Table13[[#This Row],[Month]]&amp;", "&amp;Table13[[#This Row],[FY]]</f>
        <v>JUL, FY22</v>
      </c>
      <c r="J160" s="2" t="str">
        <f>"Q"&amp;Table13[[#This Row],[QTR]]&amp;", "&amp;Table13[[#This Row],[FY]]</f>
        <v>Q1, FY22</v>
      </c>
    </row>
    <row r="161" spans="1:10" x14ac:dyDescent="0.25">
      <c r="A161" s="1">
        <f t="shared" si="13"/>
        <v>44389</v>
      </c>
      <c r="B161" s="1">
        <f t="shared" si="13"/>
        <v>44395</v>
      </c>
      <c r="C161" s="2" t="s">
        <v>1093</v>
      </c>
      <c r="D161" s="2" t="s">
        <v>1090</v>
      </c>
      <c r="E161" s="2">
        <v>1</v>
      </c>
      <c r="F161" s="2" t="s">
        <v>1156</v>
      </c>
      <c r="G161" s="2" t="str">
        <f>Table13[[#This Row],[Month]]&amp;", "&amp;Table13[[#This Row],[FY]]</f>
        <v>JUL, FY22</v>
      </c>
      <c r="H161" s="2" t="str">
        <f>Table13[[#This Row],[Week]]&amp;", "&amp;Table13[[#This Row],[Month]]&amp;" "&amp;Table13[[#This Row],[FY]]</f>
        <v>Week 3, JUL FY22</v>
      </c>
      <c r="I161" s="2" t="str">
        <f>Table13[[#This Row],[Month]]&amp;", "&amp;Table13[[#This Row],[FY]]</f>
        <v>JUL, FY22</v>
      </c>
      <c r="J161" s="2" t="str">
        <f>"Q"&amp;Table13[[#This Row],[QTR]]&amp;", "&amp;Table13[[#This Row],[FY]]</f>
        <v>Q1, FY22</v>
      </c>
    </row>
    <row r="162" spans="1:10" x14ac:dyDescent="0.25">
      <c r="A162" s="1">
        <f t="shared" si="13"/>
        <v>44396</v>
      </c>
      <c r="B162" s="1">
        <f t="shared" si="13"/>
        <v>44402</v>
      </c>
      <c r="C162" s="2" t="s">
        <v>1094</v>
      </c>
      <c r="D162" s="2" t="s">
        <v>1090</v>
      </c>
      <c r="E162" s="2">
        <v>1</v>
      </c>
      <c r="F162" s="2" t="s">
        <v>1156</v>
      </c>
      <c r="G162" s="2" t="str">
        <f>Table13[[#This Row],[Month]]&amp;", "&amp;Table13[[#This Row],[FY]]</f>
        <v>JUL, FY22</v>
      </c>
      <c r="H162" s="2" t="str">
        <f>Table13[[#This Row],[Week]]&amp;", "&amp;Table13[[#This Row],[Month]]&amp;" "&amp;Table13[[#This Row],[FY]]</f>
        <v>Week 4, JUL FY22</v>
      </c>
      <c r="I162" s="2" t="str">
        <f>Table13[[#This Row],[Month]]&amp;", "&amp;Table13[[#This Row],[FY]]</f>
        <v>JUL, FY22</v>
      </c>
      <c r="J162" s="2" t="str">
        <f>"Q"&amp;Table13[[#This Row],[QTR]]&amp;", "&amp;Table13[[#This Row],[FY]]</f>
        <v>Q1, FY22</v>
      </c>
    </row>
    <row r="163" spans="1:10" x14ac:dyDescent="0.25">
      <c r="A163" s="1">
        <f t="shared" si="13"/>
        <v>44403</v>
      </c>
      <c r="B163" s="1">
        <f t="shared" si="13"/>
        <v>44409</v>
      </c>
      <c r="C163" s="2" t="s">
        <v>1095</v>
      </c>
      <c r="D163" s="2" t="s">
        <v>1096</v>
      </c>
      <c r="E163" s="2">
        <v>1</v>
      </c>
      <c r="F163" s="2" t="s">
        <v>1156</v>
      </c>
      <c r="G163" s="2" t="str">
        <f>Table13[[#This Row],[Month]]&amp;", "&amp;Table13[[#This Row],[FY]]</f>
        <v>AUG, FY22</v>
      </c>
      <c r="H163" s="2" t="str">
        <f>Table13[[#This Row],[Week]]&amp;", "&amp;Table13[[#This Row],[Month]]&amp;" "&amp;Table13[[#This Row],[FY]]</f>
        <v>Week 5, AUG FY22</v>
      </c>
      <c r="I163" s="2" t="str">
        <f>Table13[[#This Row],[Month]]&amp;", "&amp;Table13[[#This Row],[FY]]</f>
        <v>AUG, FY22</v>
      </c>
      <c r="J163" s="2" t="str">
        <f>"Q"&amp;Table13[[#This Row],[QTR]]&amp;", "&amp;Table13[[#This Row],[FY]]</f>
        <v>Q1, FY22</v>
      </c>
    </row>
    <row r="164" spans="1:10" x14ac:dyDescent="0.25">
      <c r="A164" s="1">
        <f t="shared" si="13"/>
        <v>44410</v>
      </c>
      <c r="B164" s="1">
        <f t="shared" si="13"/>
        <v>44416</v>
      </c>
      <c r="C164" s="2" t="s">
        <v>1097</v>
      </c>
      <c r="D164" s="2" t="s">
        <v>1096</v>
      </c>
      <c r="E164" s="2">
        <v>1</v>
      </c>
      <c r="F164" s="2" t="s">
        <v>1156</v>
      </c>
      <c r="G164" s="2" t="str">
        <f>Table13[[#This Row],[Month]]&amp;", "&amp;Table13[[#This Row],[FY]]</f>
        <v>AUG, FY22</v>
      </c>
      <c r="H164" s="2" t="str">
        <f>Table13[[#This Row],[Week]]&amp;", "&amp;Table13[[#This Row],[Month]]&amp;" "&amp;Table13[[#This Row],[FY]]</f>
        <v>Week 6, AUG FY22</v>
      </c>
      <c r="I164" s="2" t="str">
        <f>Table13[[#This Row],[Month]]&amp;", "&amp;Table13[[#This Row],[FY]]</f>
        <v>AUG, FY22</v>
      </c>
      <c r="J164" s="2" t="str">
        <f>"Q"&amp;Table13[[#This Row],[QTR]]&amp;", "&amp;Table13[[#This Row],[FY]]</f>
        <v>Q1, FY22</v>
      </c>
    </row>
    <row r="165" spans="1:10" x14ac:dyDescent="0.25">
      <c r="A165" s="1">
        <f t="shared" si="13"/>
        <v>44417</v>
      </c>
      <c r="B165" s="1">
        <f t="shared" si="13"/>
        <v>44423</v>
      </c>
      <c r="C165" s="2" t="s">
        <v>1098</v>
      </c>
      <c r="D165" s="2" t="s">
        <v>1096</v>
      </c>
      <c r="E165" s="2">
        <v>1</v>
      </c>
      <c r="F165" s="2" t="s">
        <v>1156</v>
      </c>
      <c r="G165" s="2" t="str">
        <f>Table13[[#This Row],[Month]]&amp;", "&amp;Table13[[#This Row],[FY]]</f>
        <v>AUG, FY22</v>
      </c>
      <c r="H165" s="2" t="str">
        <f>Table13[[#This Row],[Week]]&amp;", "&amp;Table13[[#This Row],[Month]]&amp;" "&amp;Table13[[#This Row],[FY]]</f>
        <v>Week 7, AUG FY22</v>
      </c>
      <c r="I165" s="2" t="str">
        <f>Table13[[#This Row],[Month]]&amp;", "&amp;Table13[[#This Row],[FY]]</f>
        <v>AUG, FY22</v>
      </c>
      <c r="J165" s="2" t="str">
        <f>"Q"&amp;Table13[[#This Row],[QTR]]&amp;", "&amp;Table13[[#This Row],[FY]]</f>
        <v>Q1, FY22</v>
      </c>
    </row>
    <row r="166" spans="1:10" x14ac:dyDescent="0.25">
      <c r="A166" s="1">
        <f t="shared" si="13"/>
        <v>44424</v>
      </c>
      <c r="B166" s="1">
        <f t="shared" si="13"/>
        <v>44430</v>
      </c>
      <c r="C166" s="2" t="s">
        <v>1099</v>
      </c>
      <c r="D166" s="2" t="s">
        <v>1096</v>
      </c>
      <c r="E166" s="2">
        <v>1</v>
      </c>
      <c r="F166" s="2" t="s">
        <v>1156</v>
      </c>
      <c r="G166" s="2" t="str">
        <f>Table13[[#This Row],[Month]]&amp;", "&amp;Table13[[#This Row],[FY]]</f>
        <v>AUG, FY22</v>
      </c>
      <c r="H166" s="2" t="str">
        <f>Table13[[#This Row],[Week]]&amp;", "&amp;Table13[[#This Row],[Month]]&amp;" "&amp;Table13[[#This Row],[FY]]</f>
        <v>Week 8, AUG FY22</v>
      </c>
      <c r="I166" s="2" t="str">
        <f>Table13[[#This Row],[Month]]&amp;", "&amp;Table13[[#This Row],[FY]]</f>
        <v>AUG, FY22</v>
      </c>
      <c r="J166" s="2" t="str">
        <f>"Q"&amp;Table13[[#This Row],[QTR]]&amp;", "&amp;Table13[[#This Row],[FY]]</f>
        <v>Q1, FY22</v>
      </c>
    </row>
    <row r="167" spans="1:10" x14ac:dyDescent="0.25">
      <c r="A167" s="1">
        <f t="shared" si="13"/>
        <v>44431</v>
      </c>
      <c r="B167" s="1">
        <f t="shared" si="13"/>
        <v>44437</v>
      </c>
      <c r="C167" s="2" t="s">
        <v>1100</v>
      </c>
      <c r="D167" s="2" t="s">
        <v>1096</v>
      </c>
      <c r="E167" s="2">
        <v>1</v>
      </c>
      <c r="F167" s="2" t="s">
        <v>1156</v>
      </c>
      <c r="G167" s="2" t="str">
        <f>Table13[[#This Row],[Month]]&amp;", "&amp;Table13[[#This Row],[FY]]</f>
        <v>AUG, FY22</v>
      </c>
      <c r="H167" s="2" t="str">
        <f>Table13[[#This Row],[Week]]&amp;", "&amp;Table13[[#This Row],[Month]]&amp;" "&amp;Table13[[#This Row],[FY]]</f>
        <v>Week 9, AUG FY22</v>
      </c>
      <c r="I167" s="2" t="str">
        <f>Table13[[#This Row],[Month]]&amp;", "&amp;Table13[[#This Row],[FY]]</f>
        <v>AUG, FY22</v>
      </c>
      <c r="J167" s="2" t="str">
        <f>"Q"&amp;Table13[[#This Row],[QTR]]&amp;", "&amp;Table13[[#This Row],[FY]]</f>
        <v>Q1, FY22</v>
      </c>
    </row>
    <row r="168" spans="1:10" x14ac:dyDescent="0.25">
      <c r="A168" s="1">
        <f t="shared" si="13"/>
        <v>44438</v>
      </c>
      <c r="B168" s="1">
        <f t="shared" si="13"/>
        <v>44444</v>
      </c>
      <c r="C168" s="2" t="s">
        <v>1101</v>
      </c>
      <c r="D168" s="2" t="s">
        <v>1102</v>
      </c>
      <c r="E168" s="2">
        <v>1</v>
      </c>
      <c r="F168" s="2" t="s">
        <v>1156</v>
      </c>
      <c r="G168" s="2" t="str">
        <f>Table13[[#This Row],[Month]]&amp;", "&amp;Table13[[#This Row],[FY]]</f>
        <v>SEP, FY22</v>
      </c>
      <c r="H168" s="2" t="str">
        <f>Table13[[#This Row],[Week]]&amp;", "&amp;Table13[[#This Row],[Month]]&amp;" "&amp;Table13[[#This Row],[FY]]</f>
        <v>Week 10, SEP FY22</v>
      </c>
      <c r="I168" s="2" t="str">
        <f>Table13[[#This Row],[Month]]&amp;", "&amp;Table13[[#This Row],[FY]]</f>
        <v>SEP, FY22</v>
      </c>
      <c r="J168" s="2" t="str">
        <f>"Q"&amp;Table13[[#This Row],[QTR]]&amp;", "&amp;Table13[[#This Row],[FY]]</f>
        <v>Q1, FY22</v>
      </c>
    </row>
    <row r="169" spans="1:10" x14ac:dyDescent="0.25">
      <c r="A169" s="1">
        <f t="shared" si="13"/>
        <v>44445</v>
      </c>
      <c r="B169" s="1">
        <f t="shared" si="13"/>
        <v>44451</v>
      </c>
      <c r="C169" s="2" t="s">
        <v>1103</v>
      </c>
      <c r="D169" s="2" t="s">
        <v>1102</v>
      </c>
      <c r="E169" s="2">
        <v>1</v>
      </c>
      <c r="F169" s="2" t="s">
        <v>1156</v>
      </c>
      <c r="G169" s="2" t="str">
        <f>Table13[[#This Row],[Month]]&amp;", "&amp;Table13[[#This Row],[FY]]</f>
        <v>SEP, FY22</v>
      </c>
      <c r="H169" s="2" t="str">
        <f>Table13[[#This Row],[Week]]&amp;", "&amp;Table13[[#This Row],[Month]]&amp;" "&amp;Table13[[#This Row],[FY]]</f>
        <v>Week 11, SEP FY22</v>
      </c>
      <c r="I169" s="2" t="str">
        <f>Table13[[#This Row],[Month]]&amp;", "&amp;Table13[[#This Row],[FY]]</f>
        <v>SEP, FY22</v>
      </c>
      <c r="J169" s="2" t="str">
        <f>"Q"&amp;Table13[[#This Row],[QTR]]&amp;", "&amp;Table13[[#This Row],[FY]]</f>
        <v>Q1, FY22</v>
      </c>
    </row>
    <row r="170" spans="1:10" x14ac:dyDescent="0.25">
      <c r="A170" s="1">
        <f t="shared" si="13"/>
        <v>44452</v>
      </c>
      <c r="B170" s="1">
        <f t="shared" si="13"/>
        <v>44458</v>
      </c>
      <c r="C170" s="2" t="s">
        <v>1104</v>
      </c>
      <c r="D170" s="2" t="s">
        <v>1102</v>
      </c>
      <c r="E170" s="2">
        <v>1</v>
      </c>
      <c r="F170" s="2" t="s">
        <v>1156</v>
      </c>
      <c r="G170" s="2" t="str">
        <f>Table13[[#This Row],[Month]]&amp;", "&amp;Table13[[#This Row],[FY]]</f>
        <v>SEP, FY22</v>
      </c>
      <c r="H170" s="2" t="str">
        <f>Table13[[#This Row],[Week]]&amp;", "&amp;Table13[[#This Row],[Month]]&amp;" "&amp;Table13[[#This Row],[FY]]</f>
        <v>Week 12, SEP FY22</v>
      </c>
      <c r="I170" s="2" t="str">
        <f>Table13[[#This Row],[Month]]&amp;", "&amp;Table13[[#This Row],[FY]]</f>
        <v>SEP, FY22</v>
      </c>
      <c r="J170" s="2" t="str">
        <f>"Q"&amp;Table13[[#This Row],[QTR]]&amp;", "&amp;Table13[[#This Row],[FY]]</f>
        <v>Q1, FY22</v>
      </c>
    </row>
    <row r="171" spans="1:10" x14ac:dyDescent="0.25">
      <c r="A171" s="1">
        <f t="shared" si="13"/>
        <v>44459</v>
      </c>
      <c r="B171" s="1">
        <f t="shared" si="13"/>
        <v>44465</v>
      </c>
      <c r="C171" s="2" t="s">
        <v>1105</v>
      </c>
      <c r="D171" s="2" t="s">
        <v>1102</v>
      </c>
      <c r="E171" s="2">
        <v>1</v>
      </c>
      <c r="F171" s="2" t="s">
        <v>1156</v>
      </c>
      <c r="G171" s="2" t="str">
        <f>Table13[[#This Row],[Month]]&amp;", "&amp;Table13[[#This Row],[FY]]</f>
        <v>SEP, FY22</v>
      </c>
      <c r="H171" s="2" t="str">
        <f>Table13[[#This Row],[Week]]&amp;", "&amp;Table13[[#This Row],[Month]]&amp;" "&amp;Table13[[#This Row],[FY]]</f>
        <v>Week 13, SEP FY22</v>
      </c>
      <c r="I171" s="2" t="str">
        <f>Table13[[#This Row],[Month]]&amp;", "&amp;Table13[[#This Row],[FY]]</f>
        <v>SEP, FY22</v>
      </c>
      <c r="J171" s="2" t="str">
        <f>"Q"&amp;Table13[[#This Row],[QTR]]&amp;", "&amp;Table13[[#This Row],[FY]]</f>
        <v>Q1, FY22</v>
      </c>
    </row>
    <row r="172" spans="1:10" x14ac:dyDescent="0.25">
      <c r="A172" s="1">
        <f t="shared" si="13"/>
        <v>44466</v>
      </c>
      <c r="B172" s="1">
        <f t="shared" si="13"/>
        <v>44472</v>
      </c>
      <c r="C172" s="2" t="s">
        <v>1106</v>
      </c>
      <c r="D172" s="2" t="s">
        <v>1107</v>
      </c>
      <c r="E172" s="2">
        <f>E159+1</f>
        <v>2</v>
      </c>
      <c r="F172" s="2" t="s">
        <v>1156</v>
      </c>
      <c r="G172" s="2" t="str">
        <f>Table13[[#This Row],[Month]]&amp;", "&amp;Table13[[#This Row],[FY]]</f>
        <v>OCT, FY22</v>
      </c>
      <c r="H172" s="2" t="str">
        <f>Table13[[#This Row],[Week]]&amp;", "&amp;Table13[[#This Row],[Month]]&amp;" "&amp;Table13[[#This Row],[FY]]</f>
        <v>Week 14, OCT FY22</v>
      </c>
      <c r="I172" s="2" t="str">
        <f>Table13[[#This Row],[Month]]&amp;", "&amp;Table13[[#This Row],[FY]]</f>
        <v>OCT, FY22</v>
      </c>
      <c r="J172" s="2" t="str">
        <f>"Q"&amp;Table13[[#This Row],[QTR]]&amp;", "&amp;Table13[[#This Row],[FY]]</f>
        <v>Q2, FY22</v>
      </c>
    </row>
    <row r="173" spans="1:10" x14ac:dyDescent="0.25">
      <c r="A173" s="1">
        <f t="shared" si="13"/>
        <v>44473</v>
      </c>
      <c r="B173" s="1">
        <f t="shared" si="13"/>
        <v>44479</v>
      </c>
      <c r="C173" s="2" t="s">
        <v>1108</v>
      </c>
      <c r="D173" s="2" t="s">
        <v>1107</v>
      </c>
      <c r="E173" s="2">
        <f t="shared" ref="E173:E210" si="14">E160+1</f>
        <v>2</v>
      </c>
      <c r="F173" s="2" t="s">
        <v>1156</v>
      </c>
      <c r="G173" s="2" t="str">
        <f>Table13[[#This Row],[Month]]&amp;", "&amp;Table13[[#This Row],[FY]]</f>
        <v>OCT, FY22</v>
      </c>
      <c r="H173" s="2" t="str">
        <f>Table13[[#This Row],[Week]]&amp;", "&amp;Table13[[#This Row],[Month]]&amp;" "&amp;Table13[[#This Row],[FY]]</f>
        <v>Week 15, OCT FY22</v>
      </c>
      <c r="I173" s="2" t="str">
        <f>Table13[[#This Row],[Month]]&amp;", "&amp;Table13[[#This Row],[FY]]</f>
        <v>OCT, FY22</v>
      </c>
      <c r="J173" s="2" t="str">
        <f>"Q"&amp;Table13[[#This Row],[QTR]]&amp;", "&amp;Table13[[#This Row],[FY]]</f>
        <v>Q2, FY22</v>
      </c>
    </row>
    <row r="174" spans="1:10" x14ac:dyDescent="0.25">
      <c r="A174" s="1">
        <f t="shared" si="13"/>
        <v>44480</v>
      </c>
      <c r="B174" s="1">
        <f t="shared" si="13"/>
        <v>44486</v>
      </c>
      <c r="C174" s="2" t="s">
        <v>1109</v>
      </c>
      <c r="D174" s="2" t="s">
        <v>1107</v>
      </c>
      <c r="E174" s="2">
        <f t="shared" si="14"/>
        <v>2</v>
      </c>
      <c r="F174" s="2" t="s">
        <v>1156</v>
      </c>
      <c r="G174" s="2" t="str">
        <f>Table13[[#This Row],[Month]]&amp;", "&amp;Table13[[#This Row],[FY]]</f>
        <v>OCT, FY22</v>
      </c>
      <c r="H174" s="2" t="str">
        <f>Table13[[#This Row],[Week]]&amp;", "&amp;Table13[[#This Row],[Month]]&amp;" "&amp;Table13[[#This Row],[FY]]</f>
        <v>Week 16, OCT FY22</v>
      </c>
      <c r="I174" s="2" t="str">
        <f>Table13[[#This Row],[Month]]&amp;", "&amp;Table13[[#This Row],[FY]]</f>
        <v>OCT, FY22</v>
      </c>
      <c r="J174" s="2" t="str">
        <f>"Q"&amp;Table13[[#This Row],[QTR]]&amp;", "&amp;Table13[[#This Row],[FY]]</f>
        <v>Q2, FY22</v>
      </c>
    </row>
    <row r="175" spans="1:10" x14ac:dyDescent="0.25">
      <c r="A175" s="1">
        <f t="shared" si="13"/>
        <v>44487</v>
      </c>
      <c r="B175" s="1">
        <f t="shared" si="13"/>
        <v>44493</v>
      </c>
      <c r="C175" s="2" t="s">
        <v>1110</v>
      </c>
      <c r="D175" s="2" t="s">
        <v>1107</v>
      </c>
      <c r="E175" s="2">
        <f t="shared" si="14"/>
        <v>2</v>
      </c>
      <c r="F175" s="2" t="s">
        <v>1156</v>
      </c>
      <c r="G175" s="2" t="str">
        <f>Table13[[#This Row],[Month]]&amp;", "&amp;Table13[[#This Row],[FY]]</f>
        <v>OCT, FY22</v>
      </c>
      <c r="H175" s="2" t="str">
        <f>Table13[[#This Row],[Week]]&amp;", "&amp;Table13[[#This Row],[Month]]&amp;" "&amp;Table13[[#This Row],[FY]]</f>
        <v>Week 17, OCT FY22</v>
      </c>
      <c r="I175" s="2" t="str">
        <f>Table13[[#This Row],[Month]]&amp;", "&amp;Table13[[#This Row],[FY]]</f>
        <v>OCT, FY22</v>
      </c>
      <c r="J175" s="2" t="str">
        <f>"Q"&amp;Table13[[#This Row],[QTR]]&amp;", "&amp;Table13[[#This Row],[FY]]</f>
        <v>Q2, FY22</v>
      </c>
    </row>
    <row r="176" spans="1:10" x14ac:dyDescent="0.25">
      <c r="A176" s="1">
        <f t="shared" ref="A176:B191" si="15">A175+7</f>
        <v>44494</v>
      </c>
      <c r="B176" s="1">
        <f t="shared" si="15"/>
        <v>44500</v>
      </c>
      <c r="C176" s="2" t="s">
        <v>1111</v>
      </c>
      <c r="D176" s="2" t="s">
        <v>1112</v>
      </c>
      <c r="E176" s="2">
        <f t="shared" si="14"/>
        <v>2</v>
      </c>
      <c r="F176" s="2" t="s">
        <v>1156</v>
      </c>
      <c r="G176" s="2" t="str">
        <f>Table13[[#This Row],[Month]]&amp;", "&amp;Table13[[#This Row],[FY]]</f>
        <v>NOV, FY22</v>
      </c>
      <c r="H176" s="2" t="str">
        <f>Table13[[#This Row],[Week]]&amp;", "&amp;Table13[[#This Row],[Month]]&amp;" "&amp;Table13[[#This Row],[FY]]</f>
        <v>Week 18, NOV FY22</v>
      </c>
      <c r="I176" s="2" t="str">
        <f>Table13[[#This Row],[Month]]&amp;", "&amp;Table13[[#This Row],[FY]]</f>
        <v>NOV, FY22</v>
      </c>
      <c r="J176" s="2" t="str">
        <f>"Q"&amp;Table13[[#This Row],[QTR]]&amp;", "&amp;Table13[[#This Row],[FY]]</f>
        <v>Q2, FY22</v>
      </c>
    </row>
    <row r="177" spans="1:10" x14ac:dyDescent="0.25">
      <c r="A177" s="1">
        <f t="shared" si="15"/>
        <v>44501</v>
      </c>
      <c r="B177" s="1">
        <f t="shared" si="15"/>
        <v>44507</v>
      </c>
      <c r="C177" s="2" t="s">
        <v>1113</v>
      </c>
      <c r="D177" s="2" t="s">
        <v>1112</v>
      </c>
      <c r="E177" s="2">
        <f t="shared" si="14"/>
        <v>2</v>
      </c>
      <c r="F177" s="2" t="s">
        <v>1156</v>
      </c>
      <c r="G177" s="2" t="str">
        <f>Table13[[#This Row],[Month]]&amp;", "&amp;Table13[[#This Row],[FY]]</f>
        <v>NOV, FY22</v>
      </c>
      <c r="H177" s="2" t="str">
        <f>Table13[[#This Row],[Week]]&amp;", "&amp;Table13[[#This Row],[Month]]&amp;" "&amp;Table13[[#This Row],[FY]]</f>
        <v>Week 19, NOV FY22</v>
      </c>
      <c r="I177" s="2" t="str">
        <f>Table13[[#This Row],[Month]]&amp;", "&amp;Table13[[#This Row],[FY]]</f>
        <v>NOV, FY22</v>
      </c>
      <c r="J177" s="2" t="str">
        <f>"Q"&amp;Table13[[#This Row],[QTR]]&amp;", "&amp;Table13[[#This Row],[FY]]</f>
        <v>Q2, FY22</v>
      </c>
    </row>
    <row r="178" spans="1:10" x14ac:dyDescent="0.25">
      <c r="A178" s="1">
        <f t="shared" si="15"/>
        <v>44508</v>
      </c>
      <c r="B178" s="1">
        <f t="shared" si="15"/>
        <v>44514</v>
      </c>
      <c r="C178" s="2" t="s">
        <v>1114</v>
      </c>
      <c r="D178" s="2" t="s">
        <v>1112</v>
      </c>
      <c r="E178" s="2">
        <f t="shared" si="14"/>
        <v>2</v>
      </c>
      <c r="F178" s="2" t="s">
        <v>1156</v>
      </c>
      <c r="G178" s="2" t="str">
        <f>Table13[[#This Row],[Month]]&amp;", "&amp;Table13[[#This Row],[FY]]</f>
        <v>NOV, FY22</v>
      </c>
      <c r="H178" s="2" t="str">
        <f>Table13[[#This Row],[Week]]&amp;", "&amp;Table13[[#This Row],[Month]]&amp;" "&amp;Table13[[#This Row],[FY]]</f>
        <v>Week 20, NOV FY22</v>
      </c>
      <c r="I178" s="2" t="str">
        <f>Table13[[#This Row],[Month]]&amp;", "&amp;Table13[[#This Row],[FY]]</f>
        <v>NOV, FY22</v>
      </c>
      <c r="J178" s="2" t="str">
        <f>"Q"&amp;Table13[[#This Row],[QTR]]&amp;", "&amp;Table13[[#This Row],[FY]]</f>
        <v>Q2, FY22</v>
      </c>
    </row>
    <row r="179" spans="1:10" x14ac:dyDescent="0.25">
      <c r="A179" s="1">
        <f t="shared" si="15"/>
        <v>44515</v>
      </c>
      <c r="B179" s="1">
        <f t="shared" si="15"/>
        <v>44521</v>
      </c>
      <c r="C179" s="2" t="s">
        <v>1115</v>
      </c>
      <c r="D179" s="2" t="s">
        <v>1112</v>
      </c>
      <c r="E179" s="2">
        <f t="shared" si="14"/>
        <v>2</v>
      </c>
      <c r="F179" s="2" t="s">
        <v>1156</v>
      </c>
      <c r="G179" s="2" t="str">
        <f>Table13[[#This Row],[Month]]&amp;", "&amp;Table13[[#This Row],[FY]]</f>
        <v>NOV, FY22</v>
      </c>
      <c r="H179" s="2" t="str">
        <f>Table13[[#This Row],[Week]]&amp;", "&amp;Table13[[#This Row],[Month]]&amp;" "&amp;Table13[[#This Row],[FY]]</f>
        <v>Week 21, NOV FY22</v>
      </c>
      <c r="I179" s="2" t="str">
        <f>Table13[[#This Row],[Month]]&amp;", "&amp;Table13[[#This Row],[FY]]</f>
        <v>NOV, FY22</v>
      </c>
      <c r="J179" s="2" t="str">
        <f>"Q"&amp;Table13[[#This Row],[QTR]]&amp;", "&amp;Table13[[#This Row],[FY]]</f>
        <v>Q2, FY22</v>
      </c>
    </row>
    <row r="180" spans="1:10" x14ac:dyDescent="0.25">
      <c r="A180" s="1">
        <f t="shared" si="15"/>
        <v>44522</v>
      </c>
      <c r="B180" s="1">
        <f t="shared" si="15"/>
        <v>44528</v>
      </c>
      <c r="C180" s="2" t="s">
        <v>1116</v>
      </c>
      <c r="D180" s="2" t="s">
        <v>1112</v>
      </c>
      <c r="E180" s="2">
        <f t="shared" si="14"/>
        <v>2</v>
      </c>
      <c r="F180" s="2" t="s">
        <v>1156</v>
      </c>
      <c r="G180" s="2" t="str">
        <f>Table13[[#This Row],[Month]]&amp;", "&amp;Table13[[#This Row],[FY]]</f>
        <v>NOV, FY22</v>
      </c>
      <c r="H180" s="2" t="str">
        <f>Table13[[#This Row],[Week]]&amp;", "&amp;Table13[[#This Row],[Month]]&amp;" "&amp;Table13[[#This Row],[FY]]</f>
        <v>Week 22, NOV FY22</v>
      </c>
      <c r="I180" s="2" t="str">
        <f>Table13[[#This Row],[Month]]&amp;", "&amp;Table13[[#This Row],[FY]]</f>
        <v>NOV, FY22</v>
      </c>
      <c r="J180" s="2" t="str">
        <f>"Q"&amp;Table13[[#This Row],[QTR]]&amp;", "&amp;Table13[[#This Row],[FY]]</f>
        <v>Q2, FY22</v>
      </c>
    </row>
    <row r="181" spans="1:10" x14ac:dyDescent="0.25">
      <c r="A181" s="1">
        <f t="shared" si="15"/>
        <v>44529</v>
      </c>
      <c r="B181" s="1">
        <f t="shared" si="15"/>
        <v>44535</v>
      </c>
      <c r="C181" s="2" t="s">
        <v>1117</v>
      </c>
      <c r="D181" s="2" t="s">
        <v>1118</v>
      </c>
      <c r="E181" s="2">
        <f t="shared" si="14"/>
        <v>2</v>
      </c>
      <c r="F181" s="2" t="s">
        <v>1156</v>
      </c>
      <c r="G181" s="2" t="str">
        <f>Table13[[#This Row],[Month]]&amp;", "&amp;Table13[[#This Row],[FY]]</f>
        <v>DEC, FY22</v>
      </c>
      <c r="H181" s="2" t="str">
        <f>Table13[[#This Row],[Week]]&amp;", "&amp;Table13[[#This Row],[Month]]&amp;" "&amp;Table13[[#This Row],[FY]]</f>
        <v>Week 23, DEC FY22</v>
      </c>
      <c r="I181" s="2" t="str">
        <f>Table13[[#This Row],[Month]]&amp;", "&amp;Table13[[#This Row],[FY]]</f>
        <v>DEC, FY22</v>
      </c>
      <c r="J181" s="2" t="str">
        <f>"Q"&amp;Table13[[#This Row],[QTR]]&amp;", "&amp;Table13[[#This Row],[FY]]</f>
        <v>Q2, FY22</v>
      </c>
    </row>
    <row r="182" spans="1:10" x14ac:dyDescent="0.25">
      <c r="A182" s="1">
        <f t="shared" si="15"/>
        <v>44536</v>
      </c>
      <c r="B182" s="1">
        <f t="shared" si="15"/>
        <v>44542</v>
      </c>
      <c r="C182" s="2" t="s">
        <v>1119</v>
      </c>
      <c r="D182" s="2" t="s">
        <v>1118</v>
      </c>
      <c r="E182" s="2">
        <f t="shared" si="14"/>
        <v>2</v>
      </c>
      <c r="F182" s="2" t="s">
        <v>1156</v>
      </c>
      <c r="G182" s="2" t="str">
        <f>Table13[[#This Row],[Month]]&amp;", "&amp;Table13[[#This Row],[FY]]</f>
        <v>DEC, FY22</v>
      </c>
      <c r="H182" s="2" t="str">
        <f>Table13[[#This Row],[Week]]&amp;", "&amp;Table13[[#This Row],[Month]]&amp;" "&amp;Table13[[#This Row],[FY]]</f>
        <v>Week 24, DEC FY22</v>
      </c>
      <c r="I182" s="2" t="str">
        <f>Table13[[#This Row],[Month]]&amp;", "&amp;Table13[[#This Row],[FY]]</f>
        <v>DEC, FY22</v>
      </c>
      <c r="J182" s="2" t="str">
        <f>"Q"&amp;Table13[[#This Row],[QTR]]&amp;", "&amp;Table13[[#This Row],[FY]]</f>
        <v>Q2, FY22</v>
      </c>
    </row>
    <row r="183" spans="1:10" x14ac:dyDescent="0.25">
      <c r="A183" s="1">
        <f t="shared" si="15"/>
        <v>44543</v>
      </c>
      <c r="B183" s="1">
        <f t="shared" si="15"/>
        <v>44549</v>
      </c>
      <c r="C183" s="2" t="s">
        <v>1120</v>
      </c>
      <c r="D183" s="2" t="s">
        <v>1118</v>
      </c>
      <c r="E183" s="2">
        <f t="shared" si="14"/>
        <v>2</v>
      </c>
      <c r="F183" s="2" t="s">
        <v>1156</v>
      </c>
      <c r="G183" s="2" t="str">
        <f>Table13[[#This Row],[Month]]&amp;", "&amp;Table13[[#This Row],[FY]]</f>
        <v>DEC, FY22</v>
      </c>
      <c r="H183" s="2" t="str">
        <f>Table13[[#This Row],[Week]]&amp;", "&amp;Table13[[#This Row],[Month]]&amp;" "&amp;Table13[[#This Row],[FY]]</f>
        <v>Week 25, DEC FY22</v>
      </c>
      <c r="I183" s="2" t="str">
        <f>Table13[[#This Row],[Month]]&amp;", "&amp;Table13[[#This Row],[FY]]</f>
        <v>DEC, FY22</v>
      </c>
      <c r="J183" s="2" t="str">
        <f>"Q"&amp;Table13[[#This Row],[QTR]]&amp;", "&amp;Table13[[#This Row],[FY]]</f>
        <v>Q2, FY22</v>
      </c>
    </row>
    <row r="184" spans="1:10" x14ac:dyDescent="0.25">
      <c r="A184" s="1">
        <f t="shared" si="15"/>
        <v>44550</v>
      </c>
      <c r="B184" s="1">
        <f t="shared" si="15"/>
        <v>44556</v>
      </c>
      <c r="C184" s="2" t="s">
        <v>1121</v>
      </c>
      <c r="D184" s="2" t="s">
        <v>1118</v>
      </c>
      <c r="E184" s="2">
        <f t="shared" si="14"/>
        <v>2</v>
      </c>
      <c r="F184" s="2" t="s">
        <v>1156</v>
      </c>
      <c r="G184" s="2" t="str">
        <f>Table13[[#This Row],[Month]]&amp;", "&amp;Table13[[#This Row],[FY]]</f>
        <v>DEC, FY22</v>
      </c>
      <c r="H184" s="2" t="str">
        <f>Table13[[#This Row],[Week]]&amp;", "&amp;Table13[[#This Row],[Month]]&amp;" "&amp;Table13[[#This Row],[FY]]</f>
        <v>Week 26, DEC FY22</v>
      </c>
      <c r="I184" s="2" t="str">
        <f>Table13[[#This Row],[Month]]&amp;", "&amp;Table13[[#This Row],[FY]]</f>
        <v>DEC, FY22</v>
      </c>
      <c r="J184" s="2" t="str">
        <f>"Q"&amp;Table13[[#This Row],[QTR]]&amp;", "&amp;Table13[[#This Row],[FY]]</f>
        <v>Q2, FY22</v>
      </c>
    </row>
    <row r="185" spans="1:10" x14ac:dyDescent="0.25">
      <c r="A185" s="1">
        <f t="shared" si="15"/>
        <v>44557</v>
      </c>
      <c r="B185" s="1">
        <f t="shared" si="15"/>
        <v>44563</v>
      </c>
      <c r="C185" s="2" t="s">
        <v>1122</v>
      </c>
      <c r="D185" s="2" t="s">
        <v>1123</v>
      </c>
      <c r="E185" s="2">
        <f t="shared" si="14"/>
        <v>3</v>
      </c>
      <c r="F185" s="2" t="s">
        <v>1156</v>
      </c>
      <c r="G185" s="2" t="str">
        <f>Table13[[#This Row],[Month]]&amp;", "&amp;Table13[[#This Row],[FY]]</f>
        <v>JAN, FY22</v>
      </c>
      <c r="H185" s="2" t="str">
        <f>Table13[[#This Row],[Week]]&amp;", "&amp;Table13[[#This Row],[Month]]&amp;" "&amp;Table13[[#This Row],[FY]]</f>
        <v>Week 27, JAN FY22</v>
      </c>
      <c r="I185" s="2" t="str">
        <f>Table13[[#This Row],[Month]]&amp;", "&amp;Table13[[#This Row],[FY]]</f>
        <v>JAN, FY22</v>
      </c>
      <c r="J185" s="2" t="str">
        <f>"Q"&amp;Table13[[#This Row],[QTR]]&amp;", "&amp;Table13[[#This Row],[FY]]</f>
        <v>Q3, FY22</v>
      </c>
    </row>
    <row r="186" spans="1:10" x14ac:dyDescent="0.25">
      <c r="A186" s="1">
        <f t="shared" si="15"/>
        <v>44564</v>
      </c>
      <c r="B186" s="1">
        <f t="shared" si="15"/>
        <v>44570</v>
      </c>
      <c r="C186" s="2" t="s">
        <v>1124</v>
      </c>
      <c r="D186" s="2" t="s">
        <v>1123</v>
      </c>
      <c r="E186" s="2">
        <f t="shared" si="14"/>
        <v>3</v>
      </c>
      <c r="F186" s="2" t="s">
        <v>1156</v>
      </c>
      <c r="G186" s="2" t="str">
        <f>Table13[[#This Row],[Month]]&amp;", "&amp;Table13[[#This Row],[FY]]</f>
        <v>JAN, FY22</v>
      </c>
      <c r="H186" s="2" t="str">
        <f>Table13[[#This Row],[Week]]&amp;", "&amp;Table13[[#This Row],[Month]]&amp;" "&amp;Table13[[#This Row],[FY]]</f>
        <v>Week 28, JAN FY22</v>
      </c>
      <c r="I186" s="2" t="str">
        <f>Table13[[#This Row],[Month]]&amp;", "&amp;Table13[[#This Row],[FY]]</f>
        <v>JAN, FY22</v>
      </c>
      <c r="J186" s="2" t="str">
        <f>"Q"&amp;Table13[[#This Row],[QTR]]&amp;", "&amp;Table13[[#This Row],[FY]]</f>
        <v>Q3, FY22</v>
      </c>
    </row>
    <row r="187" spans="1:10" x14ac:dyDescent="0.25">
      <c r="A187" s="1">
        <f t="shared" si="15"/>
        <v>44571</v>
      </c>
      <c r="B187" s="1">
        <f t="shared" si="15"/>
        <v>44577</v>
      </c>
      <c r="C187" s="2" t="s">
        <v>1125</v>
      </c>
      <c r="D187" s="2" t="s">
        <v>1123</v>
      </c>
      <c r="E187" s="2">
        <f t="shared" si="14"/>
        <v>3</v>
      </c>
      <c r="F187" s="2" t="s">
        <v>1156</v>
      </c>
      <c r="G187" s="2" t="str">
        <f>Table13[[#This Row],[Month]]&amp;", "&amp;Table13[[#This Row],[FY]]</f>
        <v>JAN, FY22</v>
      </c>
      <c r="H187" s="2" t="str">
        <f>Table13[[#This Row],[Week]]&amp;", "&amp;Table13[[#This Row],[Month]]&amp;" "&amp;Table13[[#This Row],[FY]]</f>
        <v>Week 29, JAN FY22</v>
      </c>
      <c r="I187" s="2" t="str">
        <f>Table13[[#This Row],[Month]]&amp;", "&amp;Table13[[#This Row],[FY]]</f>
        <v>JAN, FY22</v>
      </c>
      <c r="J187" s="2" t="str">
        <f>"Q"&amp;Table13[[#This Row],[QTR]]&amp;", "&amp;Table13[[#This Row],[FY]]</f>
        <v>Q3, FY22</v>
      </c>
    </row>
    <row r="188" spans="1:10" x14ac:dyDescent="0.25">
      <c r="A188" s="1">
        <f t="shared" si="15"/>
        <v>44578</v>
      </c>
      <c r="B188" s="1">
        <f t="shared" si="15"/>
        <v>44584</v>
      </c>
      <c r="C188" s="2" t="s">
        <v>1126</v>
      </c>
      <c r="D188" s="2" t="s">
        <v>1123</v>
      </c>
      <c r="E188" s="2">
        <f t="shared" si="14"/>
        <v>3</v>
      </c>
      <c r="F188" s="2" t="s">
        <v>1156</v>
      </c>
      <c r="G188" s="2" t="str">
        <f>Table13[[#This Row],[Month]]&amp;", "&amp;Table13[[#This Row],[FY]]</f>
        <v>JAN, FY22</v>
      </c>
      <c r="H188" s="2" t="str">
        <f>Table13[[#This Row],[Week]]&amp;", "&amp;Table13[[#This Row],[Month]]&amp;" "&amp;Table13[[#This Row],[FY]]</f>
        <v>Week 30, JAN FY22</v>
      </c>
      <c r="I188" s="2" t="str">
        <f>Table13[[#This Row],[Month]]&amp;", "&amp;Table13[[#This Row],[FY]]</f>
        <v>JAN, FY22</v>
      </c>
      <c r="J188" s="2" t="str">
        <f>"Q"&amp;Table13[[#This Row],[QTR]]&amp;", "&amp;Table13[[#This Row],[FY]]</f>
        <v>Q3, FY22</v>
      </c>
    </row>
    <row r="189" spans="1:10" x14ac:dyDescent="0.25">
      <c r="A189" s="1">
        <f t="shared" si="15"/>
        <v>44585</v>
      </c>
      <c r="B189" s="1">
        <f t="shared" si="15"/>
        <v>44591</v>
      </c>
      <c r="C189" s="2" t="s">
        <v>1127</v>
      </c>
      <c r="D189" s="2" t="s">
        <v>1128</v>
      </c>
      <c r="E189" s="2">
        <f t="shared" si="14"/>
        <v>3</v>
      </c>
      <c r="F189" s="2" t="s">
        <v>1156</v>
      </c>
      <c r="G189" s="2" t="str">
        <f>Table13[[#This Row],[Month]]&amp;", "&amp;Table13[[#This Row],[FY]]</f>
        <v>FEB, FY22</v>
      </c>
      <c r="H189" s="2" t="str">
        <f>Table13[[#This Row],[Week]]&amp;", "&amp;Table13[[#This Row],[Month]]&amp;" "&amp;Table13[[#This Row],[FY]]</f>
        <v>Week 31, FEB FY22</v>
      </c>
      <c r="I189" s="2" t="str">
        <f>Table13[[#This Row],[Month]]&amp;", "&amp;Table13[[#This Row],[FY]]</f>
        <v>FEB, FY22</v>
      </c>
      <c r="J189" s="2" t="str">
        <f>"Q"&amp;Table13[[#This Row],[QTR]]&amp;", "&amp;Table13[[#This Row],[FY]]</f>
        <v>Q3, FY22</v>
      </c>
    </row>
    <row r="190" spans="1:10" x14ac:dyDescent="0.25">
      <c r="A190" s="1">
        <f t="shared" si="15"/>
        <v>44592</v>
      </c>
      <c r="B190" s="1">
        <f t="shared" si="15"/>
        <v>44598</v>
      </c>
      <c r="C190" s="2" t="s">
        <v>1129</v>
      </c>
      <c r="D190" s="2" t="s">
        <v>1128</v>
      </c>
      <c r="E190" s="2">
        <f t="shared" si="14"/>
        <v>3</v>
      </c>
      <c r="F190" s="2" t="s">
        <v>1156</v>
      </c>
      <c r="G190" s="2" t="str">
        <f>Table13[[#This Row],[Month]]&amp;", "&amp;Table13[[#This Row],[FY]]</f>
        <v>FEB, FY22</v>
      </c>
      <c r="H190" s="2" t="str">
        <f>Table13[[#This Row],[Week]]&amp;", "&amp;Table13[[#This Row],[Month]]&amp;" "&amp;Table13[[#This Row],[FY]]</f>
        <v>Week 32, FEB FY22</v>
      </c>
      <c r="I190" s="2" t="str">
        <f>Table13[[#This Row],[Month]]&amp;", "&amp;Table13[[#This Row],[FY]]</f>
        <v>FEB, FY22</v>
      </c>
      <c r="J190" s="2" t="str">
        <f>"Q"&amp;Table13[[#This Row],[QTR]]&amp;", "&amp;Table13[[#This Row],[FY]]</f>
        <v>Q3, FY22</v>
      </c>
    </row>
    <row r="191" spans="1:10" x14ac:dyDescent="0.25">
      <c r="A191" s="1">
        <f t="shared" si="15"/>
        <v>44599</v>
      </c>
      <c r="B191" s="1">
        <f t="shared" si="15"/>
        <v>44605</v>
      </c>
      <c r="C191" s="2" t="s">
        <v>1130</v>
      </c>
      <c r="D191" s="2" t="s">
        <v>1128</v>
      </c>
      <c r="E191" s="2">
        <f t="shared" si="14"/>
        <v>3</v>
      </c>
      <c r="F191" s="2" t="s">
        <v>1156</v>
      </c>
      <c r="G191" s="2" t="str">
        <f>Table13[[#This Row],[Month]]&amp;", "&amp;Table13[[#This Row],[FY]]</f>
        <v>FEB, FY22</v>
      </c>
      <c r="H191" s="2" t="str">
        <f>Table13[[#This Row],[Week]]&amp;", "&amp;Table13[[#This Row],[Month]]&amp;" "&amp;Table13[[#This Row],[FY]]</f>
        <v>Week 33, FEB FY22</v>
      </c>
      <c r="I191" s="2" t="str">
        <f>Table13[[#This Row],[Month]]&amp;", "&amp;Table13[[#This Row],[FY]]</f>
        <v>FEB, FY22</v>
      </c>
      <c r="J191" s="2" t="str">
        <f>"Q"&amp;Table13[[#This Row],[QTR]]&amp;", "&amp;Table13[[#This Row],[FY]]</f>
        <v>Q3, FY22</v>
      </c>
    </row>
    <row r="192" spans="1:10" x14ac:dyDescent="0.25">
      <c r="A192" s="1">
        <f t="shared" ref="A192:B207" si="16">A191+7</f>
        <v>44606</v>
      </c>
      <c r="B192" s="1">
        <f t="shared" si="16"/>
        <v>44612</v>
      </c>
      <c r="C192" s="2" t="s">
        <v>1131</v>
      </c>
      <c r="D192" s="2" t="s">
        <v>1128</v>
      </c>
      <c r="E192" s="2">
        <f t="shared" si="14"/>
        <v>3</v>
      </c>
      <c r="F192" s="2" t="s">
        <v>1156</v>
      </c>
      <c r="G192" s="2" t="str">
        <f>Table13[[#This Row],[Month]]&amp;", "&amp;Table13[[#This Row],[FY]]</f>
        <v>FEB, FY22</v>
      </c>
      <c r="H192" s="2" t="str">
        <f>Table13[[#This Row],[Week]]&amp;", "&amp;Table13[[#This Row],[Month]]&amp;" "&amp;Table13[[#This Row],[FY]]</f>
        <v>Week 34, FEB FY22</v>
      </c>
      <c r="I192" s="2" t="str">
        <f>Table13[[#This Row],[Month]]&amp;", "&amp;Table13[[#This Row],[FY]]</f>
        <v>FEB, FY22</v>
      </c>
      <c r="J192" s="2" t="str">
        <f>"Q"&amp;Table13[[#This Row],[QTR]]&amp;", "&amp;Table13[[#This Row],[FY]]</f>
        <v>Q3, FY22</v>
      </c>
    </row>
    <row r="193" spans="1:10" x14ac:dyDescent="0.25">
      <c r="A193" s="1">
        <f t="shared" si="16"/>
        <v>44613</v>
      </c>
      <c r="B193" s="1">
        <f t="shared" si="16"/>
        <v>44619</v>
      </c>
      <c r="C193" s="2" t="s">
        <v>1132</v>
      </c>
      <c r="D193" s="2" t="s">
        <v>1128</v>
      </c>
      <c r="E193" s="2">
        <f t="shared" si="14"/>
        <v>3</v>
      </c>
      <c r="F193" s="2" t="s">
        <v>1156</v>
      </c>
      <c r="G193" s="2" t="str">
        <f>Table13[[#This Row],[Month]]&amp;", "&amp;Table13[[#This Row],[FY]]</f>
        <v>FEB, FY22</v>
      </c>
      <c r="H193" s="2" t="str">
        <f>Table13[[#This Row],[Week]]&amp;", "&amp;Table13[[#This Row],[Month]]&amp;" "&amp;Table13[[#This Row],[FY]]</f>
        <v>Week 35, FEB FY22</v>
      </c>
      <c r="I193" s="2" t="str">
        <f>Table13[[#This Row],[Month]]&amp;", "&amp;Table13[[#This Row],[FY]]</f>
        <v>FEB, FY22</v>
      </c>
      <c r="J193" s="2" t="str">
        <f>"Q"&amp;Table13[[#This Row],[QTR]]&amp;", "&amp;Table13[[#This Row],[FY]]</f>
        <v>Q3, FY22</v>
      </c>
    </row>
    <row r="194" spans="1:10" x14ac:dyDescent="0.25">
      <c r="A194" s="1">
        <f t="shared" si="16"/>
        <v>44620</v>
      </c>
      <c r="B194" s="1">
        <f t="shared" si="16"/>
        <v>44626</v>
      </c>
      <c r="C194" s="2" t="s">
        <v>1133</v>
      </c>
      <c r="D194" s="2" t="s">
        <v>1134</v>
      </c>
      <c r="E194" s="2">
        <f t="shared" si="14"/>
        <v>3</v>
      </c>
      <c r="F194" s="2" t="s">
        <v>1156</v>
      </c>
      <c r="G194" s="2" t="str">
        <f>Table13[[#This Row],[Month]]&amp;", "&amp;Table13[[#This Row],[FY]]</f>
        <v>MAR, FY22</v>
      </c>
      <c r="H194" s="2" t="str">
        <f>Table13[[#This Row],[Week]]&amp;", "&amp;Table13[[#This Row],[Month]]&amp;" "&amp;Table13[[#This Row],[FY]]</f>
        <v>Week 36, MAR FY22</v>
      </c>
      <c r="I194" s="2" t="str">
        <f>Table13[[#This Row],[Month]]&amp;", "&amp;Table13[[#This Row],[FY]]</f>
        <v>MAR, FY22</v>
      </c>
      <c r="J194" s="2" t="str">
        <f>"Q"&amp;Table13[[#This Row],[QTR]]&amp;", "&amp;Table13[[#This Row],[FY]]</f>
        <v>Q3, FY22</v>
      </c>
    </row>
    <row r="195" spans="1:10" x14ac:dyDescent="0.25">
      <c r="A195" s="1">
        <f t="shared" si="16"/>
        <v>44627</v>
      </c>
      <c r="B195" s="1">
        <f t="shared" si="16"/>
        <v>44633</v>
      </c>
      <c r="C195" s="2" t="s">
        <v>1135</v>
      </c>
      <c r="D195" s="2" t="s">
        <v>1134</v>
      </c>
      <c r="E195" s="2">
        <f t="shared" si="14"/>
        <v>3</v>
      </c>
      <c r="F195" s="2" t="s">
        <v>1156</v>
      </c>
      <c r="G195" s="2" t="str">
        <f>Table13[[#This Row],[Month]]&amp;", "&amp;Table13[[#This Row],[FY]]</f>
        <v>MAR, FY22</v>
      </c>
      <c r="H195" s="2" t="str">
        <f>Table13[[#This Row],[Week]]&amp;", "&amp;Table13[[#This Row],[Month]]&amp;" "&amp;Table13[[#This Row],[FY]]</f>
        <v>Week 37, MAR FY22</v>
      </c>
      <c r="I195" s="2" t="str">
        <f>Table13[[#This Row],[Month]]&amp;", "&amp;Table13[[#This Row],[FY]]</f>
        <v>MAR, FY22</v>
      </c>
      <c r="J195" s="2" t="str">
        <f>"Q"&amp;Table13[[#This Row],[QTR]]&amp;", "&amp;Table13[[#This Row],[FY]]</f>
        <v>Q3, FY22</v>
      </c>
    </row>
    <row r="196" spans="1:10" x14ac:dyDescent="0.25">
      <c r="A196" s="1">
        <f t="shared" si="16"/>
        <v>44634</v>
      </c>
      <c r="B196" s="1">
        <f t="shared" si="16"/>
        <v>44640</v>
      </c>
      <c r="C196" s="2" t="s">
        <v>1136</v>
      </c>
      <c r="D196" s="2" t="s">
        <v>1134</v>
      </c>
      <c r="E196" s="2">
        <f t="shared" si="14"/>
        <v>3</v>
      </c>
      <c r="F196" s="2" t="s">
        <v>1156</v>
      </c>
      <c r="G196" s="2" t="str">
        <f>Table13[[#This Row],[Month]]&amp;", "&amp;Table13[[#This Row],[FY]]</f>
        <v>MAR, FY22</v>
      </c>
      <c r="H196" s="2" t="str">
        <f>Table13[[#This Row],[Week]]&amp;", "&amp;Table13[[#This Row],[Month]]&amp;" "&amp;Table13[[#This Row],[FY]]</f>
        <v>Week 38, MAR FY22</v>
      </c>
      <c r="I196" s="2" t="str">
        <f>Table13[[#This Row],[Month]]&amp;", "&amp;Table13[[#This Row],[FY]]</f>
        <v>MAR, FY22</v>
      </c>
      <c r="J196" s="2" t="str">
        <f>"Q"&amp;Table13[[#This Row],[QTR]]&amp;", "&amp;Table13[[#This Row],[FY]]</f>
        <v>Q3, FY22</v>
      </c>
    </row>
    <row r="197" spans="1:10" x14ac:dyDescent="0.25">
      <c r="A197" s="1">
        <f t="shared" si="16"/>
        <v>44641</v>
      </c>
      <c r="B197" s="1">
        <f t="shared" si="16"/>
        <v>44647</v>
      </c>
      <c r="C197" s="2" t="s">
        <v>1137</v>
      </c>
      <c r="D197" s="2" t="s">
        <v>1134</v>
      </c>
      <c r="E197" s="2">
        <f t="shared" si="14"/>
        <v>3</v>
      </c>
      <c r="F197" s="2" t="s">
        <v>1156</v>
      </c>
      <c r="G197" s="2" t="str">
        <f>Table13[[#This Row],[Month]]&amp;", "&amp;Table13[[#This Row],[FY]]</f>
        <v>MAR, FY22</v>
      </c>
      <c r="H197" s="2" t="str">
        <f>Table13[[#This Row],[Week]]&amp;", "&amp;Table13[[#This Row],[Month]]&amp;" "&amp;Table13[[#This Row],[FY]]</f>
        <v>Week 39, MAR FY22</v>
      </c>
      <c r="I197" s="2" t="str">
        <f>Table13[[#This Row],[Month]]&amp;", "&amp;Table13[[#This Row],[FY]]</f>
        <v>MAR, FY22</v>
      </c>
      <c r="J197" s="2" t="str">
        <f>"Q"&amp;Table13[[#This Row],[QTR]]&amp;", "&amp;Table13[[#This Row],[FY]]</f>
        <v>Q3, FY22</v>
      </c>
    </row>
    <row r="198" spans="1:10" x14ac:dyDescent="0.25">
      <c r="A198" s="1">
        <f t="shared" si="16"/>
        <v>44648</v>
      </c>
      <c r="B198" s="1">
        <f t="shared" si="16"/>
        <v>44654</v>
      </c>
      <c r="C198" s="2" t="s">
        <v>1138</v>
      </c>
      <c r="D198" s="2" t="s">
        <v>1139</v>
      </c>
      <c r="E198" s="2">
        <f t="shared" si="14"/>
        <v>4</v>
      </c>
      <c r="F198" s="2" t="s">
        <v>1156</v>
      </c>
      <c r="G198" s="2" t="str">
        <f>Table13[[#This Row],[Month]]&amp;", "&amp;Table13[[#This Row],[FY]]</f>
        <v>APR, FY22</v>
      </c>
      <c r="H198" s="2" t="str">
        <f>Table13[[#This Row],[Week]]&amp;", "&amp;Table13[[#This Row],[Month]]&amp;" "&amp;Table13[[#This Row],[FY]]</f>
        <v>Week 40, APR FY22</v>
      </c>
      <c r="I198" s="2" t="str">
        <f>Table13[[#This Row],[Month]]&amp;", "&amp;Table13[[#This Row],[FY]]</f>
        <v>APR, FY22</v>
      </c>
      <c r="J198" s="2" t="str">
        <f>"Q"&amp;Table13[[#This Row],[QTR]]&amp;", "&amp;Table13[[#This Row],[FY]]</f>
        <v>Q4, FY22</v>
      </c>
    </row>
    <row r="199" spans="1:10" x14ac:dyDescent="0.25">
      <c r="A199" s="1">
        <f t="shared" si="16"/>
        <v>44655</v>
      </c>
      <c r="B199" s="1">
        <f t="shared" si="16"/>
        <v>44661</v>
      </c>
      <c r="C199" s="2" t="s">
        <v>1140</v>
      </c>
      <c r="D199" s="2" t="s">
        <v>1139</v>
      </c>
      <c r="E199" s="2">
        <f t="shared" si="14"/>
        <v>4</v>
      </c>
      <c r="F199" s="2" t="s">
        <v>1156</v>
      </c>
      <c r="G199" s="2" t="str">
        <f>Table13[[#This Row],[Month]]&amp;", "&amp;Table13[[#This Row],[FY]]</f>
        <v>APR, FY22</v>
      </c>
      <c r="H199" s="2" t="str">
        <f>Table13[[#This Row],[Week]]&amp;", "&amp;Table13[[#This Row],[Month]]&amp;" "&amp;Table13[[#This Row],[FY]]</f>
        <v>Week 41, APR FY22</v>
      </c>
      <c r="I199" s="2" t="str">
        <f>Table13[[#This Row],[Month]]&amp;", "&amp;Table13[[#This Row],[FY]]</f>
        <v>APR, FY22</v>
      </c>
      <c r="J199" s="2" t="str">
        <f>"Q"&amp;Table13[[#This Row],[QTR]]&amp;", "&amp;Table13[[#This Row],[FY]]</f>
        <v>Q4, FY22</v>
      </c>
    </row>
    <row r="200" spans="1:10" x14ac:dyDescent="0.25">
      <c r="A200" s="1">
        <f t="shared" si="16"/>
        <v>44662</v>
      </c>
      <c r="B200" s="1">
        <f t="shared" si="16"/>
        <v>44668</v>
      </c>
      <c r="C200" s="2" t="s">
        <v>1141</v>
      </c>
      <c r="D200" s="2" t="s">
        <v>1139</v>
      </c>
      <c r="E200" s="2">
        <f t="shared" si="14"/>
        <v>4</v>
      </c>
      <c r="F200" s="2" t="s">
        <v>1156</v>
      </c>
      <c r="G200" s="2" t="str">
        <f>Table13[[#This Row],[Month]]&amp;", "&amp;Table13[[#This Row],[FY]]</f>
        <v>APR, FY22</v>
      </c>
      <c r="H200" s="2" t="str">
        <f>Table13[[#This Row],[Week]]&amp;", "&amp;Table13[[#This Row],[Month]]&amp;" "&amp;Table13[[#This Row],[FY]]</f>
        <v>Week 42, APR FY22</v>
      </c>
      <c r="I200" s="2" t="str">
        <f>Table13[[#This Row],[Month]]&amp;", "&amp;Table13[[#This Row],[FY]]</f>
        <v>APR, FY22</v>
      </c>
      <c r="J200" s="2" t="str">
        <f>"Q"&amp;Table13[[#This Row],[QTR]]&amp;", "&amp;Table13[[#This Row],[FY]]</f>
        <v>Q4, FY22</v>
      </c>
    </row>
    <row r="201" spans="1:10" x14ac:dyDescent="0.25">
      <c r="A201" s="1">
        <f t="shared" si="16"/>
        <v>44669</v>
      </c>
      <c r="B201" s="1">
        <f t="shared" si="16"/>
        <v>44675</v>
      </c>
      <c r="C201" s="2" t="s">
        <v>1142</v>
      </c>
      <c r="D201" s="2" t="s">
        <v>1139</v>
      </c>
      <c r="E201" s="2">
        <f t="shared" si="14"/>
        <v>4</v>
      </c>
      <c r="F201" s="2" t="s">
        <v>1156</v>
      </c>
      <c r="G201" s="2" t="str">
        <f>Table13[[#This Row],[Month]]&amp;", "&amp;Table13[[#This Row],[FY]]</f>
        <v>APR, FY22</v>
      </c>
      <c r="H201" s="2" t="str">
        <f>Table13[[#This Row],[Week]]&amp;", "&amp;Table13[[#This Row],[Month]]&amp;" "&amp;Table13[[#This Row],[FY]]</f>
        <v>Week 43, APR FY22</v>
      </c>
      <c r="I201" s="2" t="str">
        <f>Table13[[#This Row],[Month]]&amp;", "&amp;Table13[[#This Row],[FY]]</f>
        <v>APR, FY22</v>
      </c>
      <c r="J201" s="2" t="str">
        <f>"Q"&amp;Table13[[#This Row],[QTR]]&amp;", "&amp;Table13[[#This Row],[FY]]</f>
        <v>Q4, FY22</v>
      </c>
    </row>
    <row r="202" spans="1:10" x14ac:dyDescent="0.25">
      <c r="A202" s="1">
        <f t="shared" si="16"/>
        <v>44676</v>
      </c>
      <c r="B202" s="1">
        <f t="shared" si="16"/>
        <v>44682</v>
      </c>
      <c r="C202" s="2" t="s">
        <v>1143</v>
      </c>
      <c r="D202" s="2" t="s">
        <v>6</v>
      </c>
      <c r="E202" s="2">
        <f t="shared" si="14"/>
        <v>4</v>
      </c>
      <c r="F202" s="2" t="s">
        <v>1156</v>
      </c>
      <c r="G202" s="2" t="str">
        <f>Table13[[#This Row],[Month]]&amp;", "&amp;Table13[[#This Row],[FY]]</f>
        <v>MAY, FY22</v>
      </c>
      <c r="H202" s="2" t="str">
        <f>Table13[[#This Row],[Week]]&amp;", "&amp;Table13[[#This Row],[Month]]&amp;" "&amp;Table13[[#This Row],[FY]]</f>
        <v>Week 44, MAY FY22</v>
      </c>
      <c r="I202" s="2" t="str">
        <f>Table13[[#This Row],[Month]]&amp;", "&amp;Table13[[#This Row],[FY]]</f>
        <v>MAY, FY22</v>
      </c>
      <c r="J202" s="2" t="str">
        <f>"Q"&amp;Table13[[#This Row],[QTR]]&amp;", "&amp;Table13[[#This Row],[FY]]</f>
        <v>Q4, FY22</v>
      </c>
    </row>
    <row r="203" spans="1:10" x14ac:dyDescent="0.25">
      <c r="A203" s="1">
        <f t="shared" si="16"/>
        <v>44683</v>
      </c>
      <c r="B203" s="1">
        <f t="shared" si="16"/>
        <v>44689</v>
      </c>
      <c r="C203" s="2" t="s">
        <v>1144</v>
      </c>
      <c r="D203" s="2" t="s">
        <v>6</v>
      </c>
      <c r="E203" s="2">
        <f t="shared" si="14"/>
        <v>4</v>
      </c>
      <c r="F203" s="2" t="s">
        <v>1156</v>
      </c>
      <c r="G203" s="2" t="str">
        <f>Table13[[#This Row],[Month]]&amp;", "&amp;Table13[[#This Row],[FY]]</f>
        <v>MAY, FY22</v>
      </c>
      <c r="H203" s="2" t="str">
        <f>Table13[[#This Row],[Week]]&amp;", "&amp;Table13[[#This Row],[Month]]&amp;" "&amp;Table13[[#This Row],[FY]]</f>
        <v>Week 45, MAY FY22</v>
      </c>
      <c r="I203" s="2" t="str">
        <f>Table13[[#This Row],[Month]]&amp;", "&amp;Table13[[#This Row],[FY]]</f>
        <v>MAY, FY22</v>
      </c>
      <c r="J203" s="2" t="str">
        <f>"Q"&amp;Table13[[#This Row],[QTR]]&amp;", "&amp;Table13[[#This Row],[FY]]</f>
        <v>Q4, FY22</v>
      </c>
    </row>
    <row r="204" spans="1:10" x14ac:dyDescent="0.25">
      <c r="A204" s="1">
        <f t="shared" si="16"/>
        <v>44690</v>
      </c>
      <c r="B204" s="1">
        <f t="shared" si="16"/>
        <v>44696</v>
      </c>
      <c r="C204" s="2" t="s">
        <v>1145</v>
      </c>
      <c r="D204" s="2" t="s">
        <v>6</v>
      </c>
      <c r="E204" s="2">
        <f t="shared" si="14"/>
        <v>4</v>
      </c>
      <c r="F204" s="2" t="s">
        <v>1156</v>
      </c>
      <c r="G204" s="2" t="str">
        <f>Table13[[#This Row],[Month]]&amp;", "&amp;Table13[[#This Row],[FY]]</f>
        <v>MAY, FY22</v>
      </c>
      <c r="H204" s="2" t="str">
        <f>Table13[[#This Row],[Week]]&amp;", "&amp;Table13[[#This Row],[Month]]&amp;" "&amp;Table13[[#This Row],[FY]]</f>
        <v>Week 46, MAY FY22</v>
      </c>
      <c r="I204" s="2" t="str">
        <f>Table13[[#This Row],[Month]]&amp;", "&amp;Table13[[#This Row],[FY]]</f>
        <v>MAY, FY22</v>
      </c>
      <c r="J204" s="2" t="str">
        <f>"Q"&amp;Table13[[#This Row],[QTR]]&amp;", "&amp;Table13[[#This Row],[FY]]</f>
        <v>Q4, FY22</v>
      </c>
    </row>
    <row r="205" spans="1:10" x14ac:dyDescent="0.25">
      <c r="A205" s="1">
        <f t="shared" si="16"/>
        <v>44697</v>
      </c>
      <c r="B205" s="1">
        <f t="shared" si="16"/>
        <v>44703</v>
      </c>
      <c r="C205" s="2" t="s">
        <v>1146</v>
      </c>
      <c r="D205" s="2" t="s">
        <v>6</v>
      </c>
      <c r="E205" s="2">
        <f t="shared" si="14"/>
        <v>4</v>
      </c>
      <c r="F205" s="2" t="s">
        <v>1156</v>
      </c>
      <c r="G205" s="2" t="str">
        <f>Table13[[#This Row],[Month]]&amp;", "&amp;Table13[[#This Row],[FY]]</f>
        <v>MAY, FY22</v>
      </c>
      <c r="H205" s="2" t="str">
        <f>Table13[[#This Row],[Week]]&amp;", "&amp;Table13[[#This Row],[Month]]&amp;" "&amp;Table13[[#This Row],[FY]]</f>
        <v>Week 47, MAY FY22</v>
      </c>
      <c r="I205" s="2" t="str">
        <f>Table13[[#This Row],[Month]]&amp;", "&amp;Table13[[#This Row],[FY]]</f>
        <v>MAY, FY22</v>
      </c>
      <c r="J205" s="2" t="str">
        <f>"Q"&amp;Table13[[#This Row],[QTR]]&amp;", "&amp;Table13[[#This Row],[FY]]</f>
        <v>Q4, FY22</v>
      </c>
    </row>
    <row r="206" spans="1:10" x14ac:dyDescent="0.25">
      <c r="A206" s="1">
        <f t="shared" si="16"/>
        <v>44704</v>
      </c>
      <c r="B206" s="1">
        <f t="shared" si="16"/>
        <v>44710</v>
      </c>
      <c r="C206" s="2" t="s">
        <v>1147</v>
      </c>
      <c r="D206" s="2" t="s">
        <v>6</v>
      </c>
      <c r="E206" s="2">
        <f t="shared" si="14"/>
        <v>4</v>
      </c>
      <c r="F206" s="2" t="s">
        <v>1156</v>
      </c>
      <c r="G206" s="2" t="str">
        <f>Table13[[#This Row],[Month]]&amp;", "&amp;Table13[[#This Row],[FY]]</f>
        <v>MAY, FY22</v>
      </c>
      <c r="H206" s="2" t="str">
        <f>Table13[[#This Row],[Week]]&amp;", "&amp;Table13[[#This Row],[Month]]&amp;" "&amp;Table13[[#This Row],[FY]]</f>
        <v>Week 48, MAY FY22</v>
      </c>
      <c r="I206" s="2" t="str">
        <f>Table13[[#This Row],[Month]]&amp;", "&amp;Table13[[#This Row],[FY]]</f>
        <v>MAY, FY22</v>
      </c>
      <c r="J206" s="2" t="str">
        <f>"Q"&amp;Table13[[#This Row],[QTR]]&amp;", "&amp;Table13[[#This Row],[FY]]</f>
        <v>Q4, FY22</v>
      </c>
    </row>
    <row r="207" spans="1:10" x14ac:dyDescent="0.25">
      <c r="A207" s="1">
        <f t="shared" si="16"/>
        <v>44711</v>
      </c>
      <c r="B207" s="1">
        <f t="shared" si="16"/>
        <v>44717</v>
      </c>
      <c r="C207" s="2" t="s">
        <v>1148</v>
      </c>
      <c r="D207" s="2" t="s">
        <v>1149</v>
      </c>
      <c r="E207" s="2">
        <f t="shared" si="14"/>
        <v>4</v>
      </c>
      <c r="F207" s="2" t="s">
        <v>1156</v>
      </c>
      <c r="G207" s="2" t="str">
        <f>Table13[[#This Row],[Month]]&amp;", "&amp;Table13[[#This Row],[FY]]</f>
        <v>JUN, FY22</v>
      </c>
      <c r="H207" s="2" t="str">
        <f>Table13[[#This Row],[Week]]&amp;", "&amp;Table13[[#This Row],[Month]]&amp;" "&amp;Table13[[#This Row],[FY]]</f>
        <v>Week 49, JUN FY22</v>
      </c>
      <c r="I207" s="2" t="str">
        <f>Table13[[#This Row],[Month]]&amp;", "&amp;Table13[[#This Row],[FY]]</f>
        <v>JUN, FY22</v>
      </c>
      <c r="J207" s="2" t="str">
        <f>"Q"&amp;Table13[[#This Row],[QTR]]&amp;", "&amp;Table13[[#This Row],[FY]]</f>
        <v>Q4, FY22</v>
      </c>
    </row>
    <row r="208" spans="1:10" x14ac:dyDescent="0.25">
      <c r="A208" s="1">
        <f t="shared" ref="A208:B223" si="17">A207+7</f>
        <v>44718</v>
      </c>
      <c r="B208" s="1">
        <f t="shared" si="17"/>
        <v>44724</v>
      </c>
      <c r="C208" s="2" t="s">
        <v>1150</v>
      </c>
      <c r="D208" s="2" t="s">
        <v>1149</v>
      </c>
      <c r="E208" s="2">
        <f t="shared" si="14"/>
        <v>4</v>
      </c>
      <c r="F208" s="2" t="s">
        <v>1156</v>
      </c>
      <c r="G208" s="2" t="str">
        <f>Table13[[#This Row],[Month]]&amp;", "&amp;Table13[[#This Row],[FY]]</f>
        <v>JUN, FY22</v>
      </c>
      <c r="H208" s="2" t="str">
        <f>Table13[[#This Row],[Week]]&amp;", "&amp;Table13[[#This Row],[Month]]&amp;" "&amp;Table13[[#This Row],[FY]]</f>
        <v>Week 50, JUN FY22</v>
      </c>
      <c r="I208" s="2" t="str">
        <f>Table13[[#This Row],[Month]]&amp;", "&amp;Table13[[#This Row],[FY]]</f>
        <v>JUN, FY22</v>
      </c>
      <c r="J208" s="2" t="str">
        <f>"Q"&amp;Table13[[#This Row],[QTR]]&amp;", "&amp;Table13[[#This Row],[FY]]</f>
        <v>Q4, FY22</v>
      </c>
    </row>
    <row r="209" spans="1:10" x14ac:dyDescent="0.25">
      <c r="A209" s="1">
        <f t="shared" si="17"/>
        <v>44725</v>
      </c>
      <c r="B209" s="1">
        <f t="shared" si="17"/>
        <v>44731</v>
      </c>
      <c r="C209" s="2" t="s">
        <v>1151</v>
      </c>
      <c r="D209" s="2" t="s">
        <v>1149</v>
      </c>
      <c r="E209" s="2">
        <f t="shared" si="14"/>
        <v>4</v>
      </c>
      <c r="F209" s="2" t="s">
        <v>1156</v>
      </c>
      <c r="G209" s="2" t="str">
        <f>Table13[[#This Row],[Month]]&amp;", "&amp;Table13[[#This Row],[FY]]</f>
        <v>JUN, FY22</v>
      </c>
      <c r="H209" s="2" t="str">
        <f>Table13[[#This Row],[Week]]&amp;", "&amp;Table13[[#This Row],[Month]]&amp;" "&amp;Table13[[#This Row],[FY]]</f>
        <v>Week 51, JUN FY22</v>
      </c>
      <c r="I209" s="2" t="str">
        <f>Table13[[#This Row],[Month]]&amp;", "&amp;Table13[[#This Row],[FY]]</f>
        <v>JUN, FY22</v>
      </c>
      <c r="J209" s="2" t="str">
        <f>"Q"&amp;Table13[[#This Row],[QTR]]&amp;", "&amp;Table13[[#This Row],[FY]]</f>
        <v>Q4, FY22</v>
      </c>
    </row>
    <row r="210" spans="1:10" x14ac:dyDescent="0.25">
      <c r="A210" s="1">
        <f t="shared" si="17"/>
        <v>44732</v>
      </c>
      <c r="B210" s="1">
        <f>B209+7</f>
        <v>44738</v>
      </c>
      <c r="C210" s="2" t="s">
        <v>1152</v>
      </c>
      <c r="D210" s="2" t="s">
        <v>1149</v>
      </c>
      <c r="E210" s="2">
        <f t="shared" si="14"/>
        <v>4</v>
      </c>
      <c r="F210" s="2" t="s">
        <v>1156</v>
      </c>
      <c r="G210" s="2" t="str">
        <f>Table13[[#This Row],[Month]]&amp;", "&amp;Table13[[#This Row],[FY]]</f>
        <v>JUN, FY22</v>
      </c>
      <c r="H210" s="2" t="str">
        <f>Table13[[#This Row],[Week]]&amp;", "&amp;Table13[[#This Row],[Month]]&amp;" "&amp;Table13[[#This Row],[FY]]</f>
        <v>Week 52, JUN FY22</v>
      </c>
      <c r="I210" s="2" t="str">
        <f>Table13[[#This Row],[Month]]&amp;", "&amp;Table13[[#This Row],[FY]]</f>
        <v>JUN, FY22</v>
      </c>
      <c r="J210" s="2" t="str">
        <f>"Q"&amp;Table13[[#This Row],[QTR]]&amp;", "&amp;Table13[[#This Row],[FY]]</f>
        <v>Q4, FY22</v>
      </c>
    </row>
    <row r="211" spans="1:10" x14ac:dyDescent="0.25">
      <c r="A211" s="1">
        <f t="shared" si="17"/>
        <v>44739</v>
      </c>
      <c r="B211" s="1">
        <f t="shared" si="17"/>
        <v>44745</v>
      </c>
      <c r="C211" s="2" t="s">
        <v>1089</v>
      </c>
      <c r="D211" s="2" t="s">
        <v>1090</v>
      </c>
      <c r="E211" s="2">
        <v>1</v>
      </c>
      <c r="F211" s="2" t="s">
        <v>1157</v>
      </c>
      <c r="G211" s="2" t="str">
        <f>Table13[[#This Row],[Month]]&amp;", "&amp;Table13[[#This Row],[FY]]</f>
        <v>JUL, FY23</v>
      </c>
      <c r="H211" s="2" t="str">
        <f>Table13[[#This Row],[Week]]&amp;", "&amp;Table13[[#This Row],[Month]]&amp;" "&amp;Table13[[#This Row],[FY]]</f>
        <v>Week 1, JUL FY23</v>
      </c>
      <c r="I211" s="2" t="str">
        <f>Table13[[#This Row],[Month]]&amp;", "&amp;Table13[[#This Row],[FY]]</f>
        <v>JUL, FY23</v>
      </c>
      <c r="J211" s="2" t="str">
        <f>"Q"&amp;Table13[[#This Row],[QTR]]&amp;", "&amp;Table13[[#This Row],[FY]]</f>
        <v>Q1, FY23</v>
      </c>
    </row>
    <row r="212" spans="1:10" x14ac:dyDescent="0.25">
      <c r="A212" s="1">
        <f t="shared" si="17"/>
        <v>44746</v>
      </c>
      <c r="B212" s="1">
        <f t="shared" si="17"/>
        <v>44752</v>
      </c>
      <c r="C212" s="2" t="s">
        <v>1092</v>
      </c>
      <c r="D212" s="2" t="s">
        <v>1090</v>
      </c>
      <c r="E212" s="2">
        <v>1</v>
      </c>
      <c r="F212" s="2" t="s">
        <v>1157</v>
      </c>
      <c r="G212" s="2" t="str">
        <f>Table13[[#This Row],[Month]]&amp;", "&amp;Table13[[#This Row],[FY]]</f>
        <v>JUL, FY23</v>
      </c>
      <c r="H212" s="2" t="str">
        <f>Table13[[#This Row],[Week]]&amp;", "&amp;Table13[[#This Row],[Month]]&amp;" "&amp;Table13[[#This Row],[FY]]</f>
        <v>Week 2, JUL FY23</v>
      </c>
      <c r="I212" s="2" t="str">
        <f>Table13[[#This Row],[Month]]&amp;", "&amp;Table13[[#This Row],[FY]]</f>
        <v>JUL, FY23</v>
      </c>
      <c r="J212" s="2" t="str">
        <f>"Q"&amp;Table13[[#This Row],[QTR]]&amp;", "&amp;Table13[[#This Row],[FY]]</f>
        <v>Q1, FY23</v>
      </c>
    </row>
    <row r="213" spans="1:10" x14ac:dyDescent="0.25">
      <c r="A213" s="1">
        <f t="shared" si="17"/>
        <v>44753</v>
      </c>
      <c r="B213" s="1">
        <f t="shared" si="17"/>
        <v>44759</v>
      </c>
      <c r="C213" s="2" t="s">
        <v>1093</v>
      </c>
      <c r="D213" s="2" t="s">
        <v>1090</v>
      </c>
      <c r="E213" s="2">
        <v>1</v>
      </c>
      <c r="F213" s="2" t="s">
        <v>1157</v>
      </c>
      <c r="G213" s="2" t="str">
        <f>Table13[[#This Row],[Month]]&amp;", "&amp;Table13[[#This Row],[FY]]</f>
        <v>JUL, FY23</v>
      </c>
      <c r="H213" s="2" t="str">
        <f>Table13[[#This Row],[Week]]&amp;", "&amp;Table13[[#This Row],[Month]]&amp;" "&amp;Table13[[#This Row],[FY]]</f>
        <v>Week 3, JUL FY23</v>
      </c>
      <c r="I213" s="2" t="str">
        <f>Table13[[#This Row],[Month]]&amp;", "&amp;Table13[[#This Row],[FY]]</f>
        <v>JUL, FY23</v>
      </c>
      <c r="J213" s="2" t="str">
        <f>"Q"&amp;Table13[[#This Row],[QTR]]&amp;", "&amp;Table13[[#This Row],[FY]]</f>
        <v>Q1, FY23</v>
      </c>
    </row>
    <row r="214" spans="1:10" x14ac:dyDescent="0.25">
      <c r="A214" s="1">
        <f t="shared" si="17"/>
        <v>44760</v>
      </c>
      <c r="B214" s="1">
        <f t="shared" si="17"/>
        <v>44766</v>
      </c>
      <c r="C214" s="2" t="s">
        <v>1094</v>
      </c>
      <c r="D214" s="2" t="s">
        <v>1090</v>
      </c>
      <c r="E214" s="2">
        <v>1</v>
      </c>
      <c r="F214" s="2" t="s">
        <v>1157</v>
      </c>
      <c r="G214" s="2" t="str">
        <f>Table13[[#This Row],[Month]]&amp;", "&amp;Table13[[#This Row],[FY]]</f>
        <v>JUL, FY23</v>
      </c>
      <c r="H214" s="2" t="str">
        <f>Table13[[#This Row],[Week]]&amp;", "&amp;Table13[[#This Row],[Month]]&amp;" "&amp;Table13[[#This Row],[FY]]</f>
        <v>Week 4, JUL FY23</v>
      </c>
      <c r="I214" s="2" t="str">
        <f>Table13[[#This Row],[Month]]&amp;", "&amp;Table13[[#This Row],[FY]]</f>
        <v>JUL, FY23</v>
      </c>
      <c r="J214" s="2" t="str">
        <f>"Q"&amp;Table13[[#This Row],[QTR]]&amp;", "&amp;Table13[[#This Row],[FY]]</f>
        <v>Q1, FY23</v>
      </c>
    </row>
    <row r="215" spans="1:10" x14ac:dyDescent="0.25">
      <c r="A215" s="1">
        <f t="shared" si="17"/>
        <v>44767</v>
      </c>
      <c r="B215" s="1">
        <f t="shared" si="17"/>
        <v>44773</v>
      </c>
      <c r="C215" s="2" t="s">
        <v>1095</v>
      </c>
      <c r="D215" s="2" t="s">
        <v>1096</v>
      </c>
      <c r="E215" s="2">
        <v>1</v>
      </c>
      <c r="F215" s="2" t="s">
        <v>1157</v>
      </c>
      <c r="G215" s="2" t="str">
        <f>Table13[[#This Row],[Month]]&amp;", "&amp;Table13[[#This Row],[FY]]</f>
        <v>AUG, FY23</v>
      </c>
      <c r="H215" s="2" t="str">
        <f>Table13[[#This Row],[Week]]&amp;", "&amp;Table13[[#This Row],[Month]]&amp;" "&amp;Table13[[#This Row],[FY]]</f>
        <v>Week 5, AUG FY23</v>
      </c>
      <c r="I215" s="2" t="str">
        <f>Table13[[#This Row],[Month]]&amp;", "&amp;Table13[[#This Row],[FY]]</f>
        <v>AUG, FY23</v>
      </c>
      <c r="J215" s="2" t="str">
        <f>"Q"&amp;Table13[[#This Row],[QTR]]&amp;", "&amp;Table13[[#This Row],[FY]]</f>
        <v>Q1, FY23</v>
      </c>
    </row>
    <row r="216" spans="1:10" x14ac:dyDescent="0.25">
      <c r="A216" s="1">
        <f t="shared" si="17"/>
        <v>44774</v>
      </c>
      <c r="B216" s="1">
        <f t="shared" si="17"/>
        <v>44780</v>
      </c>
      <c r="C216" s="2" t="s">
        <v>1097</v>
      </c>
      <c r="D216" s="2" t="s">
        <v>1096</v>
      </c>
      <c r="E216" s="2">
        <v>1</v>
      </c>
      <c r="F216" s="2" t="s">
        <v>1157</v>
      </c>
      <c r="G216" s="2" t="str">
        <f>Table13[[#This Row],[Month]]&amp;", "&amp;Table13[[#This Row],[FY]]</f>
        <v>AUG, FY23</v>
      </c>
      <c r="H216" s="2" t="str">
        <f>Table13[[#This Row],[Week]]&amp;", "&amp;Table13[[#This Row],[Month]]&amp;" "&amp;Table13[[#This Row],[FY]]</f>
        <v>Week 6, AUG FY23</v>
      </c>
      <c r="I216" s="2" t="str">
        <f>Table13[[#This Row],[Month]]&amp;", "&amp;Table13[[#This Row],[FY]]</f>
        <v>AUG, FY23</v>
      </c>
      <c r="J216" s="2" t="str">
        <f>"Q"&amp;Table13[[#This Row],[QTR]]&amp;", "&amp;Table13[[#This Row],[FY]]</f>
        <v>Q1, FY23</v>
      </c>
    </row>
    <row r="217" spans="1:10" x14ac:dyDescent="0.25">
      <c r="A217" s="1">
        <f t="shared" si="17"/>
        <v>44781</v>
      </c>
      <c r="B217" s="1">
        <f t="shared" si="17"/>
        <v>44787</v>
      </c>
      <c r="C217" s="2" t="s">
        <v>1098</v>
      </c>
      <c r="D217" s="2" t="s">
        <v>1096</v>
      </c>
      <c r="E217" s="2">
        <v>1</v>
      </c>
      <c r="F217" s="2" t="s">
        <v>1157</v>
      </c>
      <c r="G217" s="2" t="str">
        <f>Table13[[#This Row],[Month]]&amp;", "&amp;Table13[[#This Row],[FY]]</f>
        <v>AUG, FY23</v>
      </c>
      <c r="H217" s="2" t="str">
        <f>Table13[[#This Row],[Week]]&amp;", "&amp;Table13[[#This Row],[Month]]&amp;" "&amp;Table13[[#This Row],[FY]]</f>
        <v>Week 7, AUG FY23</v>
      </c>
      <c r="I217" s="2" t="str">
        <f>Table13[[#This Row],[Month]]&amp;", "&amp;Table13[[#This Row],[FY]]</f>
        <v>AUG, FY23</v>
      </c>
      <c r="J217" s="2" t="str">
        <f>"Q"&amp;Table13[[#This Row],[QTR]]&amp;", "&amp;Table13[[#This Row],[FY]]</f>
        <v>Q1, FY23</v>
      </c>
    </row>
    <row r="218" spans="1:10" x14ac:dyDescent="0.25">
      <c r="A218" s="1">
        <f t="shared" si="17"/>
        <v>44788</v>
      </c>
      <c r="B218" s="1">
        <f t="shared" si="17"/>
        <v>44794</v>
      </c>
      <c r="C218" s="2" t="s">
        <v>1099</v>
      </c>
      <c r="D218" s="2" t="s">
        <v>1096</v>
      </c>
      <c r="E218" s="2">
        <v>1</v>
      </c>
      <c r="F218" s="2" t="s">
        <v>1157</v>
      </c>
      <c r="G218" s="2" t="str">
        <f>Table13[[#This Row],[Month]]&amp;", "&amp;Table13[[#This Row],[FY]]</f>
        <v>AUG, FY23</v>
      </c>
      <c r="H218" s="2" t="str">
        <f>Table13[[#This Row],[Week]]&amp;", "&amp;Table13[[#This Row],[Month]]&amp;" "&amp;Table13[[#This Row],[FY]]</f>
        <v>Week 8, AUG FY23</v>
      </c>
      <c r="I218" s="2" t="str">
        <f>Table13[[#This Row],[Month]]&amp;", "&amp;Table13[[#This Row],[FY]]</f>
        <v>AUG, FY23</v>
      </c>
      <c r="J218" s="2" t="str">
        <f>"Q"&amp;Table13[[#This Row],[QTR]]&amp;", "&amp;Table13[[#This Row],[FY]]</f>
        <v>Q1, FY23</v>
      </c>
    </row>
    <row r="219" spans="1:10" x14ac:dyDescent="0.25">
      <c r="A219" s="1">
        <f t="shared" si="17"/>
        <v>44795</v>
      </c>
      <c r="B219" s="1">
        <f t="shared" si="17"/>
        <v>44801</v>
      </c>
      <c r="C219" s="2" t="s">
        <v>1100</v>
      </c>
      <c r="D219" s="2" t="s">
        <v>1096</v>
      </c>
      <c r="E219" s="2">
        <v>1</v>
      </c>
      <c r="F219" s="2" t="s">
        <v>1157</v>
      </c>
      <c r="G219" s="2" t="str">
        <f>Table13[[#This Row],[Month]]&amp;", "&amp;Table13[[#This Row],[FY]]</f>
        <v>AUG, FY23</v>
      </c>
      <c r="H219" s="2" t="str">
        <f>Table13[[#This Row],[Week]]&amp;", "&amp;Table13[[#This Row],[Month]]&amp;" "&amp;Table13[[#This Row],[FY]]</f>
        <v>Week 9, AUG FY23</v>
      </c>
      <c r="I219" s="2" t="str">
        <f>Table13[[#This Row],[Month]]&amp;", "&amp;Table13[[#This Row],[FY]]</f>
        <v>AUG, FY23</v>
      </c>
      <c r="J219" s="2" t="str">
        <f>"Q"&amp;Table13[[#This Row],[QTR]]&amp;", "&amp;Table13[[#This Row],[FY]]</f>
        <v>Q1, FY23</v>
      </c>
    </row>
    <row r="220" spans="1:10" x14ac:dyDescent="0.25">
      <c r="A220" s="1">
        <f t="shared" si="17"/>
        <v>44802</v>
      </c>
      <c r="B220" s="1">
        <f t="shared" si="17"/>
        <v>44808</v>
      </c>
      <c r="C220" s="2" t="s">
        <v>1101</v>
      </c>
      <c r="D220" s="2" t="s">
        <v>1102</v>
      </c>
      <c r="E220" s="2">
        <v>1</v>
      </c>
      <c r="F220" s="2" t="s">
        <v>1157</v>
      </c>
      <c r="G220" s="2" t="str">
        <f>Table13[[#This Row],[Month]]&amp;", "&amp;Table13[[#This Row],[FY]]</f>
        <v>SEP, FY23</v>
      </c>
      <c r="H220" s="2" t="str">
        <f>Table13[[#This Row],[Week]]&amp;", "&amp;Table13[[#This Row],[Month]]&amp;" "&amp;Table13[[#This Row],[FY]]</f>
        <v>Week 10, SEP FY23</v>
      </c>
      <c r="I220" s="2" t="str">
        <f>Table13[[#This Row],[Month]]&amp;", "&amp;Table13[[#This Row],[FY]]</f>
        <v>SEP, FY23</v>
      </c>
      <c r="J220" s="2" t="str">
        <f>"Q"&amp;Table13[[#This Row],[QTR]]&amp;", "&amp;Table13[[#This Row],[FY]]</f>
        <v>Q1, FY23</v>
      </c>
    </row>
    <row r="221" spans="1:10" x14ac:dyDescent="0.25">
      <c r="A221" s="1">
        <f t="shared" si="17"/>
        <v>44809</v>
      </c>
      <c r="B221" s="1">
        <f t="shared" si="17"/>
        <v>44815</v>
      </c>
      <c r="C221" s="2" t="s">
        <v>1103</v>
      </c>
      <c r="D221" s="2" t="s">
        <v>1102</v>
      </c>
      <c r="E221" s="2">
        <v>1</v>
      </c>
      <c r="F221" s="2" t="s">
        <v>1157</v>
      </c>
      <c r="G221" s="2" t="str">
        <f>Table13[[#This Row],[Month]]&amp;", "&amp;Table13[[#This Row],[FY]]</f>
        <v>SEP, FY23</v>
      </c>
      <c r="H221" s="2" t="str">
        <f>Table13[[#This Row],[Week]]&amp;", "&amp;Table13[[#This Row],[Month]]&amp;" "&amp;Table13[[#This Row],[FY]]</f>
        <v>Week 11, SEP FY23</v>
      </c>
      <c r="I221" s="2" t="str">
        <f>Table13[[#This Row],[Month]]&amp;", "&amp;Table13[[#This Row],[FY]]</f>
        <v>SEP, FY23</v>
      </c>
      <c r="J221" s="2" t="str">
        <f>"Q"&amp;Table13[[#This Row],[QTR]]&amp;", "&amp;Table13[[#This Row],[FY]]</f>
        <v>Q1, FY23</v>
      </c>
    </row>
    <row r="222" spans="1:10" x14ac:dyDescent="0.25">
      <c r="A222" s="1">
        <f t="shared" si="17"/>
        <v>44816</v>
      </c>
      <c r="B222" s="1">
        <f t="shared" si="17"/>
        <v>44822</v>
      </c>
      <c r="C222" s="2" t="s">
        <v>1104</v>
      </c>
      <c r="D222" s="2" t="s">
        <v>1102</v>
      </c>
      <c r="E222" s="2">
        <v>1</v>
      </c>
      <c r="F222" s="2" t="s">
        <v>1157</v>
      </c>
      <c r="G222" s="2" t="str">
        <f>Table13[[#This Row],[Month]]&amp;", "&amp;Table13[[#This Row],[FY]]</f>
        <v>SEP, FY23</v>
      </c>
      <c r="H222" s="2" t="str">
        <f>Table13[[#This Row],[Week]]&amp;", "&amp;Table13[[#This Row],[Month]]&amp;" "&amp;Table13[[#This Row],[FY]]</f>
        <v>Week 12, SEP FY23</v>
      </c>
      <c r="I222" s="2" t="str">
        <f>Table13[[#This Row],[Month]]&amp;", "&amp;Table13[[#This Row],[FY]]</f>
        <v>SEP, FY23</v>
      </c>
      <c r="J222" s="2" t="str">
        <f>"Q"&amp;Table13[[#This Row],[QTR]]&amp;", "&amp;Table13[[#This Row],[FY]]</f>
        <v>Q1, FY23</v>
      </c>
    </row>
    <row r="223" spans="1:10" x14ac:dyDescent="0.25">
      <c r="A223" s="1">
        <f t="shared" si="17"/>
        <v>44823</v>
      </c>
      <c r="B223" s="1">
        <f t="shared" si="17"/>
        <v>44829</v>
      </c>
      <c r="C223" s="2" t="s">
        <v>1105</v>
      </c>
      <c r="D223" s="2" t="s">
        <v>1102</v>
      </c>
      <c r="E223" s="2">
        <v>1</v>
      </c>
      <c r="F223" s="2" t="s">
        <v>1157</v>
      </c>
      <c r="G223" s="2" t="str">
        <f>Table13[[#This Row],[Month]]&amp;", "&amp;Table13[[#This Row],[FY]]</f>
        <v>SEP, FY23</v>
      </c>
      <c r="H223" s="2" t="str">
        <f>Table13[[#This Row],[Week]]&amp;", "&amp;Table13[[#This Row],[Month]]&amp;" "&amp;Table13[[#This Row],[FY]]</f>
        <v>Week 13, SEP FY23</v>
      </c>
      <c r="I223" s="2" t="str">
        <f>Table13[[#This Row],[Month]]&amp;", "&amp;Table13[[#This Row],[FY]]</f>
        <v>SEP, FY23</v>
      </c>
      <c r="J223" s="2" t="str">
        <f>"Q"&amp;Table13[[#This Row],[QTR]]&amp;", "&amp;Table13[[#This Row],[FY]]</f>
        <v>Q1, FY23</v>
      </c>
    </row>
    <row r="224" spans="1:10" x14ac:dyDescent="0.25">
      <c r="A224" s="1">
        <f t="shared" ref="A224:B239" si="18">A223+7</f>
        <v>44830</v>
      </c>
      <c r="B224" s="1">
        <f t="shared" si="18"/>
        <v>44836</v>
      </c>
      <c r="C224" s="2" t="s">
        <v>1106</v>
      </c>
      <c r="D224" s="2" t="s">
        <v>1107</v>
      </c>
      <c r="E224" s="2">
        <f>E211+1</f>
        <v>2</v>
      </c>
      <c r="F224" s="2" t="s">
        <v>1157</v>
      </c>
      <c r="G224" s="2" t="str">
        <f>Table13[[#This Row],[Month]]&amp;", "&amp;Table13[[#This Row],[FY]]</f>
        <v>OCT, FY23</v>
      </c>
      <c r="H224" s="2" t="str">
        <f>Table13[[#This Row],[Week]]&amp;", "&amp;Table13[[#This Row],[Month]]&amp;" "&amp;Table13[[#This Row],[FY]]</f>
        <v>Week 14, OCT FY23</v>
      </c>
      <c r="I224" s="2" t="str">
        <f>Table13[[#This Row],[Month]]&amp;", "&amp;Table13[[#This Row],[FY]]</f>
        <v>OCT, FY23</v>
      </c>
      <c r="J224" s="2" t="str">
        <f>"Q"&amp;Table13[[#This Row],[QTR]]&amp;", "&amp;Table13[[#This Row],[FY]]</f>
        <v>Q2, FY23</v>
      </c>
    </row>
    <row r="225" spans="1:10" x14ac:dyDescent="0.25">
      <c r="A225" s="1">
        <f t="shared" si="18"/>
        <v>44837</v>
      </c>
      <c r="B225" s="1">
        <f t="shared" si="18"/>
        <v>44843</v>
      </c>
      <c r="C225" s="2" t="s">
        <v>1108</v>
      </c>
      <c r="D225" s="2" t="s">
        <v>1107</v>
      </c>
      <c r="E225" s="2">
        <f t="shared" ref="E225:E262" si="19">E212+1</f>
        <v>2</v>
      </c>
      <c r="F225" s="2" t="s">
        <v>1157</v>
      </c>
      <c r="G225" s="2" t="str">
        <f>Table13[[#This Row],[Month]]&amp;", "&amp;Table13[[#This Row],[FY]]</f>
        <v>OCT, FY23</v>
      </c>
      <c r="H225" s="2" t="str">
        <f>Table13[[#This Row],[Week]]&amp;", "&amp;Table13[[#This Row],[Month]]&amp;" "&amp;Table13[[#This Row],[FY]]</f>
        <v>Week 15, OCT FY23</v>
      </c>
      <c r="I225" s="2" t="str">
        <f>Table13[[#This Row],[Month]]&amp;", "&amp;Table13[[#This Row],[FY]]</f>
        <v>OCT, FY23</v>
      </c>
      <c r="J225" s="2" t="str">
        <f>"Q"&amp;Table13[[#This Row],[QTR]]&amp;", "&amp;Table13[[#This Row],[FY]]</f>
        <v>Q2, FY23</v>
      </c>
    </row>
    <row r="226" spans="1:10" x14ac:dyDescent="0.25">
      <c r="A226" s="1">
        <f t="shared" si="18"/>
        <v>44844</v>
      </c>
      <c r="B226" s="1">
        <f t="shared" si="18"/>
        <v>44850</v>
      </c>
      <c r="C226" s="2" t="s">
        <v>1109</v>
      </c>
      <c r="D226" s="2" t="s">
        <v>1107</v>
      </c>
      <c r="E226" s="2">
        <f t="shared" si="19"/>
        <v>2</v>
      </c>
      <c r="F226" s="2" t="s">
        <v>1157</v>
      </c>
      <c r="G226" s="2" t="str">
        <f>Table13[[#This Row],[Month]]&amp;", "&amp;Table13[[#This Row],[FY]]</f>
        <v>OCT, FY23</v>
      </c>
      <c r="H226" s="2" t="str">
        <f>Table13[[#This Row],[Week]]&amp;", "&amp;Table13[[#This Row],[Month]]&amp;" "&amp;Table13[[#This Row],[FY]]</f>
        <v>Week 16, OCT FY23</v>
      </c>
      <c r="I226" s="2" t="str">
        <f>Table13[[#This Row],[Month]]&amp;", "&amp;Table13[[#This Row],[FY]]</f>
        <v>OCT, FY23</v>
      </c>
      <c r="J226" s="2" t="str">
        <f>"Q"&amp;Table13[[#This Row],[QTR]]&amp;", "&amp;Table13[[#This Row],[FY]]</f>
        <v>Q2, FY23</v>
      </c>
    </row>
    <row r="227" spans="1:10" x14ac:dyDescent="0.25">
      <c r="A227" s="1">
        <f t="shared" si="18"/>
        <v>44851</v>
      </c>
      <c r="B227" s="1">
        <f t="shared" si="18"/>
        <v>44857</v>
      </c>
      <c r="C227" s="2" t="s">
        <v>1110</v>
      </c>
      <c r="D227" s="2" t="s">
        <v>1107</v>
      </c>
      <c r="E227" s="2">
        <f t="shared" si="19"/>
        <v>2</v>
      </c>
      <c r="F227" s="2" t="s">
        <v>1157</v>
      </c>
      <c r="G227" s="2" t="str">
        <f>Table13[[#This Row],[Month]]&amp;", "&amp;Table13[[#This Row],[FY]]</f>
        <v>OCT, FY23</v>
      </c>
      <c r="H227" s="2" t="str">
        <f>Table13[[#This Row],[Week]]&amp;", "&amp;Table13[[#This Row],[Month]]&amp;" "&amp;Table13[[#This Row],[FY]]</f>
        <v>Week 17, OCT FY23</v>
      </c>
      <c r="I227" s="2" t="str">
        <f>Table13[[#This Row],[Month]]&amp;", "&amp;Table13[[#This Row],[FY]]</f>
        <v>OCT, FY23</v>
      </c>
      <c r="J227" s="2" t="str">
        <f>"Q"&amp;Table13[[#This Row],[QTR]]&amp;", "&amp;Table13[[#This Row],[FY]]</f>
        <v>Q2, FY23</v>
      </c>
    </row>
    <row r="228" spans="1:10" x14ac:dyDescent="0.25">
      <c r="A228" s="1">
        <f t="shared" si="18"/>
        <v>44858</v>
      </c>
      <c r="B228" s="1">
        <f t="shared" si="18"/>
        <v>44864</v>
      </c>
      <c r="C228" s="2" t="s">
        <v>1111</v>
      </c>
      <c r="D228" s="2" t="s">
        <v>1112</v>
      </c>
      <c r="E228" s="2">
        <f t="shared" si="19"/>
        <v>2</v>
      </c>
      <c r="F228" s="2" t="s">
        <v>1157</v>
      </c>
      <c r="G228" s="2" t="str">
        <f>Table13[[#This Row],[Month]]&amp;", "&amp;Table13[[#This Row],[FY]]</f>
        <v>NOV, FY23</v>
      </c>
      <c r="H228" s="2" t="str">
        <f>Table13[[#This Row],[Week]]&amp;", "&amp;Table13[[#This Row],[Month]]&amp;" "&amp;Table13[[#This Row],[FY]]</f>
        <v>Week 18, NOV FY23</v>
      </c>
      <c r="I228" s="2" t="str">
        <f>Table13[[#This Row],[Month]]&amp;", "&amp;Table13[[#This Row],[FY]]</f>
        <v>NOV, FY23</v>
      </c>
      <c r="J228" s="2" t="str">
        <f>"Q"&amp;Table13[[#This Row],[QTR]]&amp;", "&amp;Table13[[#This Row],[FY]]</f>
        <v>Q2, FY23</v>
      </c>
    </row>
    <row r="229" spans="1:10" x14ac:dyDescent="0.25">
      <c r="A229" s="1">
        <f t="shared" si="18"/>
        <v>44865</v>
      </c>
      <c r="B229" s="1">
        <f t="shared" si="18"/>
        <v>44871</v>
      </c>
      <c r="C229" s="2" t="s">
        <v>1113</v>
      </c>
      <c r="D229" s="2" t="s">
        <v>1112</v>
      </c>
      <c r="E229" s="2">
        <f t="shared" si="19"/>
        <v>2</v>
      </c>
      <c r="F229" s="2" t="s">
        <v>1157</v>
      </c>
      <c r="G229" s="2" t="str">
        <f>Table13[[#This Row],[Month]]&amp;", "&amp;Table13[[#This Row],[FY]]</f>
        <v>NOV, FY23</v>
      </c>
      <c r="H229" s="2" t="str">
        <f>Table13[[#This Row],[Week]]&amp;", "&amp;Table13[[#This Row],[Month]]&amp;" "&amp;Table13[[#This Row],[FY]]</f>
        <v>Week 19, NOV FY23</v>
      </c>
      <c r="I229" s="2" t="str">
        <f>Table13[[#This Row],[Month]]&amp;", "&amp;Table13[[#This Row],[FY]]</f>
        <v>NOV, FY23</v>
      </c>
      <c r="J229" s="2" t="str">
        <f>"Q"&amp;Table13[[#This Row],[QTR]]&amp;", "&amp;Table13[[#This Row],[FY]]</f>
        <v>Q2, FY23</v>
      </c>
    </row>
    <row r="230" spans="1:10" x14ac:dyDescent="0.25">
      <c r="A230" s="1">
        <f t="shared" si="18"/>
        <v>44872</v>
      </c>
      <c r="B230" s="1">
        <f t="shared" si="18"/>
        <v>44878</v>
      </c>
      <c r="C230" s="2" t="s">
        <v>1114</v>
      </c>
      <c r="D230" s="2" t="s">
        <v>1112</v>
      </c>
      <c r="E230" s="2">
        <f t="shared" si="19"/>
        <v>2</v>
      </c>
      <c r="F230" s="2" t="s">
        <v>1157</v>
      </c>
      <c r="G230" s="2" t="str">
        <f>Table13[[#This Row],[Month]]&amp;", "&amp;Table13[[#This Row],[FY]]</f>
        <v>NOV, FY23</v>
      </c>
      <c r="H230" s="2" t="str">
        <f>Table13[[#This Row],[Week]]&amp;", "&amp;Table13[[#This Row],[Month]]&amp;" "&amp;Table13[[#This Row],[FY]]</f>
        <v>Week 20, NOV FY23</v>
      </c>
      <c r="I230" s="2" t="str">
        <f>Table13[[#This Row],[Month]]&amp;", "&amp;Table13[[#This Row],[FY]]</f>
        <v>NOV, FY23</v>
      </c>
      <c r="J230" s="2" t="str">
        <f>"Q"&amp;Table13[[#This Row],[QTR]]&amp;", "&amp;Table13[[#This Row],[FY]]</f>
        <v>Q2, FY23</v>
      </c>
    </row>
    <row r="231" spans="1:10" x14ac:dyDescent="0.25">
      <c r="A231" s="1">
        <f t="shared" si="18"/>
        <v>44879</v>
      </c>
      <c r="B231" s="1">
        <f t="shared" si="18"/>
        <v>44885</v>
      </c>
      <c r="C231" s="2" t="s">
        <v>1115</v>
      </c>
      <c r="D231" s="2" t="s">
        <v>1112</v>
      </c>
      <c r="E231" s="2">
        <f t="shared" si="19"/>
        <v>2</v>
      </c>
      <c r="F231" s="2" t="s">
        <v>1157</v>
      </c>
      <c r="G231" s="2" t="str">
        <f>Table13[[#This Row],[Month]]&amp;", "&amp;Table13[[#This Row],[FY]]</f>
        <v>NOV, FY23</v>
      </c>
      <c r="H231" s="2" t="str">
        <f>Table13[[#This Row],[Week]]&amp;", "&amp;Table13[[#This Row],[Month]]&amp;" "&amp;Table13[[#This Row],[FY]]</f>
        <v>Week 21, NOV FY23</v>
      </c>
      <c r="I231" s="2" t="str">
        <f>Table13[[#This Row],[Month]]&amp;", "&amp;Table13[[#This Row],[FY]]</f>
        <v>NOV, FY23</v>
      </c>
      <c r="J231" s="2" t="str">
        <f>"Q"&amp;Table13[[#This Row],[QTR]]&amp;", "&amp;Table13[[#This Row],[FY]]</f>
        <v>Q2, FY23</v>
      </c>
    </row>
    <row r="232" spans="1:10" x14ac:dyDescent="0.25">
      <c r="A232" s="1">
        <f t="shared" si="18"/>
        <v>44886</v>
      </c>
      <c r="B232" s="1">
        <f t="shared" si="18"/>
        <v>44892</v>
      </c>
      <c r="C232" s="2" t="s">
        <v>1116</v>
      </c>
      <c r="D232" s="2" t="s">
        <v>1112</v>
      </c>
      <c r="E232" s="2">
        <f t="shared" si="19"/>
        <v>2</v>
      </c>
      <c r="F232" s="2" t="s">
        <v>1157</v>
      </c>
      <c r="G232" s="2" t="str">
        <f>Table13[[#This Row],[Month]]&amp;", "&amp;Table13[[#This Row],[FY]]</f>
        <v>NOV, FY23</v>
      </c>
      <c r="H232" s="2" t="str">
        <f>Table13[[#This Row],[Week]]&amp;", "&amp;Table13[[#This Row],[Month]]&amp;" "&amp;Table13[[#This Row],[FY]]</f>
        <v>Week 22, NOV FY23</v>
      </c>
      <c r="I232" s="2" t="str">
        <f>Table13[[#This Row],[Month]]&amp;", "&amp;Table13[[#This Row],[FY]]</f>
        <v>NOV, FY23</v>
      </c>
      <c r="J232" s="2" t="str">
        <f>"Q"&amp;Table13[[#This Row],[QTR]]&amp;", "&amp;Table13[[#This Row],[FY]]</f>
        <v>Q2, FY23</v>
      </c>
    </row>
    <row r="233" spans="1:10" x14ac:dyDescent="0.25">
      <c r="A233" s="1">
        <f t="shared" si="18"/>
        <v>44893</v>
      </c>
      <c r="B233" s="1">
        <f t="shared" si="18"/>
        <v>44899</v>
      </c>
      <c r="C233" s="2" t="s">
        <v>1117</v>
      </c>
      <c r="D233" s="2" t="s">
        <v>1118</v>
      </c>
      <c r="E233" s="2">
        <f t="shared" si="19"/>
        <v>2</v>
      </c>
      <c r="F233" s="2" t="s">
        <v>1157</v>
      </c>
      <c r="G233" s="2" t="str">
        <f>Table13[[#This Row],[Month]]&amp;", "&amp;Table13[[#This Row],[FY]]</f>
        <v>DEC, FY23</v>
      </c>
      <c r="H233" s="2" t="str">
        <f>Table13[[#This Row],[Week]]&amp;", "&amp;Table13[[#This Row],[Month]]&amp;" "&amp;Table13[[#This Row],[FY]]</f>
        <v>Week 23, DEC FY23</v>
      </c>
      <c r="I233" s="2" t="str">
        <f>Table13[[#This Row],[Month]]&amp;", "&amp;Table13[[#This Row],[FY]]</f>
        <v>DEC, FY23</v>
      </c>
      <c r="J233" s="2" t="str">
        <f>"Q"&amp;Table13[[#This Row],[QTR]]&amp;", "&amp;Table13[[#This Row],[FY]]</f>
        <v>Q2, FY23</v>
      </c>
    </row>
    <row r="234" spans="1:10" x14ac:dyDescent="0.25">
      <c r="A234" s="1">
        <f t="shared" si="18"/>
        <v>44900</v>
      </c>
      <c r="B234" s="1">
        <f t="shared" si="18"/>
        <v>44906</v>
      </c>
      <c r="C234" s="2" t="s">
        <v>1119</v>
      </c>
      <c r="D234" s="2" t="s">
        <v>1118</v>
      </c>
      <c r="E234" s="2">
        <f t="shared" si="19"/>
        <v>2</v>
      </c>
      <c r="F234" s="2" t="s">
        <v>1157</v>
      </c>
      <c r="G234" s="2" t="str">
        <f>Table13[[#This Row],[Month]]&amp;", "&amp;Table13[[#This Row],[FY]]</f>
        <v>DEC, FY23</v>
      </c>
      <c r="H234" s="2" t="str">
        <f>Table13[[#This Row],[Week]]&amp;", "&amp;Table13[[#This Row],[Month]]&amp;" "&amp;Table13[[#This Row],[FY]]</f>
        <v>Week 24, DEC FY23</v>
      </c>
      <c r="I234" s="2" t="str">
        <f>Table13[[#This Row],[Month]]&amp;", "&amp;Table13[[#This Row],[FY]]</f>
        <v>DEC, FY23</v>
      </c>
      <c r="J234" s="2" t="str">
        <f>"Q"&amp;Table13[[#This Row],[QTR]]&amp;", "&amp;Table13[[#This Row],[FY]]</f>
        <v>Q2, FY23</v>
      </c>
    </row>
    <row r="235" spans="1:10" x14ac:dyDescent="0.25">
      <c r="A235" s="1">
        <f t="shared" si="18"/>
        <v>44907</v>
      </c>
      <c r="B235" s="1">
        <f t="shared" si="18"/>
        <v>44913</v>
      </c>
      <c r="C235" s="2" t="s">
        <v>1120</v>
      </c>
      <c r="D235" s="2" t="s">
        <v>1118</v>
      </c>
      <c r="E235" s="2">
        <f t="shared" si="19"/>
        <v>2</v>
      </c>
      <c r="F235" s="2" t="s">
        <v>1157</v>
      </c>
      <c r="G235" s="2" t="str">
        <f>Table13[[#This Row],[Month]]&amp;", "&amp;Table13[[#This Row],[FY]]</f>
        <v>DEC, FY23</v>
      </c>
      <c r="H235" s="2" t="str">
        <f>Table13[[#This Row],[Week]]&amp;", "&amp;Table13[[#This Row],[Month]]&amp;" "&amp;Table13[[#This Row],[FY]]</f>
        <v>Week 25, DEC FY23</v>
      </c>
      <c r="I235" s="2" t="str">
        <f>Table13[[#This Row],[Month]]&amp;", "&amp;Table13[[#This Row],[FY]]</f>
        <v>DEC, FY23</v>
      </c>
      <c r="J235" s="2" t="str">
        <f>"Q"&amp;Table13[[#This Row],[QTR]]&amp;", "&amp;Table13[[#This Row],[FY]]</f>
        <v>Q2, FY23</v>
      </c>
    </row>
    <row r="236" spans="1:10" x14ac:dyDescent="0.25">
      <c r="A236" s="1">
        <f t="shared" si="18"/>
        <v>44914</v>
      </c>
      <c r="B236" s="1">
        <f t="shared" si="18"/>
        <v>44920</v>
      </c>
      <c r="C236" s="2" t="s">
        <v>1121</v>
      </c>
      <c r="D236" s="2" t="s">
        <v>1118</v>
      </c>
      <c r="E236" s="2">
        <f t="shared" si="19"/>
        <v>2</v>
      </c>
      <c r="F236" s="2" t="s">
        <v>1157</v>
      </c>
      <c r="G236" s="2" t="str">
        <f>Table13[[#This Row],[Month]]&amp;", "&amp;Table13[[#This Row],[FY]]</f>
        <v>DEC, FY23</v>
      </c>
      <c r="H236" s="2" t="str">
        <f>Table13[[#This Row],[Week]]&amp;", "&amp;Table13[[#This Row],[Month]]&amp;" "&amp;Table13[[#This Row],[FY]]</f>
        <v>Week 26, DEC FY23</v>
      </c>
      <c r="I236" s="2" t="str">
        <f>Table13[[#This Row],[Month]]&amp;", "&amp;Table13[[#This Row],[FY]]</f>
        <v>DEC, FY23</v>
      </c>
      <c r="J236" s="2" t="str">
        <f>"Q"&amp;Table13[[#This Row],[QTR]]&amp;", "&amp;Table13[[#This Row],[FY]]</f>
        <v>Q2, FY23</v>
      </c>
    </row>
    <row r="237" spans="1:10" x14ac:dyDescent="0.25">
      <c r="A237" s="1">
        <f t="shared" si="18"/>
        <v>44921</v>
      </c>
      <c r="B237" s="1">
        <f t="shared" si="18"/>
        <v>44927</v>
      </c>
      <c r="C237" s="2" t="s">
        <v>1122</v>
      </c>
      <c r="D237" s="2" t="s">
        <v>1123</v>
      </c>
      <c r="E237" s="2">
        <f t="shared" si="19"/>
        <v>3</v>
      </c>
      <c r="F237" s="2" t="s">
        <v>1157</v>
      </c>
      <c r="G237" s="2" t="str">
        <f>Table13[[#This Row],[Month]]&amp;", "&amp;Table13[[#This Row],[FY]]</f>
        <v>JAN, FY23</v>
      </c>
      <c r="H237" s="2" t="str">
        <f>Table13[[#This Row],[Week]]&amp;", "&amp;Table13[[#This Row],[Month]]&amp;" "&amp;Table13[[#This Row],[FY]]</f>
        <v>Week 27, JAN FY23</v>
      </c>
      <c r="I237" s="2" t="str">
        <f>Table13[[#This Row],[Month]]&amp;", "&amp;Table13[[#This Row],[FY]]</f>
        <v>JAN, FY23</v>
      </c>
      <c r="J237" s="2" t="str">
        <f>"Q"&amp;Table13[[#This Row],[QTR]]&amp;", "&amp;Table13[[#This Row],[FY]]</f>
        <v>Q3, FY23</v>
      </c>
    </row>
    <row r="238" spans="1:10" x14ac:dyDescent="0.25">
      <c r="A238" s="1">
        <f t="shared" si="18"/>
        <v>44928</v>
      </c>
      <c r="B238" s="1">
        <f t="shared" si="18"/>
        <v>44934</v>
      </c>
      <c r="C238" s="2" t="s">
        <v>1124</v>
      </c>
      <c r="D238" s="2" t="s">
        <v>1123</v>
      </c>
      <c r="E238" s="2">
        <f t="shared" si="19"/>
        <v>3</v>
      </c>
      <c r="F238" s="2" t="s">
        <v>1157</v>
      </c>
      <c r="G238" s="2" t="str">
        <f>Table13[[#This Row],[Month]]&amp;", "&amp;Table13[[#This Row],[FY]]</f>
        <v>JAN, FY23</v>
      </c>
      <c r="H238" s="2" t="str">
        <f>Table13[[#This Row],[Week]]&amp;", "&amp;Table13[[#This Row],[Month]]&amp;" "&amp;Table13[[#This Row],[FY]]</f>
        <v>Week 28, JAN FY23</v>
      </c>
      <c r="I238" s="2" t="str">
        <f>Table13[[#This Row],[Month]]&amp;", "&amp;Table13[[#This Row],[FY]]</f>
        <v>JAN, FY23</v>
      </c>
      <c r="J238" s="2" t="str">
        <f>"Q"&amp;Table13[[#This Row],[QTR]]&amp;", "&amp;Table13[[#This Row],[FY]]</f>
        <v>Q3, FY23</v>
      </c>
    </row>
    <row r="239" spans="1:10" x14ac:dyDescent="0.25">
      <c r="A239" s="1">
        <f t="shared" si="18"/>
        <v>44935</v>
      </c>
      <c r="B239" s="1">
        <f t="shared" si="18"/>
        <v>44941</v>
      </c>
      <c r="C239" s="2" t="s">
        <v>1125</v>
      </c>
      <c r="D239" s="2" t="s">
        <v>1123</v>
      </c>
      <c r="E239" s="2">
        <f t="shared" si="19"/>
        <v>3</v>
      </c>
      <c r="F239" s="2" t="s">
        <v>1157</v>
      </c>
      <c r="G239" s="2" t="str">
        <f>Table13[[#This Row],[Month]]&amp;", "&amp;Table13[[#This Row],[FY]]</f>
        <v>JAN, FY23</v>
      </c>
      <c r="H239" s="2" t="str">
        <f>Table13[[#This Row],[Week]]&amp;", "&amp;Table13[[#This Row],[Month]]&amp;" "&amp;Table13[[#This Row],[FY]]</f>
        <v>Week 29, JAN FY23</v>
      </c>
      <c r="I239" s="2" t="str">
        <f>Table13[[#This Row],[Month]]&amp;", "&amp;Table13[[#This Row],[FY]]</f>
        <v>JAN, FY23</v>
      </c>
      <c r="J239" s="2" t="str">
        <f>"Q"&amp;Table13[[#This Row],[QTR]]&amp;", "&amp;Table13[[#This Row],[FY]]</f>
        <v>Q3, FY23</v>
      </c>
    </row>
    <row r="240" spans="1:10" x14ac:dyDescent="0.25">
      <c r="A240" s="1">
        <f t="shared" ref="A240:B255" si="20">A239+7</f>
        <v>44942</v>
      </c>
      <c r="B240" s="1">
        <f t="shared" si="20"/>
        <v>44948</v>
      </c>
      <c r="C240" s="2" t="s">
        <v>1126</v>
      </c>
      <c r="D240" s="2" t="s">
        <v>1123</v>
      </c>
      <c r="E240" s="2">
        <f t="shared" si="19"/>
        <v>3</v>
      </c>
      <c r="F240" s="2" t="s">
        <v>1157</v>
      </c>
      <c r="G240" s="2" t="str">
        <f>Table13[[#This Row],[Month]]&amp;", "&amp;Table13[[#This Row],[FY]]</f>
        <v>JAN, FY23</v>
      </c>
      <c r="H240" s="2" t="str">
        <f>Table13[[#This Row],[Week]]&amp;", "&amp;Table13[[#This Row],[Month]]&amp;" "&amp;Table13[[#This Row],[FY]]</f>
        <v>Week 30, JAN FY23</v>
      </c>
      <c r="I240" s="2" t="str">
        <f>Table13[[#This Row],[Month]]&amp;", "&amp;Table13[[#This Row],[FY]]</f>
        <v>JAN, FY23</v>
      </c>
      <c r="J240" s="2" t="str">
        <f>"Q"&amp;Table13[[#This Row],[QTR]]&amp;", "&amp;Table13[[#This Row],[FY]]</f>
        <v>Q3, FY23</v>
      </c>
    </row>
    <row r="241" spans="1:10" x14ac:dyDescent="0.25">
      <c r="A241" s="1">
        <f t="shared" si="20"/>
        <v>44949</v>
      </c>
      <c r="B241" s="1">
        <f t="shared" si="20"/>
        <v>44955</v>
      </c>
      <c r="C241" s="2" t="s">
        <v>1127</v>
      </c>
      <c r="D241" s="2" t="s">
        <v>1128</v>
      </c>
      <c r="E241" s="2">
        <f t="shared" si="19"/>
        <v>3</v>
      </c>
      <c r="F241" s="2" t="s">
        <v>1157</v>
      </c>
      <c r="G241" s="2" t="str">
        <f>Table13[[#This Row],[Month]]&amp;", "&amp;Table13[[#This Row],[FY]]</f>
        <v>FEB, FY23</v>
      </c>
      <c r="H241" s="2" t="str">
        <f>Table13[[#This Row],[Week]]&amp;", "&amp;Table13[[#This Row],[Month]]&amp;" "&amp;Table13[[#This Row],[FY]]</f>
        <v>Week 31, FEB FY23</v>
      </c>
      <c r="I241" s="2" t="str">
        <f>Table13[[#This Row],[Month]]&amp;", "&amp;Table13[[#This Row],[FY]]</f>
        <v>FEB, FY23</v>
      </c>
      <c r="J241" s="2" t="str">
        <f>"Q"&amp;Table13[[#This Row],[QTR]]&amp;", "&amp;Table13[[#This Row],[FY]]</f>
        <v>Q3, FY23</v>
      </c>
    </row>
    <row r="242" spans="1:10" x14ac:dyDescent="0.25">
      <c r="A242" s="1">
        <f t="shared" si="20"/>
        <v>44956</v>
      </c>
      <c r="B242" s="1">
        <f t="shared" si="20"/>
        <v>44962</v>
      </c>
      <c r="C242" s="2" t="s">
        <v>1129</v>
      </c>
      <c r="D242" s="2" t="s">
        <v>1128</v>
      </c>
      <c r="E242" s="2">
        <f t="shared" si="19"/>
        <v>3</v>
      </c>
      <c r="F242" s="2" t="s">
        <v>1157</v>
      </c>
      <c r="G242" s="2" t="str">
        <f>Table13[[#This Row],[Month]]&amp;", "&amp;Table13[[#This Row],[FY]]</f>
        <v>FEB, FY23</v>
      </c>
      <c r="H242" s="2" t="str">
        <f>Table13[[#This Row],[Week]]&amp;", "&amp;Table13[[#This Row],[Month]]&amp;" "&amp;Table13[[#This Row],[FY]]</f>
        <v>Week 32, FEB FY23</v>
      </c>
      <c r="I242" s="2" t="str">
        <f>Table13[[#This Row],[Month]]&amp;", "&amp;Table13[[#This Row],[FY]]</f>
        <v>FEB, FY23</v>
      </c>
      <c r="J242" s="2" t="str">
        <f>"Q"&amp;Table13[[#This Row],[QTR]]&amp;", "&amp;Table13[[#This Row],[FY]]</f>
        <v>Q3, FY23</v>
      </c>
    </row>
    <row r="243" spans="1:10" x14ac:dyDescent="0.25">
      <c r="A243" s="1">
        <f t="shared" si="20"/>
        <v>44963</v>
      </c>
      <c r="B243" s="1">
        <f t="shared" si="20"/>
        <v>44969</v>
      </c>
      <c r="C243" s="2" t="s">
        <v>1130</v>
      </c>
      <c r="D243" s="2" t="s">
        <v>1128</v>
      </c>
      <c r="E243" s="2">
        <f t="shared" si="19"/>
        <v>3</v>
      </c>
      <c r="F243" s="2" t="s">
        <v>1157</v>
      </c>
      <c r="G243" s="2" t="str">
        <f>Table13[[#This Row],[Month]]&amp;", "&amp;Table13[[#This Row],[FY]]</f>
        <v>FEB, FY23</v>
      </c>
      <c r="H243" s="2" t="str">
        <f>Table13[[#This Row],[Week]]&amp;", "&amp;Table13[[#This Row],[Month]]&amp;" "&amp;Table13[[#This Row],[FY]]</f>
        <v>Week 33, FEB FY23</v>
      </c>
      <c r="I243" s="2" t="str">
        <f>Table13[[#This Row],[Month]]&amp;", "&amp;Table13[[#This Row],[FY]]</f>
        <v>FEB, FY23</v>
      </c>
      <c r="J243" s="2" t="str">
        <f>"Q"&amp;Table13[[#This Row],[QTR]]&amp;", "&amp;Table13[[#This Row],[FY]]</f>
        <v>Q3, FY23</v>
      </c>
    </row>
    <row r="244" spans="1:10" x14ac:dyDescent="0.25">
      <c r="A244" s="1">
        <f t="shared" si="20"/>
        <v>44970</v>
      </c>
      <c r="B244" s="1">
        <f t="shared" si="20"/>
        <v>44976</v>
      </c>
      <c r="C244" s="2" t="s">
        <v>1131</v>
      </c>
      <c r="D244" s="2" t="s">
        <v>1128</v>
      </c>
      <c r="E244" s="2">
        <f t="shared" si="19"/>
        <v>3</v>
      </c>
      <c r="F244" s="2" t="s">
        <v>1157</v>
      </c>
      <c r="G244" s="2" t="str">
        <f>Table13[[#This Row],[Month]]&amp;", "&amp;Table13[[#This Row],[FY]]</f>
        <v>FEB, FY23</v>
      </c>
      <c r="H244" s="2" t="str">
        <f>Table13[[#This Row],[Week]]&amp;", "&amp;Table13[[#This Row],[Month]]&amp;" "&amp;Table13[[#This Row],[FY]]</f>
        <v>Week 34, FEB FY23</v>
      </c>
      <c r="I244" s="2" t="str">
        <f>Table13[[#This Row],[Month]]&amp;", "&amp;Table13[[#This Row],[FY]]</f>
        <v>FEB, FY23</v>
      </c>
      <c r="J244" s="2" t="str">
        <f>"Q"&amp;Table13[[#This Row],[QTR]]&amp;", "&amp;Table13[[#This Row],[FY]]</f>
        <v>Q3, FY23</v>
      </c>
    </row>
    <row r="245" spans="1:10" x14ac:dyDescent="0.25">
      <c r="A245" s="1">
        <f t="shared" si="20"/>
        <v>44977</v>
      </c>
      <c r="B245" s="1">
        <f t="shared" si="20"/>
        <v>44983</v>
      </c>
      <c r="C245" s="2" t="s">
        <v>1132</v>
      </c>
      <c r="D245" s="2" t="s">
        <v>1128</v>
      </c>
      <c r="E245" s="2">
        <f t="shared" si="19"/>
        <v>3</v>
      </c>
      <c r="F245" s="2" t="s">
        <v>1157</v>
      </c>
      <c r="G245" s="2" t="str">
        <f>Table13[[#This Row],[Month]]&amp;", "&amp;Table13[[#This Row],[FY]]</f>
        <v>FEB, FY23</v>
      </c>
      <c r="H245" s="2" t="str">
        <f>Table13[[#This Row],[Week]]&amp;", "&amp;Table13[[#This Row],[Month]]&amp;" "&amp;Table13[[#This Row],[FY]]</f>
        <v>Week 35, FEB FY23</v>
      </c>
      <c r="I245" s="2" t="str">
        <f>Table13[[#This Row],[Month]]&amp;", "&amp;Table13[[#This Row],[FY]]</f>
        <v>FEB, FY23</v>
      </c>
      <c r="J245" s="2" t="str">
        <f>"Q"&amp;Table13[[#This Row],[QTR]]&amp;", "&amp;Table13[[#This Row],[FY]]</f>
        <v>Q3, FY23</v>
      </c>
    </row>
    <row r="246" spans="1:10" x14ac:dyDescent="0.25">
      <c r="A246" s="1">
        <f t="shared" si="20"/>
        <v>44984</v>
      </c>
      <c r="B246" s="1">
        <f t="shared" si="20"/>
        <v>44990</v>
      </c>
      <c r="C246" s="2" t="s">
        <v>1133</v>
      </c>
      <c r="D246" s="2" t="s">
        <v>1134</v>
      </c>
      <c r="E246" s="2">
        <f t="shared" si="19"/>
        <v>3</v>
      </c>
      <c r="F246" s="2" t="s">
        <v>1157</v>
      </c>
      <c r="G246" s="2" t="str">
        <f>Table13[[#This Row],[Month]]&amp;", "&amp;Table13[[#This Row],[FY]]</f>
        <v>MAR, FY23</v>
      </c>
      <c r="H246" s="2" t="str">
        <f>Table13[[#This Row],[Week]]&amp;", "&amp;Table13[[#This Row],[Month]]&amp;" "&amp;Table13[[#This Row],[FY]]</f>
        <v>Week 36, MAR FY23</v>
      </c>
      <c r="I246" s="2" t="str">
        <f>Table13[[#This Row],[Month]]&amp;", "&amp;Table13[[#This Row],[FY]]</f>
        <v>MAR, FY23</v>
      </c>
      <c r="J246" s="2" t="str">
        <f>"Q"&amp;Table13[[#This Row],[QTR]]&amp;", "&amp;Table13[[#This Row],[FY]]</f>
        <v>Q3, FY23</v>
      </c>
    </row>
    <row r="247" spans="1:10" x14ac:dyDescent="0.25">
      <c r="A247" s="1">
        <f t="shared" si="20"/>
        <v>44991</v>
      </c>
      <c r="B247" s="1">
        <f t="shared" si="20"/>
        <v>44997</v>
      </c>
      <c r="C247" s="2" t="s">
        <v>1135</v>
      </c>
      <c r="D247" s="2" t="s">
        <v>1134</v>
      </c>
      <c r="E247" s="2">
        <f t="shared" si="19"/>
        <v>3</v>
      </c>
      <c r="F247" s="2" t="s">
        <v>1157</v>
      </c>
      <c r="G247" s="2" t="str">
        <f>Table13[[#This Row],[Month]]&amp;", "&amp;Table13[[#This Row],[FY]]</f>
        <v>MAR, FY23</v>
      </c>
      <c r="H247" s="2" t="str">
        <f>Table13[[#This Row],[Week]]&amp;", "&amp;Table13[[#This Row],[Month]]&amp;" "&amp;Table13[[#This Row],[FY]]</f>
        <v>Week 37, MAR FY23</v>
      </c>
      <c r="I247" s="2" t="str">
        <f>Table13[[#This Row],[Month]]&amp;", "&amp;Table13[[#This Row],[FY]]</f>
        <v>MAR, FY23</v>
      </c>
      <c r="J247" s="2" t="str">
        <f>"Q"&amp;Table13[[#This Row],[QTR]]&amp;", "&amp;Table13[[#This Row],[FY]]</f>
        <v>Q3, FY23</v>
      </c>
    </row>
    <row r="248" spans="1:10" x14ac:dyDescent="0.25">
      <c r="A248" s="1">
        <f t="shared" si="20"/>
        <v>44998</v>
      </c>
      <c r="B248" s="1">
        <f t="shared" si="20"/>
        <v>45004</v>
      </c>
      <c r="C248" s="2" t="s">
        <v>1136</v>
      </c>
      <c r="D248" s="2" t="s">
        <v>1134</v>
      </c>
      <c r="E248" s="2">
        <f t="shared" si="19"/>
        <v>3</v>
      </c>
      <c r="F248" s="2" t="s">
        <v>1157</v>
      </c>
      <c r="G248" s="2" t="str">
        <f>Table13[[#This Row],[Month]]&amp;", "&amp;Table13[[#This Row],[FY]]</f>
        <v>MAR, FY23</v>
      </c>
      <c r="H248" s="2" t="str">
        <f>Table13[[#This Row],[Week]]&amp;", "&amp;Table13[[#This Row],[Month]]&amp;" "&amp;Table13[[#This Row],[FY]]</f>
        <v>Week 38, MAR FY23</v>
      </c>
      <c r="I248" s="2" t="str">
        <f>Table13[[#This Row],[Month]]&amp;", "&amp;Table13[[#This Row],[FY]]</f>
        <v>MAR, FY23</v>
      </c>
      <c r="J248" s="2" t="str">
        <f>"Q"&amp;Table13[[#This Row],[QTR]]&amp;", "&amp;Table13[[#This Row],[FY]]</f>
        <v>Q3, FY23</v>
      </c>
    </row>
    <row r="249" spans="1:10" x14ac:dyDescent="0.25">
      <c r="A249" s="1">
        <f t="shared" si="20"/>
        <v>45005</v>
      </c>
      <c r="B249" s="1">
        <f t="shared" si="20"/>
        <v>45011</v>
      </c>
      <c r="C249" s="2" t="s">
        <v>1137</v>
      </c>
      <c r="D249" s="2" t="s">
        <v>1134</v>
      </c>
      <c r="E249" s="2">
        <f t="shared" si="19"/>
        <v>3</v>
      </c>
      <c r="F249" s="2" t="s">
        <v>1157</v>
      </c>
      <c r="G249" s="2" t="str">
        <f>Table13[[#This Row],[Month]]&amp;", "&amp;Table13[[#This Row],[FY]]</f>
        <v>MAR, FY23</v>
      </c>
      <c r="H249" s="2" t="str">
        <f>Table13[[#This Row],[Week]]&amp;", "&amp;Table13[[#This Row],[Month]]&amp;" "&amp;Table13[[#This Row],[FY]]</f>
        <v>Week 39, MAR FY23</v>
      </c>
      <c r="I249" s="2" t="str">
        <f>Table13[[#This Row],[Month]]&amp;", "&amp;Table13[[#This Row],[FY]]</f>
        <v>MAR, FY23</v>
      </c>
      <c r="J249" s="2" t="str">
        <f>"Q"&amp;Table13[[#This Row],[QTR]]&amp;", "&amp;Table13[[#This Row],[FY]]</f>
        <v>Q3, FY23</v>
      </c>
    </row>
    <row r="250" spans="1:10" x14ac:dyDescent="0.25">
      <c r="A250" s="1">
        <f t="shared" si="20"/>
        <v>45012</v>
      </c>
      <c r="B250" s="1">
        <f t="shared" si="20"/>
        <v>45018</v>
      </c>
      <c r="C250" s="2" t="s">
        <v>1138</v>
      </c>
      <c r="D250" s="2" t="s">
        <v>1139</v>
      </c>
      <c r="E250" s="2">
        <f t="shared" si="19"/>
        <v>4</v>
      </c>
      <c r="F250" s="2" t="s">
        <v>1157</v>
      </c>
      <c r="G250" s="2" t="str">
        <f>Table13[[#This Row],[Month]]&amp;", "&amp;Table13[[#This Row],[FY]]</f>
        <v>APR, FY23</v>
      </c>
      <c r="H250" s="2" t="str">
        <f>Table13[[#This Row],[Week]]&amp;", "&amp;Table13[[#This Row],[Month]]&amp;" "&amp;Table13[[#This Row],[FY]]</f>
        <v>Week 40, APR FY23</v>
      </c>
      <c r="I250" s="2" t="str">
        <f>Table13[[#This Row],[Month]]&amp;", "&amp;Table13[[#This Row],[FY]]</f>
        <v>APR, FY23</v>
      </c>
      <c r="J250" s="2" t="str">
        <f>"Q"&amp;Table13[[#This Row],[QTR]]&amp;", "&amp;Table13[[#This Row],[FY]]</f>
        <v>Q4, FY23</v>
      </c>
    </row>
    <row r="251" spans="1:10" x14ac:dyDescent="0.25">
      <c r="A251" s="1">
        <f t="shared" si="20"/>
        <v>45019</v>
      </c>
      <c r="B251" s="1">
        <f t="shared" si="20"/>
        <v>45025</v>
      </c>
      <c r="C251" s="2" t="s">
        <v>1140</v>
      </c>
      <c r="D251" s="2" t="s">
        <v>1139</v>
      </c>
      <c r="E251" s="2">
        <f t="shared" si="19"/>
        <v>4</v>
      </c>
      <c r="F251" s="2" t="s">
        <v>1157</v>
      </c>
      <c r="G251" s="2" t="str">
        <f>Table13[[#This Row],[Month]]&amp;", "&amp;Table13[[#This Row],[FY]]</f>
        <v>APR, FY23</v>
      </c>
      <c r="H251" s="2" t="str">
        <f>Table13[[#This Row],[Week]]&amp;", "&amp;Table13[[#This Row],[Month]]&amp;" "&amp;Table13[[#This Row],[FY]]</f>
        <v>Week 41, APR FY23</v>
      </c>
      <c r="I251" s="2" t="str">
        <f>Table13[[#This Row],[Month]]&amp;", "&amp;Table13[[#This Row],[FY]]</f>
        <v>APR, FY23</v>
      </c>
      <c r="J251" s="2" t="str">
        <f>"Q"&amp;Table13[[#This Row],[QTR]]&amp;", "&amp;Table13[[#This Row],[FY]]</f>
        <v>Q4, FY23</v>
      </c>
    </row>
    <row r="252" spans="1:10" x14ac:dyDescent="0.25">
      <c r="A252" s="1">
        <f t="shared" si="20"/>
        <v>45026</v>
      </c>
      <c r="B252" s="1">
        <f t="shared" si="20"/>
        <v>45032</v>
      </c>
      <c r="C252" s="2" t="s">
        <v>1141</v>
      </c>
      <c r="D252" s="2" t="s">
        <v>1139</v>
      </c>
      <c r="E252" s="2">
        <f t="shared" si="19"/>
        <v>4</v>
      </c>
      <c r="F252" s="2" t="s">
        <v>1157</v>
      </c>
      <c r="G252" s="2" t="str">
        <f>Table13[[#This Row],[Month]]&amp;", "&amp;Table13[[#This Row],[FY]]</f>
        <v>APR, FY23</v>
      </c>
      <c r="H252" s="2" t="str">
        <f>Table13[[#This Row],[Week]]&amp;", "&amp;Table13[[#This Row],[Month]]&amp;" "&amp;Table13[[#This Row],[FY]]</f>
        <v>Week 42, APR FY23</v>
      </c>
      <c r="I252" s="2" t="str">
        <f>Table13[[#This Row],[Month]]&amp;", "&amp;Table13[[#This Row],[FY]]</f>
        <v>APR, FY23</v>
      </c>
      <c r="J252" s="2" t="str">
        <f>"Q"&amp;Table13[[#This Row],[QTR]]&amp;", "&amp;Table13[[#This Row],[FY]]</f>
        <v>Q4, FY23</v>
      </c>
    </row>
    <row r="253" spans="1:10" x14ac:dyDescent="0.25">
      <c r="A253" s="1">
        <f t="shared" si="20"/>
        <v>45033</v>
      </c>
      <c r="B253" s="1">
        <f t="shared" si="20"/>
        <v>45039</v>
      </c>
      <c r="C253" s="2" t="s">
        <v>1142</v>
      </c>
      <c r="D253" s="2" t="s">
        <v>1139</v>
      </c>
      <c r="E253" s="2">
        <f t="shared" si="19"/>
        <v>4</v>
      </c>
      <c r="F253" s="2" t="s">
        <v>1157</v>
      </c>
      <c r="G253" s="2" t="str">
        <f>Table13[[#This Row],[Month]]&amp;", "&amp;Table13[[#This Row],[FY]]</f>
        <v>APR, FY23</v>
      </c>
      <c r="H253" s="2" t="str">
        <f>Table13[[#This Row],[Week]]&amp;", "&amp;Table13[[#This Row],[Month]]&amp;" "&amp;Table13[[#This Row],[FY]]</f>
        <v>Week 43, APR FY23</v>
      </c>
      <c r="I253" s="2" t="str">
        <f>Table13[[#This Row],[Month]]&amp;", "&amp;Table13[[#This Row],[FY]]</f>
        <v>APR, FY23</v>
      </c>
      <c r="J253" s="2" t="str">
        <f>"Q"&amp;Table13[[#This Row],[QTR]]&amp;", "&amp;Table13[[#This Row],[FY]]</f>
        <v>Q4, FY23</v>
      </c>
    </row>
    <row r="254" spans="1:10" x14ac:dyDescent="0.25">
      <c r="A254" s="1">
        <f t="shared" si="20"/>
        <v>45040</v>
      </c>
      <c r="B254" s="1">
        <f t="shared" si="20"/>
        <v>45046</v>
      </c>
      <c r="C254" s="2" t="s">
        <v>1143</v>
      </c>
      <c r="D254" s="2" t="s">
        <v>6</v>
      </c>
      <c r="E254" s="2">
        <f t="shared" si="19"/>
        <v>4</v>
      </c>
      <c r="F254" s="2" t="s">
        <v>1157</v>
      </c>
      <c r="G254" s="2" t="str">
        <f>Table13[[#This Row],[Month]]&amp;", "&amp;Table13[[#This Row],[FY]]</f>
        <v>MAY, FY23</v>
      </c>
      <c r="H254" s="2" t="str">
        <f>Table13[[#This Row],[Week]]&amp;", "&amp;Table13[[#This Row],[Month]]&amp;" "&amp;Table13[[#This Row],[FY]]</f>
        <v>Week 44, MAY FY23</v>
      </c>
      <c r="I254" s="2" t="str">
        <f>Table13[[#This Row],[Month]]&amp;", "&amp;Table13[[#This Row],[FY]]</f>
        <v>MAY, FY23</v>
      </c>
      <c r="J254" s="2" t="str">
        <f>"Q"&amp;Table13[[#This Row],[QTR]]&amp;", "&amp;Table13[[#This Row],[FY]]</f>
        <v>Q4, FY23</v>
      </c>
    </row>
    <row r="255" spans="1:10" x14ac:dyDescent="0.25">
      <c r="A255" s="1">
        <f t="shared" si="20"/>
        <v>45047</v>
      </c>
      <c r="B255" s="1">
        <f t="shared" si="20"/>
        <v>45053</v>
      </c>
      <c r="C255" s="2" t="s">
        <v>1144</v>
      </c>
      <c r="D255" s="2" t="s">
        <v>6</v>
      </c>
      <c r="E255" s="2">
        <f t="shared" si="19"/>
        <v>4</v>
      </c>
      <c r="F255" s="2" t="s">
        <v>1157</v>
      </c>
      <c r="G255" s="2" t="str">
        <f>Table13[[#This Row],[Month]]&amp;", "&amp;Table13[[#This Row],[FY]]</f>
        <v>MAY, FY23</v>
      </c>
      <c r="H255" s="2" t="str">
        <f>Table13[[#This Row],[Week]]&amp;", "&amp;Table13[[#This Row],[Month]]&amp;" "&amp;Table13[[#This Row],[FY]]</f>
        <v>Week 45, MAY FY23</v>
      </c>
      <c r="I255" s="2" t="str">
        <f>Table13[[#This Row],[Month]]&amp;", "&amp;Table13[[#This Row],[FY]]</f>
        <v>MAY, FY23</v>
      </c>
      <c r="J255" s="2" t="str">
        <f>"Q"&amp;Table13[[#This Row],[QTR]]&amp;", "&amp;Table13[[#This Row],[FY]]</f>
        <v>Q4, FY23</v>
      </c>
    </row>
    <row r="256" spans="1:10" x14ac:dyDescent="0.25">
      <c r="A256" s="1">
        <f t="shared" ref="A256:B271" si="21">A255+7</f>
        <v>45054</v>
      </c>
      <c r="B256" s="1">
        <f t="shared" si="21"/>
        <v>45060</v>
      </c>
      <c r="C256" s="2" t="s">
        <v>1145</v>
      </c>
      <c r="D256" s="2" t="s">
        <v>6</v>
      </c>
      <c r="E256" s="2">
        <f t="shared" si="19"/>
        <v>4</v>
      </c>
      <c r="F256" s="2" t="s">
        <v>1157</v>
      </c>
      <c r="G256" s="2" t="str">
        <f>Table13[[#This Row],[Month]]&amp;", "&amp;Table13[[#This Row],[FY]]</f>
        <v>MAY, FY23</v>
      </c>
      <c r="H256" s="2" t="str">
        <f>Table13[[#This Row],[Week]]&amp;", "&amp;Table13[[#This Row],[Month]]&amp;" "&amp;Table13[[#This Row],[FY]]</f>
        <v>Week 46, MAY FY23</v>
      </c>
      <c r="I256" s="2" t="str">
        <f>Table13[[#This Row],[Month]]&amp;", "&amp;Table13[[#This Row],[FY]]</f>
        <v>MAY, FY23</v>
      </c>
      <c r="J256" s="2" t="str">
        <f>"Q"&amp;Table13[[#This Row],[QTR]]&amp;", "&amp;Table13[[#This Row],[FY]]</f>
        <v>Q4, FY23</v>
      </c>
    </row>
    <row r="257" spans="1:10" x14ac:dyDescent="0.25">
      <c r="A257" s="1">
        <f t="shared" si="21"/>
        <v>45061</v>
      </c>
      <c r="B257" s="1">
        <f t="shared" si="21"/>
        <v>45067</v>
      </c>
      <c r="C257" s="2" t="s">
        <v>1146</v>
      </c>
      <c r="D257" s="2" t="s">
        <v>6</v>
      </c>
      <c r="E257" s="2">
        <f t="shared" si="19"/>
        <v>4</v>
      </c>
      <c r="F257" s="2" t="s">
        <v>1157</v>
      </c>
      <c r="G257" s="2" t="str">
        <f>Table13[[#This Row],[Month]]&amp;", "&amp;Table13[[#This Row],[FY]]</f>
        <v>MAY, FY23</v>
      </c>
      <c r="H257" s="2" t="str">
        <f>Table13[[#This Row],[Week]]&amp;", "&amp;Table13[[#This Row],[Month]]&amp;" "&amp;Table13[[#This Row],[FY]]</f>
        <v>Week 47, MAY FY23</v>
      </c>
      <c r="I257" s="2" t="str">
        <f>Table13[[#This Row],[Month]]&amp;", "&amp;Table13[[#This Row],[FY]]</f>
        <v>MAY, FY23</v>
      </c>
      <c r="J257" s="2" t="str">
        <f>"Q"&amp;Table13[[#This Row],[QTR]]&amp;", "&amp;Table13[[#This Row],[FY]]</f>
        <v>Q4, FY23</v>
      </c>
    </row>
    <row r="258" spans="1:10" x14ac:dyDescent="0.25">
      <c r="A258" s="1">
        <f t="shared" si="21"/>
        <v>45068</v>
      </c>
      <c r="B258" s="1">
        <f t="shared" si="21"/>
        <v>45074</v>
      </c>
      <c r="C258" s="2" t="s">
        <v>1147</v>
      </c>
      <c r="D258" s="2" t="s">
        <v>6</v>
      </c>
      <c r="E258" s="2">
        <f t="shared" si="19"/>
        <v>4</v>
      </c>
      <c r="F258" s="2" t="s">
        <v>1157</v>
      </c>
      <c r="G258" s="2" t="str">
        <f>Table13[[#This Row],[Month]]&amp;", "&amp;Table13[[#This Row],[FY]]</f>
        <v>MAY, FY23</v>
      </c>
      <c r="H258" s="2" t="str">
        <f>Table13[[#This Row],[Week]]&amp;", "&amp;Table13[[#This Row],[Month]]&amp;" "&amp;Table13[[#This Row],[FY]]</f>
        <v>Week 48, MAY FY23</v>
      </c>
      <c r="I258" s="2" t="str">
        <f>Table13[[#This Row],[Month]]&amp;", "&amp;Table13[[#This Row],[FY]]</f>
        <v>MAY, FY23</v>
      </c>
      <c r="J258" s="2" t="str">
        <f>"Q"&amp;Table13[[#This Row],[QTR]]&amp;", "&amp;Table13[[#This Row],[FY]]</f>
        <v>Q4, FY23</v>
      </c>
    </row>
    <row r="259" spans="1:10" x14ac:dyDescent="0.25">
      <c r="A259" s="1">
        <f t="shared" si="21"/>
        <v>45075</v>
      </c>
      <c r="B259" s="1">
        <f t="shared" si="21"/>
        <v>45081</v>
      </c>
      <c r="C259" s="2" t="s">
        <v>1148</v>
      </c>
      <c r="D259" s="2" t="s">
        <v>1149</v>
      </c>
      <c r="E259" s="2">
        <f t="shared" si="19"/>
        <v>4</v>
      </c>
      <c r="F259" s="2" t="s">
        <v>1157</v>
      </c>
      <c r="G259" s="2" t="str">
        <f>Table13[[#This Row],[Month]]&amp;", "&amp;Table13[[#This Row],[FY]]</f>
        <v>JUN, FY23</v>
      </c>
      <c r="H259" s="2" t="str">
        <f>Table13[[#This Row],[Week]]&amp;", "&amp;Table13[[#This Row],[Month]]&amp;" "&amp;Table13[[#This Row],[FY]]</f>
        <v>Week 49, JUN FY23</v>
      </c>
      <c r="I259" s="2" t="str">
        <f>Table13[[#This Row],[Month]]&amp;", "&amp;Table13[[#This Row],[FY]]</f>
        <v>JUN, FY23</v>
      </c>
      <c r="J259" s="2" t="str">
        <f>"Q"&amp;Table13[[#This Row],[QTR]]&amp;", "&amp;Table13[[#This Row],[FY]]</f>
        <v>Q4, FY23</v>
      </c>
    </row>
    <row r="260" spans="1:10" x14ac:dyDescent="0.25">
      <c r="A260" s="1">
        <f t="shared" si="21"/>
        <v>45082</v>
      </c>
      <c r="B260" s="1">
        <f t="shared" si="21"/>
        <v>45088</v>
      </c>
      <c r="C260" s="2" t="s">
        <v>1150</v>
      </c>
      <c r="D260" s="2" t="s">
        <v>1149</v>
      </c>
      <c r="E260" s="2">
        <f t="shared" si="19"/>
        <v>4</v>
      </c>
      <c r="F260" s="2" t="s">
        <v>1157</v>
      </c>
      <c r="G260" s="2" t="str">
        <f>Table13[[#This Row],[Month]]&amp;", "&amp;Table13[[#This Row],[FY]]</f>
        <v>JUN, FY23</v>
      </c>
      <c r="H260" s="2" t="str">
        <f>Table13[[#This Row],[Week]]&amp;", "&amp;Table13[[#This Row],[Month]]&amp;" "&amp;Table13[[#This Row],[FY]]</f>
        <v>Week 50, JUN FY23</v>
      </c>
      <c r="I260" s="2" t="str">
        <f>Table13[[#This Row],[Month]]&amp;", "&amp;Table13[[#This Row],[FY]]</f>
        <v>JUN, FY23</v>
      </c>
      <c r="J260" s="2" t="str">
        <f>"Q"&amp;Table13[[#This Row],[QTR]]&amp;", "&amp;Table13[[#This Row],[FY]]</f>
        <v>Q4, FY23</v>
      </c>
    </row>
    <row r="261" spans="1:10" x14ac:dyDescent="0.25">
      <c r="A261" s="1">
        <f t="shared" si="21"/>
        <v>45089</v>
      </c>
      <c r="B261" s="1">
        <f t="shared" si="21"/>
        <v>45095</v>
      </c>
      <c r="C261" s="2" t="s">
        <v>1151</v>
      </c>
      <c r="D261" s="2" t="s">
        <v>1149</v>
      </c>
      <c r="E261" s="2">
        <f t="shared" si="19"/>
        <v>4</v>
      </c>
      <c r="F261" s="2" t="s">
        <v>1157</v>
      </c>
      <c r="G261" s="2" t="str">
        <f>Table13[[#This Row],[Month]]&amp;", "&amp;Table13[[#This Row],[FY]]</f>
        <v>JUN, FY23</v>
      </c>
      <c r="H261" s="2" t="str">
        <f>Table13[[#This Row],[Week]]&amp;", "&amp;Table13[[#This Row],[Month]]&amp;" "&amp;Table13[[#This Row],[FY]]</f>
        <v>Week 51, JUN FY23</v>
      </c>
      <c r="I261" s="2" t="str">
        <f>Table13[[#This Row],[Month]]&amp;", "&amp;Table13[[#This Row],[FY]]</f>
        <v>JUN, FY23</v>
      </c>
      <c r="J261" s="2" t="str">
        <f>"Q"&amp;Table13[[#This Row],[QTR]]&amp;", "&amp;Table13[[#This Row],[FY]]</f>
        <v>Q4, FY23</v>
      </c>
    </row>
    <row r="262" spans="1:10" x14ac:dyDescent="0.25">
      <c r="A262" s="1">
        <f t="shared" si="21"/>
        <v>45096</v>
      </c>
      <c r="B262" s="1">
        <f t="shared" si="21"/>
        <v>45102</v>
      </c>
      <c r="C262" s="2" t="s">
        <v>1152</v>
      </c>
      <c r="D262" s="2" t="s">
        <v>1149</v>
      </c>
      <c r="E262" s="2">
        <f t="shared" si="19"/>
        <v>4</v>
      </c>
      <c r="F262" s="2" t="s">
        <v>1157</v>
      </c>
      <c r="G262" s="2" t="str">
        <f>Table13[[#This Row],[Month]]&amp;", "&amp;Table13[[#This Row],[FY]]</f>
        <v>JUN, FY23</v>
      </c>
      <c r="H262" s="2" t="str">
        <f>Table13[[#This Row],[Week]]&amp;", "&amp;Table13[[#This Row],[Month]]&amp;" "&amp;Table13[[#This Row],[FY]]</f>
        <v>Week 52, JUN FY23</v>
      </c>
      <c r="I262" s="2" t="str">
        <f>Table13[[#This Row],[Month]]&amp;", "&amp;Table13[[#This Row],[FY]]</f>
        <v>JUN, FY23</v>
      </c>
      <c r="J262" s="2" t="str">
        <f>"Q"&amp;Table13[[#This Row],[QTR]]&amp;", "&amp;Table13[[#This Row],[FY]]</f>
        <v>Q4, FY23</v>
      </c>
    </row>
    <row r="263" spans="1:10" x14ac:dyDescent="0.25">
      <c r="A263" s="1">
        <f t="shared" si="21"/>
        <v>45103</v>
      </c>
      <c r="B263" s="1">
        <f t="shared" si="21"/>
        <v>45109</v>
      </c>
      <c r="C263" s="2" t="s">
        <v>1089</v>
      </c>
      <c r="D263" s="2" t="s">
        <v>1090</v>
      </c>
      <c r="E263" s="2">
        <v>1</v>
      </c>
      <c r="F263" s="2" t="s">
        <v>2</v>
      </c>
      <c r="G263" s="2" t="str">
        <f>Table13[[#This Row],[Month]]&amp;", "&amp;Table13[[#This Row],[FY]]</f>
        <v>JUL, FY24</v>
      </c>
      <c r="H263" s="2" t="str">
        <f>Table13[[#This Row],[Week]]&amp;", "&amp;Table13[[#This Row],[Month]]&amp;" "&amp;Table13[[#This Row],[FY]]</f>
        <v>Week 1, JUL FY24</v>
      </c>
      <c r="I263" s="2" t="str">
        <f>Table13[[#This Row],[Month]]&amp;", "&amp;Table13[[#This Row],[FY]]</f>
        <v>JUL, FY24</v>
      </c>
      <c r="J263" s="2" t="str">
        <f>"Q"&amp;Table13[[#This Row],[QTR]]&amp;", "&amp;Table13[[#This Row],[FY]]</f>
        <v>Q1, FY24</v>
      </c>
    </row>
    <row r="264" spans="1:10" x14ac:dyDescent="0.25">
      <c r="A264" s="1">
        <f t="shared" si="21"/>
        <v>45110</v>
      </c>
      <c r="B264" s="1">
        <f t="shared" si="21"/>
        <v>45116</v>
      </c>
      <c r="C264" s="2" t="s">
        <v>1092</v>
      </c>
      <c r="D264" s="2" t="s">
        <v>1090</v>
      </c>
      <c r="E264" s="2">
        <v>1</v>
      </c>
      <c r="F264" s="2" t="s">
        <v>2</v>
      </c>
      <c r="G264" s="2" t="str">
        <f>Table13[[#This Row],[Month]]&amp;", "&amp;Table13[[#This Row],[FY]]</f>
        <v>JUL, FY24</v>
      </c>
      <c r="H264" s="2" t="str">
        <f>Table13[[#This Row],[Week]]&amp;", "&amp;Table13[[#This Row],[Month]]&amp;" "&amp;Table13[[#This Row],[FY]]</f>
        <v>Week 2, JUL FY24</v>
      </c>
      <c r="I264" s="2" t="str">
        <f>Table13[[#This Row],[Month]]&amp;", "&amp;Table13[[#This Row],[FY]]</f>
        <v>JUL, FY24</v>
      </c>
      <c r="J264" s="2" t="str">
        <f>"Q"&amp;Table13[[#This Row],[QTR]]&amp;", "&amp;Table13[[#This Row],[FY]]</f>
        <v>Q1, FY24</v>
      </c>
    </row>
    <row r="265" spans="1:10" x14ac:dyDescent="0.25">
      <c r="A265" s="1">
        <f t="shared" si="21"/>
        <v>45117</v>
      </c>
      <c r="B265" s="1">
        <f t="shared" si="21"/>
        <v>45123</v>
      </c>
      <c r="C265" s="2" t="s">
        <v>1093</v>
      </c>
      <c r="D265" s="2" t="s">
        <v>1090</v>
      </c>
      <c r="E265" s="2">
        <v>1</v>
      </c>
      <c r="F265" s="2" t="s">
        <v>2</v>
      </c>
      <c r="G265" s="2" t="str">
        <f>Table13[[#This Row],[Month]]&amp;", "&amp;Table13[[#This Row],[FY]]</f>
        <v>JUL, FY24</v>
      </c>
      <c r="H265" s="2" t="str">
        <f>Table13[[#This Row],[Week]]&amp;", "&amp;Table13[[#This Row],[Month]]&amp;" "&amp;Table13[[#This Row],[FY]]</f>
        <v>Week 3, JUL FY24</v>
      </c>
      <c r="I265" s="2" t="str">
        <f>Table13[[#This Row],[Month]]&amp;", "&amp;Table13[[#This Row],[FY]]</f>
        <v>JUL, FY24</v>
      </c>
      <c r="J265" s="2" t="str">
        <f>"Q"&amp;Table13[[#This Row],[QTR]]&amp;", "&amp;Table13[[#This Row],[FY]]</f>
        <v>Q1, FY24</v>
      </c>
    </row>
    <row r="266" spans="1:10" x14ac:dyDescent="0.25">
      <c r="A266" s="1">
        <f t="shared" si="21"/>
        <v>45124</v>
      </c>
      <c r="B266" s="1">
        <f t="shared" si="21"/>
        <v>45130</v>
      </c>
      <c r="C266" s="2" t="s">
        <v>1094</v>
      </c>
      <c r="D266" s="2" t="s">
        <v>1090</v>
      </c>
      <c r="E266" s="2">
        <v>1</v>
      </c>
      <c r="F266" s="2" t="s">
        <v>2</v>
      </c>
      <c r="G266" s="2" t="str">
        <f>Table13[[#This Row],[Month]]&amp;", "&amp;Table13[[#This Row],[FY]]</f>
        <v>JUL, FY24</v>
      </c>
      <c r="H266" s="2" t="str">
        <f>Table13[[#This Row],[Week]]&amp;", "&amp;Table13[[#This Row],[Month]]&amp;" "&amp;Table13[[#This Row],[FY]]</f>
        <v>Week 4, JUL FY24</v>
      </c>
      <c r="I266" s="2" t="str">
        <f>Table13[[#This Row],[Month]]&amp;", "&amp;Table13[[#This Row],[FY]]</f>
        <v>JUL, FY24</v>
      </c>
      <c r="J266" s="2" t="str">
        <f>"Q"&amp;Table13[[#This Row],[QTR]]&amp;", "&amp;Table13[[#This Row],[FY]]</f>
        <v>Q1, FY24</v>
      </c>
    </row>
    <row r="267" spans="1:10" x14ac:dyDescent="0.25">
      <c r="A267" s="1">
        <f t="shared" si="21"/>
        <v>45131</v>
      </c>
      <c r="B267" s="1">
        <f t="shared" si="21"/>
        <v>45137</v>
      </c>
      <c r="C267" s="2" t="s">
        <v>1095</v>
      </c>
      <c r="D267" s="2" t="s">
        <v>1096</v>
      </c>
      <c r="E267" s="2">
        <v>1</v>
      </c>
      <c r="F267" s="2" t="s">
        <v>2</v>
      </c>
      <c r="G267" s="2" t="str">
        <f>Table13[[#This Row],[Month]]&amp;", "&amp;Table13[[#This Row],[FY]]</f>
        <v>AUG, FY24</v>
      </c>
      <c r="H267" s="2" t="str">
        <f>Table13[[#This Row],[Week]]&amp;", "&amp;Table13[[#This Row],[Month]]&amp;" "&amp;Table13[[#This Row],[FY]]</f>
        <v>Week 5, AUG FY24</v>
      </c>
      <c r="I267" s="2" t="str">
        <f>Table13[[#This Row],[Month]]&amp;", "&amp;Table13[[#This Row],[FY]]</f>
        <v>AUG, FY24</v>
      </c>
      <c r="J267" s="2" t="str">
        <f>"Q"&amp;Table13[[#This Row],[QTR]]&amp;", "&amp;Table13[[#This Row],[FY]]</f>
        <v>Q1, FY24</v>
      </c>
    </row>
    <row r="268" spans="1:10" x14ac:dyDescent="0.25">
      <c r="A268" s="1">
        <f t="shared" si="21"/>
        <v>45138</v>
      </c>
      <c r="B268" s="1">
        <f t="shared" si="21"/>
        <v>45144</v>
      </c>
      <c r="C268" s="2" t="s">
        <v>1097</v>
      </c>
      <c r="D268" s="2" t="s">
        <v>1096</v>
      </c>
      <c r="E268" s="2">
        <v>1</v>
      </c>
      <c r="F268" s="2" t="s">
        <v>2</v>
      </c>
      <c r="G268" s="2" t="str">
        <f>Table13[[#This Row],[Month]]&amp;", "&amp;Table13[[#This Row],[FY]]</f>
        <v>AUG, FY24</v>
      </c>
      <c r="H268" s="2" t="str">
        <f>Table13[[#This Row],[Week]]&amp;", "&amp;Table13[[#This Row],[Month]]&amp;" "&amp;Table13[[#This Row],[FY]]</f>
        <v>Week 6, AUG FY24</v>
      </c>
      <c r="I268" s="2" t="str">
        <f>Table13[[#This Row],[Month]]&amp;", "&amp;Table13[[#This Row],[FY]]</f>
        <v>AUG, FY24</v>
      </c>
      <c r="J268" s="2" t="str">
        <f>"Q"&amp;Table13[[#This Row],[QTR]]&amp;", "&amp;Table13[[#This Row],[FY]]</f>
        <v>Q1, FY24</v>
      </c>
    </row>
    <row r="269" spans="1:10" x14ac:dyDescent="0.25">
      <c r="A269" s="1">
        <f t="shared" si="21"/>
        <v>45145</v>
      </c>
      <c r="B269" s="1">
        <f t="shared" si="21"/>
        <v>45151</v>
      </c>
      <c r="C269" s="2" t="s">
        <v>1098</v>
      </c>
      <c r="D269" s="2" t="s">
        <v>1096</v>
      </c>
      <c r="E269" s="2">
        <v>1</v>
      </c>
      <c r="F269" s="2" t="s">
        <v>2</v>
      </c>
      <c r="G269" s="2" t="str">
        <f>Table13[[#This Row],[Month]]&amp;", "&amp;Table13[[#This Row],[FY]]</f>
        <v>AUG, FY24</v>
      </c>
      <c r="H269" s="2" t="str">
        <f>Table13[[#This Row],[Week]]&amp;", "&amp;Table13[[#This Row],[Month]]&amp;" "&amp;Table13[[#This Row],[FY]]</f>
        <v>Week 7, AUG FY24</v>
      </c>
      <c r="I269" s="2" t="str">
        <f>Table13[[#This Row],[Month]]&amp;", "&amp;Table13[[#This Row],[FY]]</f>
        <v>AUG, FY24</v>
      </c>
      <c r="J269" s="2" t="str">
        <f>"Q"&amp;Table13[[#This Row],[QTR]]&amp;", "&amp;Table13[[#This Row],[FY]]</f>
        <v>Q1, FY24</v>
      </c>
    </row>
    <row r="270" spans="1:10" x14ac:dyDescent="0.25">
      <c r="A270" s="1">
        <f t="shared" si="21"/>
        <v>45152</v>
      </c>
      <c r="B270" s="1">
        <f t="shared" si="21"/>
        <v>45158</v>
      </c>
      <c r="C270" s="2" t="s">
        <v>1099</v>
      </c>
      <c r="D270" s="2" t="s">
        <v>1096</v>
      </c>
      <c r="E270" s="2">
        <v>1</v>
      </c>
      <c r="F270" s="2" t="s">
        <v>2</v>
      </c>
      <c r="G270" s="2" t="str">
        <f>Table13[[#This Row],[Month]]&amp;", "&amp;Table13[[#This Row],[FY]]</f>
        <v>AUG, FY24</v>
      </c>
      <c r="H270" s="2" t="str">
        <f>Table13[[#This Row],[Week]]&amp;", "&amp;Table13[[#This Row],[Month]]&amp;" "&amp;Table13[[#This Row],[FY]]</f>
        <v>Week 8, AUG FY24</v>
      </c>
      <c r="I270" s="2" t="str">
        <f>Table13[[#This Row],[Month]]&amp;", "&amp;Table13[[#This Row],[FY]]</f>
        <v>AUG, FY24</v>
      </c>
      <c r="J270" s="2" t="str">
        <f>"Q"&amp;Table13[[#This Row],[QTR]]&amp;", "&amp;Table13[[#This Row],[FY]]</f>
        <v>Q1, FY24</v>
      </c>
    </row>
    <row r="271" spans="1:10" x14ac:dyDescent="0.25">
      <c r="A271" s="1">
        <f t="shared" si="21"/>
        <v>45159</v>
      </c>
      <c r="B271" s="1">
        <f t="shared" si="21"/>
        <v>45165</v>
      </c>
      <c r="C271" s="2" t="s">
        <v>1100</v>
      </c>
      <c r="D271" s="2" t="s">
        <v>1096</v>
      </c>
      <c r="E271" s="2">
        <v>1</v>
      </c>
      <c r="F271" s="2" t="s">
        <v>2</v>
      </c>
      <c r="G271" s="2" t="str">
        <f>Table13[[#This Row],[Month]]&amp;", "&amp;Table13[[#This Row],[FY]]</f>
        <v>AUG, FY24</v>
      </c>
      <c r="H271" s="2" t="str">
        <f>Table13[[#This Row],[Week]]&amp;", "&amp;Table13[[#This Row],[Month]]&amp;" "&amp;Table13[[#This Row],[FY]]</f>
        <v>Week 9, AUG FY24</v>
      </c>
      <c r="I271" s="2" t="str">
        <f>Table13[[#This Row],[Month]]&amp;", "&amp;Table13[[#This Row],[FY]]</f>
        <v>AUG, FY24</v>
      </c>
      <c r="J271" s="2" t="str">
        <f>"Q"&amp;Table13[[#This Row],[QTR]]&amp;", "&amp;Table13[[#This Row],[FY]]</f>
        <v>Q1, FY24</v>
      </c>
    </row>
    <row r="272" spans="1:10" x14ac:dyDescent="0.25">
      <c r="A272" s="1">
        <f t="shared" ref="A272:B287" si="22">A271+7</f>
        <v>45166</v>
      </c>
      <c r="B272" s="1">
        <f t="shared" si="22"/>
        <v>45172</v>
      </c>
      <c r="C272" s="2" t="s">
        <v>1101</v>
      </c>
      <c r="D272" s="2" t="s">
        <v>1102</v>
      </c>
      <c r="E272" s="2">
        <v>1</v>
      </c>
      <c r="F272" s="2" t="s">
        <v>2</v>
      </c>
      <c r="G272" s="2" t="str">
        <f>Table13[[#This Row],[Month]]&amp;", "&amp;Table13[[#This Row],[FY]]</f>
        <v>SEP, FY24</v>
      </c>
      <c r="H272" s="2" t="str">
        <f>Table13[[#This Row],[Week]]&amp;", "&amp;Table13[[#This Row],[Month]]&amp;" "&amp;Table13[[#This Row],[FY]]</f>
        <v>Week 10, SEP FY24</v>
      </c>
      <c r="I272" s="2" t="str">
        <f>Table13[[#This Row],[Month]]&amp;", "&amp;Table13[[#This Row],[FY]]</f>
        <v>SEP, FY24</v>
      </c>
      <c r="J272" s="2" t="str">
        <f>"Q"&amp;Table13[[#This Row],[QTR]]&amp;", "&amp;Table13[[#This Row],[FY]]</f>
        <v>Q1, FY24</v>
      </c>
    </row>
    <row r="273" spans="1:10" x14ac:dyDescent="0.25">
      <c r="A273" s="1">
        <f t="shared" si="22"/>
        <v>45173</v>
      </c>
      <c r="B273" s="1">
        <f t="shared" si="22"/>
        <v>45179</v>
      </c>
      <c r="C273" s="2" t="s">
        <v>1103</v>
      </c>
      <c r="D273" s="2" t="s">
        <v>1102</v>
      </c>
      <c r="E273" s="2">
        <v>1</v>
      </c>
      <c r="F273" s="2" t="s">
        <v>2</v>
      </c>
      <c r="G273" s="2" t="str">
        <f>Table13[[#This Row],[Month]]&amp;", "&amp;Table13[[#This Row],[FY]]</f>
        <v>SEP, FY24</v>
      </c>
      <c r="H273" s="2" t="str">
        <f>Table13[[#This Row],[Week]]&amp;", "&amp;Table13[[#This Row],[Month]]&amp;" "&amp;Table13[[#This Row],[FY]]</f>
        <v>Week 11, SEP FY24</v>
      </c>
      <c r="I273" s="2" t="str">
        <f>Table13[[#This Row],[Month]]&amp;", "&amp;Table13[[#This Row],[FY]]</f>
        <v>SEP, FY24</v>
      </c>
      <c r="J273" s="2" t="str">
        <f>"Q"&amp;Table13[[#This Row],[QTR]]&amp;", "&amp;Table13[[#This Row],[FY]]</f>
        <v>Q1, FY24</v>
      </c>
    </row>
    <row r="274" spans="1:10" x14ac:dyDescent="0.25">
      <c r="A274" s="1">
        <f t="shared" si="22"/>
        <v>45180</v>
      </c>
      <c r="B274" s="1">
        <f t="shared" si="22"/>
        <v>45186</v>
      </c>
      <c r="C274" s="2" t="s">
        <v>1104</v>
      </c>
      <c r="D274" s="2" t="s">
        <v>1102</v>
      </c>
      <c r="E274" s="2">
        <v>1</v>
      </c>
      <c r="F274" s="2" t="s">
        <v>2</v>
      </c>
      <c r="G274" s="2" t="str">
        <f>Table13[[#This Row],[Month]]&amp;", "&amp;Table13[[#This Row],[FY]]</f>
        <v>SEP, FY24</v>
      </c>
      <c r="H274" s="2" t="str">
        <f>Table13[[#This Row],[Week]]&amp;", "&amp;Table13[[#This Row],[Month]]&amp;" "&amp;Table13[[#This Row],[FY]]</f>
        <v>Week 12, SEP FY24</v>
      </c>
      <c r="I274" s="2" t="str">
        <f>Table13[[#This Row],[Month]]&amp;", "&amp;Table13[[#This Row],[FY]]</f>
        <v>SEP, FY24</v>
      </c>
      <c r="J274" s="2" t="str">
        <f>"Q"&amp;Table13[[#This Row],[QTR]]&amp;", "&amp;Table13[[#This Row],[FY]]</f>
        <v>Q1, FY24</v>
      </c>
    </row>
    <row r="275" spans="1:10" x14ac:dyDescent="0.25">
      <c r="A275" s="1">
        <f t="shared" si="22"/>
        <v>45187</v>
      </c>
      <c r="B275" s="1">
        <f t="shared" si="22"/>
        <v>45193</v>
      </c>
      <c r="C275" s="2" t="s">
        <v>1105</v>
      </c>
      <c r="D275" s="2" t="s">
        <v>1102</v>
      </c>
      <c r="E275" s="2">
        <v>1</v>
      </c>
      <c r="F275" s="2" t="s">
        <v>2</v>
      </c>
      <c r="G275" s="2" t="str">
        <f>Table13[[#This Row],[Month]]&amp;", "&amp;Table13[[#This Row],[FY]]</f>
        <v>SEP, FY24</v>
      </c>
      <c r="H275" s="2" t="str">
        <f>Table13[[#This Row],[Week]]&amp;", "&amp;Table13[[#This Row],[Month]]&amp;" "&amp;Table13[[#This Row],[FY]]</f>
        <v>Week 13, SEP FY24</v>
      </c>
      <c r="I275" s="2" t="str">
        <f>Table13[[#This Row],[Month]]&amp;", "&amp;Table13[[#This Row],[FY]]</f>
        <v>SEP, FY24</v>
      </c>
      <c r="J275" s="2" t="str">
        <f>"Q"&amp;Table13[[#This Row],[QTR]]&amp;", "&amp;Table13[[#This Row],[FY]]</f>
        <v>Q1, FY24</v>
      </c>
    </row>
    <row r="276" spans="1:10" x14ac:dyDescent="0.25">
      <c r="A276" s="1">
        <f t="shared" si="22"/>
        <v>45194</v>
      </c>
      <c r="B276" s="1">
        <f t="shared" si="22"/>
        <v>45200</v>
      </c>
      <c r="C276" s="2" t="s">
        <v>1106</v>
      </c>
      <c r="D276" s="2" t="s">
        <v>1107</v>
      </c>
      <c r="E276" s="2">
        <f>E263+1</f>
        <v>2</v>
      </c>
      <c r="F276" s="2" t="s">
        <v>2</v>
      </c>
      <c r="G276" s="2" t="str">
        <f>Table13[[#This Row],[Month]]&amp;", "&amp;Table13[[#This Row],[FY]]</f>
        <v>OCT, FY24</v>
      </c>
      <c r="H276" s="2" t="str">
        <f>Table13[[#This Row],[Week]]&amp;", "&amp;Table13[[#This Row],[Month]]&amp;" "&amp;Table13[[#This Row],[FY]]</f>
        <v>Week 14, OCT FY24</v>
      </c>
      <c r="I276" s="2" t="str">
        <f>Table13[[#This Row],[Month]]&amp;", "&amp;Table13[[#This Row],[FY]]</f>
        <v>OCT, FY24</v>
      </c>
      <c r="J276" s="2" t="str">
        <f>"Q"&amp;Table13[[#This Row],[QTR]]&amp;", "&amp;Table13[[#This Row],[FY]]</f>
        <v>Q2, FY24</v>
      </c>
    </row>
    <row r="277" spans="1:10" x14ac:dyDescent="0.25">
      <c r="A277" s="1">
        <f t="shared" si="22"/>
        <v>45201</v>
      </c>
      <c r="B277" s="1">
        <f t="shared" si="22"/>
        <v>45207</v>
      </c>
      <c r="C277" s="2" t="s">
        <v>1108</v>
      </c>
      <c r="D277" s="2" t="s">
        <v>1107</v>
      </c>
      <c r="E277" s="2">
        <f t="shared" ref="E277:E314" si="23">E264+1</f>
        <v>2</v>
      </c>
      <c r="F277" s="2" t="s">
        <v>2</v>
      </c>
      <c r="G277" s="2" t="str">
        <f>Table13[[#This Row],[Month]]&amp;", "&amp;Table13[[#This Row],[FY]]</f>
        <v>OCT, FY24</v>
      </c>
      <c r="H277" s="2" t="str">
        <f>Table13[[#This Row],[Week]]&amp;", "&amp;Table13[[#This Row],[Month]]&amp;" "&amp;Table13[[#This Row],[FY]]</f>
        <v>Week 15, OCT FY24</v>
      </c>
      <c r="I277" s="2" t="str">
        <f>Table13[[#This Row],[Month]]&amp;", "&amp;Table13[[#This Row],[FY]]</f>
        <v>OCT, FY24</v>
      </c>
      <c r="J277" s="2" t="str">
        <f>"Q"&amp;Table13[[#This Row],[QTR]]&amp;", "&amp;Table13[[#This Row],[FY]]</f>
        <v>Q2, FY24</v>
      </c>
    </row>
    <row r="278" spans="1:10" x14ac:dyDescent="0.25">
      <c r="A278" s="1">
        <f t="shared" si="22"/>
        <v>45208</v>
      </c>
      <c r="B278" s="1">
        <f t="shared" si="22"/>
        <v>45214</v>
      </c>
      <c r="C278" s="2" t="s">
        <v>1109</v>
      </c>
      <c r="D278" s="2" t="s">
        <v>1107</v>
      </c>
      <c r="E278" s="2">
        <f t="shared" si="23"/>
        <v>2</v>
      </c>
      <c r="F278" s="2" t="s">
        <v>2</v>
      </c>
      <c r="G278" s="2" t="str">
        <f>Table13[[#This Row],[Month]]&amp;", "&amp;Table13[[#This Row],[FY]]</f>
        <v>OCT, FY24</v>
      </c>
      <c r="H278" s="2" t="str">
        <f>Table13[[#This Row],[Week]]&amp;", "&amp;Table13[[#This Row],[Month]]&amp;" "&amp;Table13[[#This Row],[FY]]</f>
        <v>Week 16, OCT FY24</v>
      </c>
      <c r="I278" s="2" t="str">
        <f>Table13[[#This Row],[Month]]&amp;", "&amp;Table13[[#This Row],[FY]]</f>
        <v>OCT, FY24</v>
      </c>
      <c r="J278" s="2" t="str">
        <f>"Q"&amp;Table13[[#This Row],[QTR]]&amp;", "&amp;Table13[[#This Row],[FY]]</f>
        <v>Q2, FY24</v>
      </c>
    </row>
    <row r="279" spans="1:10" x14ac:dyDescent="0.25">
      <c r="A279" s="1">
        <f t="shared" si="22"/>
        <v>45215</v>
      </c>
      <c r="B279" s="1">
        <f t="shared" si="22"/>
        <v>45221</v>
      </c>
      <c r="C279" s="2" t="s">
        <v>1110</v>
      </c>
      <c r="D279" s="2" t="s">
        <v>1107</v>
      </c>
      <c r="E279" s="2">
        <f t="shared" si="23"/>
        <v>2</v>
      </c>
      <c r="F279" s="2" t="s">
        <v>2</v>
      </c>
      <c r="G279" s="2" t="str">
        <f>Table13[[#This Row],[Month]]&amp;", "&amp;Table13[[#This Row],[FY]]</f>
        <v>OCT, FY24</v>
      </c>
      <c r="H279" s="2" t="str">
        <f>Table13[[#This Row],[Week]]&amp;", "&amp;Table13[[#This Row],[Month]]&amp;" "&amp;Table13[[#This Row],[FY]]</f>
        <v>Week 17, OCT FY24</v>
      </c>
      <c r="I279" s="2" t="str">
        <f>Table13[[#This Row],[Month]]&amp;", "&amp;Table13[[#This Row],[FY]]</f>
        <v>OCT, FY24</v>
      </c>
      <c r="J279" s="2" t="str">
        <f>"Q"&amp;Table13[[#This Row],[QTR]]&amp;", "&amp;Table13[[#This Row],[FY]]</f>
        <v>Q2, FY24</v>
      </c>
    </row>
    <row r="280" spans="1:10" x14ac:dyDescent="0.25">
      <c r="A280" s="1">
        <f t="shared" si="22"/>
        <v>45222</v>
      </c>
      <c r="B280" s="1">
        <f t="shared" si="22"/>
        <v>45228</v>
      </c>
      <c r="C280" s="2" t="s">
        <v>1111</v>
      </c>
      <c r="D280" s="2" t="s">
        <v>1112</v>
      </c>
      <c r="E280" s="2">
        <f t="shared" si="23"/>
        <v>2</v>
      </c>
      <c r="F280" s="2" t="s">
        <v>2</v>
      </c>
      <c r="G280" s="2" t="str">
        <f>Table13[[#This Row],[Month]]&amp;", "&amp;Table13[[#This Row],[FY]]</f>
        <v>NOV, FY24</v>
      </c>
      <c r="H280" s="2" t="str">
        <f>Table13[[#This Row],[Week]]&amp;", "&amp;Table13[[#This Row],[Month]]&amp;" "&amp;Table13[[#This Row],[FY]]</f>
        <v>Week 18, NOV FY24</v>
      </c>
      <c r="I280" s="2" t="str">
        <f>Table13[[#This Row],[Month]]&amp;", "&amp;Table13[[#This Row],[FY]]</f>
        <v>NOV, FY24</v>
      </c>
      <c r="J280" s="2" t="str">
        <f>"Q"&amp;Table13[[#This Row],[QTR]]&amp;", "&amp;Table13[[#This Row],[FY]]</f>
        <v>Q2, FY24</v>
      </c>
    </row>
    <row r="281" spans="1:10" x14ac:dyDescent="0.25">
      <c r="A281" s="1">
        <f t="shared" si="22"/>
        <v>45229</v>
      </c>
      <c r="B281" s="1">
        <f t="shared" si="22"/>
        <v>45235</v>
      </c>
      <c r="C281" s="2" t="s">
        <v>1113</v>
      </c>
      <c r="D281" s="2" t="s">
        <v>1112</v>
      </c>
      <c r="E281" s="2">
        <f t="shared" si="23"/>
        <v>2</v>
      </c>
      <c r="F281" s="2" t="s">
        <v>2</v>
      </c>
      <c r="G281" s="2" t="str">
        <f>Table13[[#This Row],[Month]]&amp;", "&amp;Table13[[#This Row],[FY]]</f>
        <v>NOV, FY24</v>
      </c>
      <c r="H281" s="2" t="str">
        <f>Table13[[#This Row],[Week]]&amp;", "&amp;Table13[[#This Row],[Month]]&amp;" "&amp;Table13[[#This Row],[FY]]</f>
        <v>Week 19, NOV FY24</v>
      </c>
      <c r="I281" s="2" t="str">
        <f>Table13[[#This Row],[Month]]&amp;", "&amp;Table13[[#This Row],[FY]]</f>
        <v>NOV, FY24</v>
      </c>
      <c r="J281" s="2" t="str">
        <f>"Q"&amp;Table13[[#This Row],[QTR]]&amp;", "&amp;Table13[[#This Row],[FY]]</f>
        <v>Q2, FY24</v>
      </c>
    </row>
    <row r="282" spans="1:10" x14ac:dyDescent="0.25">
      <c r="A282" s="1">
        <f t="shared" si="22"/>
        <v>45236</v>
      </c>
      <c r="B282" s="1">
        <f t="shared" si="22"/>
        <v>45242</v>
      </c>
      <c r="C282" s="2" t="s">
        <v>1114</v>
      </c>
      <c r="D282" s="2" t="s">
        <v>1112</v>
      </c>
      <c r="E282" s="2">
        <f t="shared" si="23"/>
        <v>2</v>
      </c>
      <c r="F282" s="2" t="s">
        <v>2</v>
      </c>
      <c r="G282" s="2" t="str">
        <f>Table13[[#This Row],[Month]]&amp;", "&amp;Table13[[#This Row],[FY]]</f>
        <v>NOV, FY24</v>
      </c>
      <c r="H282" s="2" t="str">
        <f>Table13[[#This Row],[Week]]&amp;", "&amp;Table13[[#This Row],[Month]]&amp;" "&amp;Table13[[#This Row],[FY]]</f>
        <v>Week 20, NOV FY24</v>
      </c>
      <c r="I282" s="2" t="str">
        <f>Table13[[#This Row],[Month]]&amp;", "&amp;Table13[[#This Row],[FY]]</f>
        <v>NOV, FY24</v>
      </c>
      <c r="J282" s="2" t="str">
        <f>"Q"&amp;Table13[[#This Row],[QTR]]&amp;", "&amp;Table13[[#This Row],[FY]]</f>
        <v>Q2, FY24</v>
      </c>
    </row>
    <row r="283" spans="1:10" x14ac:dyDescent="0.25">
      <c r="A283" s="1">
        <f t="shared" si="22"/>
        <v>45243</v>
      </c>
      <c r="B283" s="1">
        <f t="shared" si="22"/>
        <v>45249</v>
      </c>
      <c r="C283" s="2" t="s">
        <v>1115</v>
      </c>
      <c r="D283" s="2" t="s">
        <v>1112</v>
      </c>
      <c r="E283" s="2">
        <f t="shared" si="23"/>
        <v>2</v>
      </c>
      <c r="F283" s="2" t="s">
        <v>2</v>
      </c>
      <c r="G283" s="2" t="str">
        <f>Table13[[#This Row],[Month]]&amp;", "&amp;Table13[[#This Row],[FY]]</f>
        <v>NOV, FY24</v>
      </c>
      <c r="H283" s="2" t="str">
        <f>Table13[[#This Row],[Week]]&amp;", "&amp;Table13[[#This Row],[Month]]&amp;" "&amp;Table13[[#This Row],[FY]]</f>
        <v>Week 21, NOV FY24</v>
      </c>
      <c r="I283" s="2" t="str">
        <f>Table13[[#This Row],[Month]]&amp;", "&amp;Table13[[#This Row],[FY]]</f>
        <v>NOV, FY24</v>
      </c>
      <c r="J283" s="2" t="str">
        <f>"Q"&amp;Table13[[#This Row],[QTR]]&amp;", "&amp;Table13[[#This Row],[FY]]</f>
        <v>Q2, FY24</v>
      </c>
    </row>
    <row r="284" spans="1:10" x14ac:dyDescent="0.25">
      <c r="A284" s="1">
        <f t="shared" si="22"/>
        <v>45250</v>
      </c>
      <c r="B284" s="1">
        <f t="shared" si="22"/>
        <v>45256</v>
      </c>
      <c r="C284" s="2" t="s">
        <v>1116</v>
      </c>
      <c r="D284" s="2" t="s">
        <v>1112</v>
      </c>
      <c r="E284" s="2">
        <f t="shared" si="23"/>
        <v>2</v>
      </c>
      <c r="F284" s="2" t="s">
        <v>2</v>
      </c>
      <c r="G284" s="2" t="str">
        <f>Table13[[#This Row],[Month]]&amp;", "&amp;Table13[[#This Row],[FY]]</f>
        <v>NOV, FY24</v>
      </c>
      <c r="H284" s="2" t="str">
        <f>Table13[[#This Row],[Week]]&amp;", "&amp;Table13[[#This Row],[Month]]&amp;" "&amp;Table13[[#This Row],[FY]]</f>
        <v>Week 22, NOV FY24</v>
      </c>
      <c r="I284" s="2" t="str">
        <f>Table13[[#This Row],[Month]]&amp;", "&amp;Table13[[#This Row],[FY]]</f>
        <v>NOV, FY24</v>
      </c>
      <c r="J284" s="2" t="str">
        <f>"Q"&amp;Table13[[#This Row],[QTR]]&amp;", "&amp;Table13[[#This Row],[FY]]</f>
        <v>Q2, FY24</v>
      </c>
    </row>
    <row r="285" spans="1:10" x14ac:dyDescent="0.25">
      <c r="A285" s="1">
        <f t="shared" si="22"/>
        <v>45257</v>
      </c>
      <c r="B285" s="1">
        <f t="shared" si="22"/>
        <v>45263</v>
      </c>
      <c r="C285" s="2" t="s">
        <v>1117</v>
      </c>
      <c r="D285" s="2" t="s">
        <v>1118</v>
      </c>
      <c r="E285" s="2">
        <f t="shared" si="23"/>
        <v>2</v>
      </c>
      <c r="F285" s="2" t="s">
        <v>2</v>
      </c>
      <c r="G285" s="2" t="str">
        <f>Table13[[#This Row],[Month]]&amp;", "&amp;Table13[[#This Row],[FY]]</f>
        <v>DEC, FY24</v>
      </c>
      <c r="H285" s="2" t="str">
        <f>Table13[[#This Row],[Week]]&amp;", "&amp;Table13[[#This Row],[Month]]&amp;" "&amp;Table13[[#This Row],[FY]]</f>
        <v>Week 23, DEC FY24</v>
      </c>
      <c r="I285" s="2" t="str">
        <f>Table13[[#This Row],[Month]]&amp;", "&amp;Table13[[#This Row],[FY]]</f>
        <v>DEC, FY24</v>
      </c>
      <c r="J285" s="2" t="str">
        <f>"Q"&amp;Table13[[#This Row],[QTR]]&amp;", "&amp;Table13[[#This Row],[FY]]</f>
        <v>Q2, FY24</v>
      </c>
    </row>
    <row r="286" spans="1:10" x14ac:dyDescent="0.25">
      <c r="A286" s="1">
        <f t="shared" si="22"/>
        <v>45264</v>
      </c>
      <c r="B286" s="1">
        <f t="shared" si="22"/>
        <v>45270</v>
      </c>
      <c r="C286" s="2" t="s">
        <v>1119</v>
      </c>
      <c r="D286" s="2" t="s">
        <v>1118</v>
      </c>
      <c r="E286" s="2">
        <f t="shared" si="23"/>
        <v>2</v>
      </c>
      <c r="F286" s="2" t="s">
        <v>2</v>
      </c>
      <c r="G286" s="2" t="str">
        <f>Table13[[#This Row],[Month]]&amp;", "&amp;Table13[[#This Row],[FY]]</f>
        <v>DEC, FY24</v>
      </c>
      <c r="H286" s="2" t="str">
        <f>Table13[[#This Row],[Week]]&amp;", "&amp;Table13[[#This Row],[Month]]&amp;" "&amp;Table13[[#This Row],[FY]]</f>
        <v>Week 24, DEC FY24</v>
      </c>
      <c r="I286" s="2" t="str">
        <f>Table13[[#This Row],[Month]]&amp;", "&amp;Table13[[#This Row],[FY]]</f>
        <v>DEC, FY24</v>
      </c>
      <c r="J286" s="2" t="str">
        <f>"Q"&amp;Table13[[#This Row],[QTR]]&amp;", "&amp;Table13[[#This Row],[FY]]</f>
        <v>Q2, FY24</v>
      </c>
    </row>
    <row r="287" spans="1:10" x14ac:dyDescent="0.25">
      <c r="A287" s="1">
        <f t="shared" si="22"/>
        <v>45271</v>
      </c>
      <c r="B287" s="1">
        <f t="shared" si="22"/>
        <v>45277</v>
      </c>
      <c r="C287" s="2" t="s">
        <v>1120</v>
      </c>
      <c r="D287" s="2" t="s">
        <v>1118</v>
      </c>
      <c r="E287" s="2">
        <f t="shared" si="23"/>
        <v>2</v>
      </c>
      <c r="F287" s="2" t="s">
        <v>2</v>
      </c>
      <c r="G287" s="2" t="str">
        <f>Table13[[#This Row],[Month]]&amp;", "&amp;Table13[[#This Row],[FY]]</f>
        <v>DEC, FY24</v>
      </c>
      <c r="H287" s="2" t="str">
        <f>Table13[[#This Row],[Week]]&amp;", "&amp;Table13[[#This Row],[Month]]&amp;" "&amp;Table13[[#This Row],[FY]]</f>
        <v>Week 25, DEC FY24</v>
      </c>
      <c r="I287" s="2" t="str">
        <f>Table13[[#This Row],[Month]]&amp;", "&amp;Table13[[#This Row],[FY]]</f>
        <v>DEC, FY24</v>
      </c>
      <c r="J287" s="2" t="str">
        <f>"Q"&amp;Table13[[#This Row],[QTR]]&amp;", "&amp;Table13[[#This Row],[FY]]</f>
        <v>Q2, FY24</v>
      </c>
    </row>
    <row r="288" spans="1:10" x14ac:dyDescent="0.25">
      <c r="A288" s="1">
        <f t="shared" ref="A288:B303" si="24">A287+7</f>
        <v>45278</v>
      </c>
      <c r="B288" s="1">
        <f t="shared" si="24"/>
        <v>45284</v>
      </c>
      <c r="C288" s="2" t="s">
        <v>1121</v>
      </c>
      <c r="D288" s="2" t="s">
        <v>1118</v>
      </c>
      <c r="E288" s="2">
        <f t="shared" si="23"/>
        <v>2</v>
      </c>
      <c r="F288" s="2" t="s">
        <v>2</v>
      </c>
      <c r="G288" s="2" t="str">
        <f>Table13[[#This Row],[Month]]&amp;", "&amp;Table13[[#This Row],[FY]]</f>
        <v>DEC, FY24</v>
      </c>
      <c r="H288" s="2" t="str">
        <f>Table13[[#This Row],[Week]]&amp;", "&amp;Table13[[#This Row],[Month]]&amp;" "&amp;Table13[[#This Row],[FY]]</f>
        <v>Week 26, DEC FY24</v>
      </c>
      <c r="I288" s="2" t="str">
        <f>Table13[[#This Row],[Month]]&amp;", "&amp;Table13[[#This Row],[FY]]</f>
        <v>DEC, FY24</v>
      </c>
      <c r="J288" s="2" t="str">
        <f>"Q"&amp;Table13[[#This Row],[QTR]]&amp;", "&amp;Table13[[#This Row],[FY]]</f>
        <v>Q2, FY24</v>
      </c>
    </row>
    <row r="289" spans="1:10" x14ac:dyDescent="0.25">
      <c r="A289" s="1">
        <f t="shared" si="24"/>
        <v>45285</v>
      </c>
      <c r="B289" s="1">
        <f t="shared" si="24"/>
        <v>45291</v>
      </c>
      <c r="C289" s="2" t="s">
        <v>1122</v>
      </c>
      <c r="D289" s="2" t="s">
        <v>1123</v>
      </c>
      <c r="E289" s="2">
        <f t="shared" si="23"/>
        <v>3</v>
      </c>
      <c r="F289" s="2" t="s">
        <v>2</v>
      </c>
      <c r="G289" s="2" t="str">
        <f>Table13[[#This Row],[Month]]&amp;", "&amp;Table13[[#This Row],[FY]]</f>
        <v>JAN, FY24</v>
      </c>
      <c r="H289" s="2" t="str">
        <f>Table13[[#This Row],[Week]]&amp;", "&amp;Table13[[#This Row],[Month]]&amp;" "&amp;Table13[[#This Row],[FY]]</f>
        <v>Week 27, JAN FY24</v>
      </c>
      <c r="I289" s="2" t="str">
        <f>Table13[[#This Row],[Month]]&amp;", "&amp;Table13[[#This Row],[FY]]</f>
        <v>JAN, FY24</v>
      </c>
      <c r="J289" s="2" t="str">
        <f>"Q"&amp;Table13[[#This Row],[QTR]]&amp;", "&amp;Table13[[#This Row],[FY]]</f>
        <v>Q3, FY24</v>
      </c>
    </row>
    <row r="290" spans="1:10" x14ac:dyDescent="0.25">
      <c r="A290" s="1">
        <f t="shared" si="24"/>
        <v>45292</v>
      </c>
      <c r="B290" s="1">
        <f t="shared" si="24"/>
        <v>45298</v>
      </c>
      <c r="C290" s="2" t="s">
        <v>1124</v>
      </c>
      <c r="D290" s="2" t="s">
        <v>1123</v>
      </c>
      <c r="E290" s="2">
        <f t="shared" si="23"/>
        <v>3</v>
      </c>
      <c r="F290" s="2" t="s">
        <v>2</v>
      </c>
      <c r="G290" s="2" t="str">
        <f>Table13[[#This Row],[Month]]&amp;", "&amp;Table13[[#This Row],[FY]]</f>
        <v>JAN, FY24</v>
      </c>
      <c r="H290" s="2" t="str">
        <f>Table13[[#This Row],[Week]]&amp;", "&amp;Table13[[#This Row],[Month]]&amp;" "&amp;Table13[[#This Row],[FY]]</f>
        <v>Week 28, JAN FY24</v>
      </c>
      <c r="I290" s="2" t="str">
        <f>Table13[[#This Row],[Month]]&amp;", "&amp;Table13[[#This Row],[FY]]</f>
        <v>JAN, FY24</v>
      </c>
      <c r="J290" s="2" t="str">
        <f>"Q"&amp;Table13[[#This Row],[QTR]]&amp;", "&amp;Table13[[#This Row],[FY]]</f>
        <v>Q3, FY24</v>
      </c>
    </row>
    <row r="291" spans="1:10" x14ac:dyDescent="0.25">
      <c r="A291" s="1">
        <f t="shared" si="24"/>
        <v>45299</v>
      </c>
      <c r="B291" s="1">
        <f t="shared" si="24"/>
        <v>45305</v>
      </c>
      <c r="C291" s="2" t="s">
        <v>1125</v>
      </c>
      <c r="D291" s="2" t="s">
        <v>1123</v>
      </c>
      <c r="E291" s="2">
        <f t="shared" si="23"/>
        <v>3</v>
      </c>
      <c r="F291" s="2" t="s">
        <v>2</v>
      </c>
      <c r="G291" s="2" t="str">
        <f>Table13[[#This Row],[Month]]&amp;", "&amp;Table13[[#This Row],[FY]]</f>
        <v>JAN, FY24</v>
      </c>
      <c r="H291" s="2" t="str">
        <f>Table13[[#This Row],[Week]]&amp;", "&amp;Table13[[#This Row],[Month]]&amp;" "&amp;Table13[[#This Row],[FY]]</f>
        <v>Week 29, JAN FY24</v>
      </c>
      <c r="I291" s="2" t="str">
        <f>Table13[[#This Row],[Month]]&amp;", "&amp;Table13[[#This Row],[FY]]</f>
        <v>JAN, FY24</v>
      </c>
      <c r="J291" s="2" t="str">
        <f>"Q"&amp;Table13[[#This Row],[QTR]]&amp;", "&amp;Table13[[#This Row],[FY]]</f>
        <v>Q3, FY24</v>
      </c>
    </row>
    <row r="292" spans="1:10" x14ac:dyDescent="0.25">
      <c r="A292" s="1">
        <f t="shared" si="24"/>
        <v>45306</v>
      </c>
      <c r="B292" s="1">
        <f t="shared" si="24"/>
        <v>45312</v>
      </c>
      <c r="C292" s="2" t="s">
        <v>1126</v>
      </c>
      <c r="D292" s="2" t="s">
        <v>1123</v>
      </c>
      <c r="E292" s="2">
        <f t="shared" si="23"/>
        <v>3</v>
      </c>
      <c r="F292" s="2" t="s">
        <v>2</v>
      </c>
      <c r="G292" s="2" t="str">
        <f>Table13[[#This Row],[Month]]&amp;", "&amp;Table13[[#This Row],[FY]]</f>
        <v>JAN, FY24</v>
      </c>
      <c r="H292" s="2" t="str">
        <f>Table13[[#This Row],[Week]]&amp;", "&amp;Table13[[#This Row],[Month]]&amp;" "&amp;Table13[[#This Row],[FY]]</f>
        <v>Week 30, JAN FY24</v>
      </c>
      <c r="I292" s="2" t="str">
        <f>Table13[[#This Row],[Month]]&amp;", "&amp;Table13[[#This Row],[FY]]</f>
        <v>JAN, FY24</v>
      </c>
      <c r="J292" s="2" t="str">
        <f>"Q"&amp;Table13[[#This Row],[QTR]]&amp;", "&amp;Table13[[#This Row],[FY]]</f>
        <v>Q3, FY24</v>
      </c>
    </row>
    <row r="293" spans="1:10" x14ac:dyDescent="0.25">
      <c r="A293" s="1">
        <f t="shared" si="24"/>
        <v>45313</v>
      </c>
      <c r="B293" s="1">
        <f t="shared" si="24"/>
        <v>45319</v>
      </c>
      <c r="C293" s="2" t="s">
        <v>1127</v>
      </c>
      <c r="D293" s="2" t="s">
        <v>1128</v>
      </c>
      <c r="E293" s="2">
        <f t="shared" si="23"/>
        <v>3</v>
      </c>
      <c r="F293" s="2" t="s">
        <v>2</v>
      </c>
      <c r="G293" s="2" t="str">
        <f>Table13[[#This Row],[Month]]&amp;", "&amp;Table13[[#This Row],[FY]]</f>
        <v>FEB, FY24</v>
      </c>
      <c r="H293" s="2" t="str">
        <f>Table13[[#This Row],[Week]]&amp;", "&amp;Table13[[#This Row],[Month]]&amp;" "&amp;Table13[[#This Row],[FY]]</f>
        <v>Week 31, FEB FY24</v>
      </c>
      <c r="I293" s="2" t="str">
        <f>Table13[[#This Row],[Month]]&amp;", "&amp;Table13[[#This Row],[FY]]</f>
        <v>FEB, FY24</v>
      </c>
      <c r="J293" s="2" t="str">
        <f>"Q"&amp;Table13[[#This Row],[QTR]]&amp;", "&amp;Table13[[#This Row],[FY]]</f>
        <v>Q3, FY24</v>
      </c>
    </row>
    <row r="294" spans="1:10" x14ac:dyDescent="0.25">
      <c r="A294" s="1">
        <f t="shared" si="24"/>
        <v>45320</v>
      </c>
      <c r="B294" s="1">
        <f t="shared" si="24"/>
        <v>45326</v>
      </c>
      <c r="C294" s="2" t="s">
        <v>1129</v>
      </c>
      <c r="D294" s="2" t="s">
        <v>1128</v>
      </c>
      <c r="E294" s="2">
        <f t="shared" si="23"/>
        <v>3</v>
      </c>
      <c r="F294" s="2" t="s">
        <v>2</v>
      </c>
      <c r="G294" s="2" t="str">
        <f>Table13[[#This Row],[Month]]&amp;", "&amp;Table13[[#This Row],[FY]]</f>
        <v>FEB, FY24</v>
      </c>
      <c r="H294" s="2" t="str">
        <f>Table13[[#This Row],[Week]]&amp;", "&amp;Table13[[#This Row],[Month]]&amp;" "&amp;Table13[[#This Row],[FY]]</f>
        <v>Week 32, FEB FY24</v>
      </c>
      <c r="I294" s="2" t="str">
        <f>Table13[[#This Row],[Month]]&amp;", "&amp;Table13[[#This Row],[FY]]</f>
        <v>FEB, FY24</v>
      </c>
      <c r="J294" s="2" t="str">
        <f>"Q"&amp;Table13[[#This Row],[QTR]]&amp;", "&amp;Table13[[#This Row],[FY]]</f>
        <v>Q3, FY24</v>
      </c>
    </row>
    <row r="295" spans="1:10" x14ac:dyDescent="0.25">
      <c r="A295" s="1">
        <f t="shared" si="24"/>
        <v>45327</v>
      </c>
      <c r="B295" s="1">
        <f t="shared" si="24"/>
        <v>45333</v>
      </c>
      <c r="C295" s="2" t="s">
        <v>1130</v>
      </c>
      <c r="D295" s="2" t="s">
        <v>1128</v>
      </c>
      <c r="E295" s="2">
        <f t="shared" si="23"/>
        <v>3</v>
      </c>
      <c r="F295" s="2" t="s">
        <v>2</v>
      </c>
      <c r="G295" s="2" t="str">
        <f>Table13[[#This Row],[Month]]&amp;", "&amp;Table13[[#This Row],[FY]]</f>
        <v>FEB, FY24</v>
      </c>
      <c r="H295" s="2" t="str">
        <f>Table13[[#This Row],[Week]]&amp;", "&amp;Table13[[#This Row],[Month]]&amp;" "&amp;Table13[[#This Row],[FY]]</f>
        <v>Week 33, FEB FY24</v>
      </c>
      <c r="I295" s="2" t="str">
        <f>Table13[[#This Row],[Month]]&amp;", "&amp;Table13[[#This Row],[FY]]</f>
        <v>FEB, FY24</v>
      </c>
      <c r="J295" s="2" t="str">
        <f>"Q"&amp;Table13[[#This Row],[QTR]]&amp;", "&amp;Table13[[#This Row],[FY]]</f>
        <v>Q3, FY24</v>
      </c>
    </row>
    <row r="296" spans="1:10" x14ac:dyDescent="0.25">
      <c r="A296" s="1">
        <f t="shared" si="24"/>
        <v>45334</v>
      </c>
      <c r="B296" s="1">
        <f t="shared" si="24"/>
        <v>45340</v>
      </c>
      <c r="C296" s="2" t="s">
        <v>1131</v>
      </c>
      <c r="D296" s="2" t="s">
        <v>1128</v>
      </c>
      <c r="E296" s="2">
        <f t="shared" si="23"/>
        <v>3</v>
      </c>
      <c r="F296" s="2" t="s">
        <v>2</v>
      </c>
      <c r="G296" s="2" t="str">
        <f>Table13[[#This Row],[Month]]&amp;", "&amp;Table13[[#This Row],[FY]]</f>
        <v>FEB, FY24</v>
      </c>
      <c r="H296" s="2" t="str">
        <f>Table13[[#This Row],[Week]]&amp;", "&amp;Table13[[#This Row],[Month]]&amp;" "&amp;Table13[[#This Row],[FY]]</f>
        <v>Week 34, FEB FY24</v>
      </c>
      <c r="I296" s="2" t="str">
        <f>Table13[[#This Row],[Month]]&amp;", "&amp;Table13[[#This Row],[FY]]</f>
        <v>FEB, FY24</v>
      </c>
      <c r="J296" s="2" t="str">
        <f>"Q"&amp;Table13[[#This Row],[QTR]]&amp;", "&amp;Table13[[#This Row],[FY]]</f>
        <v>Q3, FY24</v>
      </c>
    </row>
    <row r="297" spans="1:10" x14ac:dyDescent="0.25">
      <c r="A297" s="1">
        <f t="shared" si="24"/>
        <v>45341</v>
      </c>
      <c r="B297" s="1">
        <f t="shared" si="24"/>
        <v>45347</v>
      </c>
      <c r="C297" s="2" t="s">
        <v>1132</v>
      </c>
      <c r="D297" s="2" t="s">
        <v>1128</v>
      </c>
      <c r="E297" s="2">
        <f t="shared" si="23"/>
        <v>3</v>
      </c>
      <c r="F297" s="2" t="s">
        <v>2</v>
      </c>
      <c r="G297" s="2" t="str">
        <f>Table13[[#This Row],[Month]]&amp;", "&amp;Table13[[#This Row],[FY]]</f>
        <v>FEB, FY24</v>
      </c>
      <c r="H297" s="2" t="str">
        <f>Table13[[#This Row],[Week]]&amp;", "&amp;Table13[[#This Row],[Month]]&amp;" "&amp;Table13[[#This Row],[FY]]</f>
        <v>Week 35, FEB FY24</v>
      </c>
      <c r="I297" s="2" t="str">
        <f>Table13[[#This Row],[Month]]&amp;", "&amp;Table13[[#This Row],[FY]]</f>
        <v>FEB, FY24</v>
      </c>
      <c r="J297" s="2" t="str">
        <f>"Q"&amp;Table13[[#This Row],[QTR]]&amp;", "&amp;Table13[[#This Row],[FY]]</f>
        <v>Q3, FY24</v>
      </c>
    </row>
    <row r="298" spans="1:10" x14ac:dyDescent="0.25">
      <c r="A298" s="1">
        <f t="shared" si="24"/>
        <v>45348</v>
      </c>
      <c r="B298" s="1">
        <f t="shared" si="24"/>
        <v>45354</v>
      </c>
      <c r="C298" s="2" t="s">
        <v>1133</v>
      </c>
      <c r="D298" s="2" t="s">
        <v>1134</v>
      </c>
      <c r="E298" s="2">
        <f t="shared" si="23"/>
        <v>3</v>
      </c>
      <c r="F298" s="2" t="s">
        <v>2</v>
      </c>
      <c r="G298" s="2" t="str">
        <f>Table13[[#This Row],[Month]]&amp;", "&amp;Table13[[#This Row],[FY]]</f>
        <v>MAR, FY24</v>
      </c>
      <c r="H298" s="2" t="str">
        <f>Table13[[#This Row],[Week]]&amp;", "&amp;Table13[[#This Row],[Month]]&amp;" "&amp;Table13[[#This Row],[FY]]</f>
        <v>Week 36, MAR FY24</v>
      </c>
      <c r="I298" s="2" t="str">
        <f>Table13[[#This Row],[Month]]&amp;", "&amp;Table13[[#This Row],[FY]]</f>
        <v>MAR, FY24</v>
      </c>
      <c r="J298" s="2" t="str">
        <f>"Q"&amp;Table13[[#This Row],[QTR]]&amp;", "&amp;Table13[[#This Row],[FY]]</f>
        <v>Q3, FY24</v>
      </c>
    </row>
    <row r="299" spans="1:10" x14ac:dyDescent="0.25">
      <c r="A299" s="1">
        <f t="shared" si="24"/>
        <v>45355</v>
      </c>
      <c r="B299" s="1">
        <f t="shared" si="24"/>
        <v>45361</v>
      </c>
      <c r="C299" s="2" t="s">
        <v>1135</v>
      </c>
      <c r="D299" s="2" t="s">
        <v>1134</v>
      </c>
      <c r="E299" s="2">
        <f t="shared" si="23"/>
        <v>3</v>
      </c>
      <c r="F299" s="2" t="s">
        <v>2</v>
      </c>
      <c r="G299" s="2" t="str">
        <f>Table13[[#This Row],[Month]]&amp;", "&amp;Table13[[#This Row],[FY]]</f>
        <v>MAR, FY24</v>
      </c>
      <c r="H299" s="2" t="str">
        <f>Table13[[#This Row],[Week]]&amp;", "&amp;Table13[[#This Row],[Month]]&amp;" "&amp;Table13[[#This Row],[FY]]</f>
        <v>Week 37, MAR FY24</v>
      </c>
      <c r="I299" s="2" t="str">
        <f>Table13[[#This Row],[Month]]&amp;", "&amp;Table13[[#This Row],[FY]]</f>
        <v>MAR, FY24</v>
      </c>
      <c r="J299" s="2" t="str">
        <f>"Q"&amp;Table13[[#This Row],[QTR]]&amp;", "&amp;Table13[[#This Row],[FY]]</f>
        <v>Q3, FY24</v>
      </c>
    </row>
    <row r="300" spans="1:10" x14ac:dyDescent="0.25">
      <c r="A300" s="1">
        <f t="shared" si="24"/>
        <v>45362</v>
      </c>
      <c r="B300" s="1">
        <f t="shared" si="24"/>
        <v>45368</v>
      </c>
      <c r="C300" s="2" t="s">
        <v>1136</v>
      </c>
      <c r="D300" s="2" t="s">
        <v>1134</v>
      </c>
      <c r="E300" s="2">
        <f t="shared" si="23"/>
        <v>3</v>
      </c>
      <c r="F300" s="2" t="s">
        <v>2</v>
      </c>
      <c r="G300" s="2" t="str">
        <f>Table13[[#This Row],[Month]]&amp;", "&amp;Table13[[#This Row],[FY]]</f>
        <v>MAR, FY24</v>
      </c>
      <c r="H300" s="2" t="str">
        <f>Table13[[#This Row],[Week]]&amp;", "&amp;Table13[[#This Row],[Month]]&amp;" "&amp;Table13[[#This Row],[FY]]</f>
        <v>Week 38, MAR FY24</v>
      </c>
      <c r="I300" s="2" t="str">
        <f>Table13[[#This Row],[Month]]&amp;", "&amp;Table13[[#This Row],[FY]]</f>
        <v>MAR, FY24</v>
      </c>
      <c r="J300" s="2" t="str">
        <f>"Q"&amp;Table13[[#This Row],[QTR]]&amp;", "&amp;Table13[[#This Row],[FY]]</f>
        <v>Q3, FY24</v>
      </c>
    </row>
    <row r="301" spans="1:10" x14ac:dyDescent="0.25">
      <c r="A301" s="1">
        <f t="shared" si="24"/>
        <v>45369</v>
      </c>
      <c r="B301" s="1">
        <f t="shared" si="24"/>
        <v>45375</v>
      </c>
      <c r="C301" s="2" t="s">
        <v>1137</v>
      </c>
      <c r="D301" s="2" t="s">
        <v>1134</v>
      </c>
      <c r="E301" s="2">
        <f t="shared" si="23"/>
        <v>3</v>
      </c>
      <c r="F301" s="2" t="s">
        <v>2</v>
      </c>
      <c r="G301" s="2" t="str">
        <f>Table13[[#This Row],[Month]]&amp;", "&amp;Table13[[#This Row],[FY]]</f>
        <v>MAR, FY24</v>
      </c>
      <c r="H301" s="2" t="str">
        <f>Table13[[#This Row],[Week]]&amp;", "&amp;Table13[[#This Row],[Month]]&amp;" "&amp;Table13[[#This Row],[FY]]</f>
        <v>Week 39, MAR FY24</v>
      </c>
      <c r="I301" s="2" t="str">
        <f>Table13[[#This Row],[Month]]&amp;", "&amp;Table13[[#This Row],[FY]]</f>
        <v>MAR, FY24</v>
      </c>
      <c r="J301" s="2" t="str">
        <f>"Q"&amp;Table13[[#This Row],[QTR]]&amp;", "&amp;Table13[[#This Row],[FY]]</f>
        <v>Q3, FY24</v>
      </c>
    </row>
    <row r="302" spans="1:10" x14ac:dyDescent="0.25">
      <c r="A302" s="1">
        <f t="shared" si="24"/>
        <v>45376</v>
      </c>
      <c r="B302" s="1">
        <f t="shared" si="24"/>
        <v>45382</v>
      </c>
      <c r="C302" s="2" t="s">
        <v>1138</v>
      </c>
      <c r="D302" s="2" t="s">
        <v>1139</v>
      </c>
      <c r="E302" s="2">
        <f t="shared" si="23"/>
        <v>4</v>
      </c>
      <c r="F302" s="2" t="s">
        <v>2</v>
      </c>
      <c r="G302" s="2" t="str">
        <f>Table13[[#This Row],[Month]]&amp;", "&amp;Table13[[#This Row],[FY]]</f>
        <v>APR, FY24</v>
      </c>
      <c r="H302" s="2" t="str">
        <f>Table13[[#This Row],[Week]]&amp;", "&amp;Table13[[#This Row],[Month]]&amp;" "&amp;Table13[[#This Row],[FY]]</f>
        <v>Week 40, APR FY24</v>
      </c>
      <c r="I302" s="2" t="str">
        <f>Table13[[#This Row],[Month]]&amp;", "&amp;Table13[[#This Row],[FY]]</f>
        <v>APR, FY24</v>
      </c>
      <c r="J302" s="2" t="str">
        <f>"Q"&amp;Table13[[#This Row],[QTR]]&amp;", "&amp;Table13[[#This Row],[FY]]</f>
        <v>Q4, FY24</v>
      </c>
    </row>
    <row r="303" spans="1:10" x14ac:dyDescent="0.25">
      <c r="A303" s="1">
        <f t="shared" si="24"/>
        <v>45383</v>
      </c>
      <c r="B303" s="1">
        <f t="shared" si="24"/>
        <v>45389</v>
      </c>
      <c r="C303" s="2" t="s">
        <v>1140</v>
      </c>
      <c r="D303" s="2" t="s">
        <v>1139</v>
      </c>
      <c r="E303" s="2">
        <f t="shared" si="23"/>
        <v>4</v>
      </c>
      <c r="F303" s="2" t="s">
        <v>2</v>
      </c>
      <c r="G303" s="2" t="str">
        <f>Table13[[#This Row],[Month]]&amp;", "&amp;Table13[[#This Row],[FY]]</f>
        <v>APR, FY24</v>
      </c>
      <c r="H303" s="2" t="str">
        <f>Table13[[#This Row],[Week]]&amp;", "&amp;Table13[[#This Row],[Month]]&amp;" "&amp;Table13[[#This Row],[FY]]</f>
        <v>Week 41, APR FY24</v>
      </c>
      <c r="I303" s="2" t="str">
        <f>Table13[[#This Row],[Month]]&amp;", "&amp;Table13[[#This Row],[FY]]</f>
        <v>APR, FY24</v>
      </c>
      <c r="J303" s="2" t="str">
        <f>"Q"&amp;Table13[[#This Row],[QTR]]&amp;", "&amp;Table13[[#This Row],[FY]]</f>
        <v>Q4, FY24</v>
      </c>
    </row>
    <row r="304" spans="1:10" x14ac:dyDescent="0.25">
      <c r="A304" s="1">
        <f t="shared" ref="A304:B319" si="25">A303+7</f>
        <v>45390</v>
      </c>
      <c r="B304" s="1">
        <f t="shared" si="25"/>
        <v>45396</v>
      </c>
      <c r="C304" s="2" t="s">
        <v>1141</v>
      </c>
      <c r="D304" s="2" t="s">
        <v>1139</v>
      </c>
      <c r="E304" s="2">
        <f t="shared" si="23"/>
        <v>4</v>
      </c>
      <c r="F304" s="2" t="s">
        <v>2</v>
      </c>
      <c r="G304" s="2" t="str">
        <f>Table13[[#This Row],[Month]]&amp;", "&amp;Table13[[#This Row],[FY]]</f>
        <v>APR, FY24</v>
      </c>
      <c r="H304" s="2" t="str">
        <f>Table13[[#This Row],[Week]]&amp;", "&amp;Table13[[#This Row],[Month]]&amp;" "&amp;Table13[[#This Row],[FY]]</f>
        <v>Week 42, APR FY24</v>
      </c>
      <c r="I304" s="2" t="str">
        <f>Table13[[#This Row],[Month]]&amp;", "&amp;Table13[[#This Row],[FY]]</f>
        <v>APR, FY24</v>
      </c>
      <c r="J304" s="2" t="str">
        <f>"Q"&amp;Table13[[#This Row],[QTR]]&amp;", "&amp;Table13[[#This Row],[FY]]</f>
        <v>Q4, FY24</v>
      </c>
    </row>
    <row r="305" spans="1:10" x14ac:dyDescent="0.25">
      <c r="A305" s="1">
        <f t="shared" si="25"/>
        <v>45397</v>
      </c>
      <c r="B305" s="1">
        <f t="shared" si="25"/>
        <v>45403</v>
      </c>
      <c r="C305" s="2" t="s">
        <v>1142</v>
      </c>
      <c r="D305" s="2" t="s">
        <v>1139</v>
      </c>
      <c r="E305" s="2">
        <f t="shared" si="23"/>
        <v>4</v>
      </c>
      <c r="F305" s="2" t="s">
        <v>2</v>
      </c>
      <c r="G305" s="2" t="str">
        <f>Table13[[#This Row],[Month]]&amp;", "&amp;Table13[[#This Row],[FY]]</f>
        <v>APR, FY24</v>
      </c>
      <c r="H305" s="2" t="str">
        <f>Table13[[#This Row],[Week]]&amp;", "&amp;Table13[[#This Row],[Month]]&amp;" "&amp;Table13[[#This Row],[FY]]</f>
        <v>Week 43, APR FY24</v>
      </c>
      <c r="I305" s="2" t="str">
        <f>Table13[[#This Row],[Month]]&amp;", "&amp;Table13[[#This Row],[FY]]</f>
        <v>APR, FY24</v>
      </c>
      <c r="J305" s="2" t="str">
        <f>"Q"&amp;Table13[[#This Row],[QTR]]&amp;", "&amp;Table13[[#This Row],[FY]]</f>
        <v>Q4, FY24</v>
      </c>
    </row>
    <row r="306" spans="1:10" x14ac:dyDescent="0.25">
      <c r="A306" s="1">
        <f t="shared" si="25"/>
        <v>45404</v>
      </c>
      <c r="B306" s="1">
        <f t="shared" si="25"/>
        <v>45410</v>
      </c>
      <c r="C306" s="2" t="s">
        <v>1143</v>
      </c>
      <c r="D306" s="2" t="s">
        <v>6</v>
      </c>
      <c r="E306" s="2">
        <f t="shared" si="23"/>
        <v>4</v>
      </c>
      <c r="F306" s="2" t="s">
        <v>2</v>
      </c>
      <c r="G306" s="2" t="str">
        <f>Table13[[#This Row],[Month]]&amp;", "&amp;Table13[[#This Row],[FY]]</f>
        <v>MAY, FY24</v>
      </c>
      <c r="H306" s="2" t="str">
        <f>Table13[[#This Row],[Week]]&amp;", "&amp;Table13[[#This Row],[Month]]&amp;" "&amp;Table13[[#This Row],[FY]]</f>
        <v>Week 44, MAY FY24</v>
      </c>
      <c r="I306" s="2" t="str">
        <f>Table13[[#This Row],[Month]]&amp;", "&amp;Table13[[#This Row],[FY]]</f>
        <v>MAY, FY24</v>
      </c>
      <c r="J306" s="2" t="str">
        <f>"Q"&amp;Table13[[#This Row],[QTR]]&amp;", "&amp;Table13[[#This Row],[FY]]</f>
        <v>Q4, FY24</v>
      </c>
    </row>
    <row r="307" spans="1:10" x14ac:dyDescent="0.25">
      <c r="A307" s="1">
        <f t="shared" si="25"/>
        <v>45411</v>
      </c>
      <c r="B307" s="1">
        <f t="shared" si="25"/>
        <v>45417</v>
      </c>
      <c r="C307" s="2" t="s">
        <v>1144</v>
      </c>
      <c r="D307" s="2" t="s">
        <v>6</v>
      </c>
      <c r="E307" s="2">
        <f t="shared" si="23"/>
        <v>4</v>
      </c>
      <c r="F307" s="2" t="s">
        <v>2</v>
      </c>
      <c r="G307" s="2" t="str">
        <f>Table13[[#This Row],[Month]]&amp;", "&amp;Table13[[#This Row],[FY]]</f>
        <v>MAY, FY24</v>
      </c>
      <c r="H307" s="2" t="str">
        <f>Table13[[#This Row],[Week]]&amp;", "&amp;Table13[[#This Row],[Month]]&amp;" "&amp;Table13[[#This Row],[FY]]</f>
        <v>Week 45, MAY FY24</v>
      </c>
      <c r="I307" s="2" t="str">
        <f>Table13[[#This Row],[Month]]&amp;", "&amp;Table13[[#This Row],[FY]]</f>
        <v>MAY, FY24</v>
      </c>
      <c r="J307" s="2" t="str">
        <f>"Q"&amp;Table13[[#This Row],[QTR]]&amp;", "&amp;Table13[[#This Row],[FY]]</f>
        <v>Q4, FY24</v>
      </c>
    </row>
    <row r="308" spans="1:10" x14ac:dyDescent="0.25">
      <c r="A308" s="1">
        <f t="shared" si="25"/>
        <v>45418</v>
      </c>
      <c r="B308" s="1">
        <f t="shared" si="25"/>
        <v>45424</v>
      </c>
      <c r="C308" s="2" t="s">
        <v>1145</v>
      </c>
      <c r="D308" s="2" t="s">
        <v>6</v>
      </c>
      <c r="E308" s="2">
        <f t="shared" si="23"/>
        <v>4</v>
      </c>
      <c r="F308" s="2" t="s">
        <v>2</v>
      </c>
      <c r="G308" s="2" t="str">
        <f>Table13[[#This Row],[Month]]&amp;", "&amp;Table13[[#This Row],[FY]]</f>
        <v>MAY, FY24</v>
      </c>
      <c r="H308" s="2" t="str">
        <f>Table13[[#This Row],[Week]]&amp;", "&amp;Table13[[#This Row],[Month]]&amp;" "&amp;Table13[[#This Row],[FY]]</f>
        <v>Week 46, MAY FY24</v>
      </c>
      <c r="I308" s="2" t="str">
        <f>Table13[[#This Row],[Month]]&amp;", "&amp;Table13[[#This Row],[FY]]</f>
        <v>MAY, FY24</v>
      </c>
      <c r="J308" s="2" t="str">
        <f>"Q"&amp;Table13[[#This Row],[QTR]]&amp;", "&amp;Table13[[#This Row],[FY]]</f>
        <v>Q4, FY24</v>
      </c>
    </row>
    <row r="309" spans="1:10" x14ac:dyDescent="0.25">
      <c r="A309" s="1">
        <f t="shared" si="25"/>
        <v>45425</v>
      </c>
      <c r="B309" s="1">
        <f t="shared" si="25"/>
        <v>45431</v>
      </c>
      <c r="C309" s="2" t="s">
        <v>1146</v>
      </c>
      <c r="D309" s="2" t="s">
        <v>6</v>
      </c>
      <c r="E309" s="2">
        <f t="shared" si="23"/>
        <v>4</v>
      </c>
      <c r="F309" s="2" t="s">
        <v>2</v>
      </c>
      <c r="G309" s="2" t="str">
        <f>Table13[[#This Row],[Month]]&amp;", "&amp;Table13[[#This Row],[FY]]</f>
        <v>MAY, FY24</v>
      </c>
      <c r="H309" s="2" t="str">
        <f>Table13[[#This Row],[Week]]&amp;", "&amp;Table13[[#This Row],[Month]]&amp;" "&amp;Table13[[#This Row],[FY]]</f>
        <v>Week 47, MAY FY24</v>
      </c>
      <c r="I309" s="2" t="str">
        <f>Table13[[#This Row],[Month]]&amp;", "&amp;Table13[[#This Row],[FY]]</f>
        <v>MAY, FY24</v>
      </c>
      <c r="J309" s="2" t="str">
        <f>"Q"&amp;Table13[[#This Row],[QTR]]&amp;", "&amp;Table13[[#This Row],[FY]]</f>
        <v>Q4, FY24</v>
      </c>
    </row>
    <row r="310" spans="1:10" x14ac:dyDescent="0.25">
      <c r="A310" s="1">
        <f t="shared" si="25"/>
        <v>45432</v>
      </c>
      <c r="B310" s="1">
        <f t="shared" si="25"/>
        <v>45438</v>
      </c>
      <c r="C310" s="2" t="s">
        <v>1147</v>
      </c>
      <c r="D310" s="2" t="s">
        <v>6</v>
      </c>
      <c r="E310" s="2">
        <f t="shared" si="23"/>
        <v>4</v>
      </c>
      <c r="F310" s="2" t="s">
        <v>2</v>
      </c>
      <c r="G310" s="2" t="str">
        <f>Table13[[#This Row],[Month]]&amp;", "&amp;Table13[[#This Row],[FY]]</f>
        <v>MAY, FY24</v>
      </c>
      <c r="H310" s="2" t="str">
        <f>Table13[[#This Row],[Week]]&amp;", "&amp;Table13[[#This Row],[Month]]&amp;" "&amp;Table13[[#This Row],[FY]]</f>
        <v>Week 48, MAY FY24</v>
      </c>
      <c r="I310" s="2" t="str">
        <f>Table13[[#This Row],[Month]]&amp;", "&amp;Table13[[#This Row],[FY]]</f>
        <v>MAY, FY24</v>
      </c>
      <c r="J310" s="2" t="str">
        <f>"Q"&amp;Table13[[#This Row],[QTR]]&amp;", "&amp;Table13[[#This Row],[FY]]</f>
        <v>Q4, FY24</v>
      </c>
    </row>
    <row r="311" spans="1:10" x14ac:dyDescent="0.25">
      <c r="A311" s="1">
        <f t="shared" si="25"/>
        <v>45439</v>
      </c>
      <c r="B311" s="1">
        <f t="shared" si="25"/>
        <v>45445</v>
      </c>
      <c r="C311" s="2" t="s">
        <v>1148</v>
      </c>
      <c r="D311" s="2" t="s">
        <v>1149</v>
      </c>
      <c r="E311" s="2">
        <f t="shared" si="23"/>
        <v>4</v>
      </c>
      <c r="F311" s="2" t="s">
        <v>2</v>
      </c>
      <c r="G311" s="2" t="str">
        <f>Table13[[#This Row],[Month]]&amp;", "&amp;Table13[[#This Row],[FY]]</f>
        <v>JUN, FY24</v>
      </c>
      <c r="H311" s="2" t="str">
        <f>Table13[[#This Row],[Week]]&amp;", "&amp;Table13[[#This Row],[Month]]&amp;" "&amp;Table13[[#This Row],[FY]]</f>
        <v>Week 49, JUN FY24</v>
      </c>
      <c r="I311" s="2" t="str">
        <f>Table13[[#This Row],[Month]]&amp;", "&amp;Table13[[#This Row],[FY]]</f>
        <v>JUN, FY24</v>
      </c>
      <c r="J311" s="2" t="str">
        <f>"Q"&amp;Table13[[#This Row],[QTR]]&amp;", "&amp;Table13[[#This Row],[FY]]</f>
        <v>Q4, FY24</v>
      </c>
    </row>
    <row r="312" spans="1:10" x14ac:dyDescent="0.25">
      <c r="A312" s="1">
        <f t="shared" si="25"/>
        <v>45446</v>
      </c>
      <c r="B312" s="1">
        <f t="shared" si="25"/>
        <v>45452</v>
      </c>
      <c r="C312" s="2" t="s">
        <v>1150</v>
      </c>
      <c r="D312" s="2" t="s">
        <v>1149</v>
      </c>
      <c r="E312" s="2">
        <f t="shared" si="23"/>
        <v>4</v>
      </c>
      <c r="F312" s="2" t="s">
        <v>2</v>
      </c>
      <c r="G312" s="2" t="str">
        <f>Table13[[#This Row],[Month]]&amp;", "&amp;Table13[[#This Row],[FY]]</f>
        <v>JUN, FY24</v>
      </c>
      <c r="H312" s="2" t="str">
        <f>Table13[[#This Row],[Week]]&amp;", "&amp;Table13[[#This Row],[Month]]&amp;" "&amp;Table13[[#This Row],[FY]]</f>
        <v>Week 50, JUN FY24</v>
      </c>
      <c r="I312" s="2" t="str">
        <f>Table13[[#This Row],[Month]]&amp;", "&amp;Table13[[#This Row],[FY]]</f>
        <v>JUN, FY24</v>
      </c>
      <c r="J312" s="2" t="str">
        <f>"Q"&amp;Table13[[#This Row],[QTR]]&amp;", "&amp;Table13[[#This Row],[FY]]</f>
        <v>Q4, FY24</v>
      </c>
    </row>
    <row r="313" spans="1:10" x14ac:dyDescent="0.25">
      <c r="A313" s="1">
        <f t="shared" si="25"/>
        <v>45453</v>
      </c>
      <c r="B313" s="1">
        <f t="shared" si="25"/>
        <v>45459</v>
      </c>
      <c r="C313" s="2" t="s">
        <v>1151</v>
      </c>
      <c r="D313" s="2" t="s">
        <v>1149</v>
      </c>
      <c r="E313" s="2">
        <f t="shared" si="23"/>
        <v>4</v>
      </c>
      <c r="F313" s="2" t="s">
        <v>2</v>
      </c>
      <c r="G313" s="2" t="str">
        <f>Table13[[#This Row],[Month]]&amp;", "&amp;Table13[[#This Row],[FY]]</f>
        <v>JUN, FY24</v>
      </c>
      <c r="H313" s="2" t="str">
        <f>Table13[[#This Row],[Week]]&amp;", "&amp;Table13[[#This Row],[Month]]&amp;" "&amp;Table13[[#This Row],[FY]]</f>
        <v>Week 51, JUN FY24</v>
      </c>
      <c r="I313" s="2" t="str">
        <f>Table13[[#This Row],[Month]]&amp;", "&amp;Table13[[#This Row],[FY]]</f>
        <v>JUN, FY24</v>
      </c>
      <c r="J313" s="2" t="str">
        <f>"Q"&amp;Table13[[#This Row],[QTR]]&amp;", "&amp;Table13[[#This Row],[FY]]</f>
        <v>Q4, FY24</v>
      </c>
    </row>
    <row r="314" spans="1:10" x14ac:dyDescent="0.25">
      <c r="A314" s="1">
        <f t="shared" si="25"/>
        <v>45460</v>
      </c>
      <c r="B314" s="1">
        <f t="shared" si="25"/>
        <v>45466</v>
      </c>
      <c r="C314" s="2" t="s">
        <v>1152</v>
      </c>
      <c r="D314" s="2" t="s">
        <v>1149</v>
      </c>
      <c r="E314" s="2">
        <f t="shared" si="23"/>
        <v>4</v>
      </c>
      <c r="F314" s="2" t="s">
        <v>2</v>
      </c>
      <c r="G314" s="2" t="str">
        <f>Table13[[#This Row],[Month]]&amp;", "&amp;Table13[[#This Row],[FY]]</f>
        <v>JUN, FY24</v>
      </c>
      <c r="H314" s="2" t="str">
        <f>Table13[[#This Row],[Week]]&amp;", "&amp;Table13[[#This Row],[Month]]&amp;" "&amp;Table13[[#This Row],[FY]]</f>
        <v>Week 52, JUN FY24</v>
      </c>
      <c r="I314" s="2" t="str">
        <f>Table13[[#This Row],[Month]]&amp;", "&amp;Table13[[#This Row],[FY]]</f>
        <v>JUN, FY24</v>
      </c>
      <c r="J314" s="2" t="str">
        <f>"Q"&amp;Table13[[#This Row],[QTR]]&amp;", "&amp;Table13[[#This Row],[FY]]</f>
        <v>Q4, FY24</v>
      </c>
    </row>
    <row r="315" spans="1:10" x14ac:dyDescent="0.25">
      <c r="A315" s="1">
        <f t="shared" si="25"/>
        <v>45467</v>
      </c>
      <c r="B315" s="1">
        <f t="shared" si="25"/>
        <v>45473</v>
      </c>
      <c r="C315" s="2" t="s">
        <v>1153</v>
      </c>
      <c r="D315" s="2" t="s">
        <v>1149</v>
      </c>
      <c r="E315" s="2">
        <v>4</v>
      </c>
      <c r="F315" s="2" t="s">
        <v>2</v>
      </c>
      <c r="G315" s="2" t="str">
        <f>Table13[[#This Row],[Month]]&amp;", "&amp;Table13[[#This Row],[FY]]</f>
        <v>JUN, FY24</v>
      </c>
      <c r="H315" s="2" t="str">
        <f>Table13[[#This Row],[Week]]&amp;", "&amp;Table13[[#This Row],[Month]]&amp;" "&amp;Table13[[#This Row],[FY]]</f>
        <v>Week 53, JUN FY24</v>
      </c>
      <c r="I315" s="2" t="str">
        <f>Table13[[#This Row],[Month]]&amp;", "&amp;Table13[[#This Row],[FY]]</f>
        <v>JUN, FY24</v>
      </c>
      <c r="J315" s="2" t="str">
        <f>"Q"&amp;Table13[[#This Row],[QTR]]&amp;", "&amp;Table13[[#This Row],[FY]]</f>
        <v>Q4, FY24</v>
      </c>
    </row>
    <row r="316" spans="1:10" x14ac:dyDescent="0.25">
      <c r="A316" s="1">
        <f t="shared" si="25"/>
        <v>45474</v>
      </c>
      <c r="B316" s="1">
        <f t="shared" si="25"/>
        <v>45480</v>
      </c>
      <c r="C316" s="2" t="s">
        <v>1089</v>
      </c>
      <c r="D316" s="2" t="s">
        <v>1090</v>
      </c>
      <c r="E316" s="2">
        <v>1</v>
      </c>
      <c r="F316" s="2" t="s">
        <v>3</v>
      </c>
      <c r="G316" s="2" t="str">
        <f>Table13[[#This Row],[Month]]&amp;", "&amp;Table13[[#This Row],[FY]]</f>
        <v>JUL, FY25</v>
      </c>
      <c r="H316" s="2" t="str">
        <f>Table13[[#This Row],[Week]]&amp;", "&amp;Table13[[#This Row],[Month]]&amp;" "&amp;Table13[[#This Row],[FY]]</f>
        <v>Week 1, JUL FY25</v>
      </c>
      <c r="I316" s="2" t="str">
        <f>Table13[[#This Row],[Month]]&amp;", "&amp;Table13[[#This Row],[FY]]</f>
        <v>JUL, FY25</v>
      </c>
      <c r="J316" s="2" t="str">
        <f>"Q"&amp;Table13[[#This Row],[QTR]]&amp;", "&amp;Table13[[#This Row],[FY]]</f>
        <v>Q1, FY25</v>
      </c>
    </row>
    <row r="317" spans="1:10" x14ac:dyDescent="0.25">
      <c r="A317" s="1">
        <f t="shared" si="25"/>
        <v>45481</v>
      </c>
      <c r="B317" s="1">
        <f t="shared" si="25"/>
        <v>45487</v>
      </c>
      <c r="C317" s="2" t="s">
        <v>1092</v>
      </c>
      <c r="D317" s="2" t="s">
        <v>1090</v>
      </c>
      <c r="E317" s="2">
        <v>1</v>
      </c>
      <c r="F317" s="2" t="s">
        <v>3</v>
      </c>
      <c r="G317" s="2" t="str">
        <f>Table13[[#This Row],[Month]]&amp;", "&amp;Table13[[#This Row],[FY]]</f>
        <v>JUL, FY25</v>
      </c>
      <c r="H317" s="2" t="str">
        <f>Table13[[#This Row],[Week]]&amp;", "&amp;Table13[[#This Row],[Month]]&amp;" "&amp;Table13[[#This Row],[FY]]</f>
        <v>Week 2, JUL FY25</v>
      </c>
      <c r="I317" s="2" t="str">
        <f>Table13[[#This Row],[Month]]&amp;", "&amp;Table13[[#This Row],[FY]]</f>
        <v>JUL, FY25</v>
      </c>
      <c r="J317" s="2" t="str">
        <f>"Q"&amp;Table13[[#This Row],[QTR]]&amp;", "&amp;Table13[[#This Row],[FY]]</f>
        <v>Q1, FY25</v>
      </c>
    </row>
    <row r="318" spans="1:10" x14ac:dyDescent="0.25">
      <c r="A318" s="1">
        <f t="shared" si="25"/>
        <v>45488</v>
      </c>
      <c r="B318" s="1">
        <f t="shared" si="25"/>
        <v>45494</v>
      </c>
      <c r="C318" s="2" t="s">
        <v>1093</v>
      </c>
      <c r="D318" s="2" t="s">
        <v>1090</v>
      </c>
      <c r="E318" s="2">
        <v>1</v>
      </c>
      <c r="F318" s="2" t="s">
        <v>3</v>
      </c>
      <c r="G318" s="2" t="str">
        <f>Table13[[#This Row],[Month]]&amp;", "&amp;Table13[[#This Row],[FY]]</f>
        <v>JUL, FY25</v>
      </c>
      <c r="H318" s="2" t="str">
        <f>Table13[[#This Row],[Week]]&amp;", "&amp;Table13[[#This Row],[Month]]&amp;" "&amp;Table13[[#This Row],[FY]]</f>
        <v>Week 3, JUL FY25</v>
      </c>
      <c r="I318" s="2" t="str">
        <f>Table13[[#This Row],[Month]]&amp;", "&amp;Table13[[#This Row],[FY]]</f>
        <v>JUL, FY25</v>
      </c>
      <c r="J318" s="2" t="str">
        <f>"Q"&amp;Table13[[#This Row],[QTR]]&amp;", "&amp;Table13[[#This Row],[FY]]</f>
        <v>Q1, FY25</v>
      </c>
    </row>
    <row r="319" spans="1:10" x14ac:dyDescent="0.25">
      <c r="A319" s="1">
        <f t="shared" si="25"/>
        <v>45495</v>
      </c>
      <c r="B319" s="1">
        <f t="shared" si="25"/>
        <v>45501</v>
      </c>
      <c r="C319" s="2" t="s">
        <v>1094</v>
      </c>
      <c r="D319" s="2" t="s">
        <v>1090</v>
      </c>
      <c r="E319" s="2">
        <v>1</v>
      </c>
      <c r="F319" s="2" t="s">
        <v>3</v>
      </c>
      <c r="G319" s="2" t="str">
        <f>Table13[[#This Row],[Month]]&amp;", "&amp;Table13[[#This Row],[FY]]</f>
        <v>JUL, FY25</v>
      </c>
      <c r="H319" s="2" t="str">
        <f>Table13[[#This Row],[Week]]&amp;", "&amp;Table13[[#This Row],[Month]]&amp;" "&amp;Table13[[#This Row],[FY]]</f>
        <v>Week 4, JUL FY25</v>
      </c>
      <c r="I319" s="2" t="str">
        <f>Table13[[#This Row],[Month]]&amp;", "&amp;Table13[[#This Row],[FY]]</f>
        <v>JUL, FY25</v>
      </c>
      <c r="J319" s="2" t="str">
        <f>"Q"&amp;Table13[[#This Row],[QTR]]&amp;", "&amp;Table13[[#This Row],[FY]]</f>
        <v>Q1, FY25</v>
      </c>
    </row>
    <row r="320" spans="1:10" x14ac:dyDescent="0.25">
      <c r="A320" s="1">
        <f t="shared" ref="A320:B335" si="26">A319+7</f>
        <v>45502</v>
      </c>
      <c r="B320" s="1">
        <f t="shared" si="26"/>
        <v>45508</v>
      </c>
      <c r="C320" s="2" t="s">
        <v>1095</v>
      </c>
      <c r="D320" s="2" t="s">
        <v>1096</v>
      </c>
      <c r="E320" s="2">
        <v>1</v>
      </c>
      <c r="F320" s="2" t="s">
        <v>3</v>
      </c>
      <c r="G320" s="2" t="str">
        <f>Table13[[#This Row],[Month]]&amp;", "&amp;Table13[[#This Row],[FY]]</f>
        <v>AUG, FY25</v>
      </c>
      <c r="H320" s="2" t="str">
        <f>Table13[[#This Row],[Week]]&amp;", "&amp;Table13[[#This Row],[Month]]&amp;" "&amp;Table13[[#This Row],[FY]]</f>
        <v>Week 5, AUG FY25</v>
      </c>
      <c r="I320" s="2" t="str">
        <f>Table13[[#This Row],[Month]]&amp;", "&amp;Table13[[#This Row],[FY]]</f>
        <v>AUG, FY25</v>
      </c>
      <c r="J320" s="2" t="str">
        <f>"Q"&amp;Table13[[#This Row],[QTR]]&amp;", "&amp;Table13[[#This Row],[FY]]</f>
        <v>Q1, FY25</v>
      </c>
    </row>
    <row r="321" spans="1:10" x14ac:dyDescent="0.25">
      <c r="A321" s="1">
        <f t="shared" si="26"/>
        <v>45509</v>
      </c>
      <c r="B321" s="1">
        <f t="shared" si="26"/>
        <v>45515</v>
      </c>
      <c r="C321" s="2" t="s">
        <v>1097</v>
      </c>
      <c r="D321" s="2" t="s">
        <v>1096</v>
      </c>
      <c r="E321" s="2">
        <v>1</v>
      </c>
      <c r="F321" s="2" t="s">
        <v>3</v>
      </c>
      <c r="G321" s="2" t="str">
        <f>Table13[[#This Row],[Month]]&amp;", "&amp;Table13[[#This Row],[FY]]</f>
        <v>AUG, FY25</v>
      </c>
      <c r="H321" s="2" t="str">
        <f>Table13[[#This Row],[Week]]&amp;", "&amp;Table13[[#This Row],[Month]]&amp;" "&amp;Table13[[#This Row],[FY]]</f>
        <v>Week 6, AUG FY25</v>
      </c>
      <c r="I321" s="2" t="str">
        <f>Table13[[#This Row],[Month]]&amp;", "&amp;Table13[[#This Row],[FY]]</f>
        <v>AUG, FY25</v>
      </c>
      <c r="J321" s="2" t="str">
        <f>"Q"&amp;Table13[[#This Row],[QTR]]&amp;", "&amp;Table13[[#This Row],[FY]]</f>
        <v>Q1, FY25</v>
      </c>
    </row>
    <row r="322" spans="1:10" x14ac:dyDescent="0.25">
      <c r="A322" s="1">
        <f t="shared" si="26"/>
        <v>45516</v>
      </c>
      <c r="B322" s="1">
        <f t="shared" si="26"/>
        <v>45522</v>
      </c>
      <c r="C322" s="2" t="s">
        <v>1098</v>
      </c>
      <c r="D322" s="2" t="s">
        <v>1096</v>
      </c>
      <c r="E322" s="2">
        <v>1</v>
      </c>
      <c r="F322" s="2" t="s">
        <v>3</v>
      </c>
      <c r="G322" s="2" t="str">
        <f>Table13[[#This Row],[Month]]&amp;", "&amp;Table13[[#This Row],[FY]]</f>
        <v>AUG, FY25</v>
      </c>
      <c r="H322" s="2" t="str">
        <f>Table13[[#This Row],[Week]]&amp;", "&amp;Table13[[#This Row],[Month]]&amp;" "&amp;Table13[[#This Row],[FY]]</f>
        <v>Week 7, AUG FY25</v>
      </c>
      <c r="I322" s="2" t="str">
        <f>Table13[[#This Row],[Month]]&amp;", "&amp;Table13[[#This Row],[FY]]</f>
        <v>AUG, FY25</v>
      </c>
      <c r="J322" s="2" t="str">
        <f>"Q"&amp;Table13[[#This Row],[QTR]]&amp;", "&amp;Table13[[#This Row],[FY]]</f>
        <v>Q1, FY25</v>
      </c>
    </row>
    <row r="323" spans="1:10" x14ac:dyDescent="0.25">
      <c r="A323" s="1">
        <f t="shared" si="26"/>
        <v>45523</v>
      </c>
      <c r="B323" s="1">
        <f t="shared" si="26"/>
        <v>45529</v>
      </c>
      <c r="C323" s="2" t="s">
        <v>1099</v>
      </c>
      <c r="D323" s="2" t="s">
        <v>1096</v>
      </c>
      <c r="E323" s="2">
        <v>1</v>
      </c>
      <c r="F323" s="2" t="s">
        <v>3</v>
      </c>
      <c r="G323" s="2" t="str">
        <f>Table13[[#This Row],[Month]]&amp;", "&amp;Table13[[#This Row],[FY]]</f>
        <v>AUG, FY25</v>
      </c>
      <c r="H323" s="2" t="str">
        <f>Table13[[#This Row],[Week]]&amp;", "&amp;Table13[[#This Row],[Month]]&amp;" "&amp;Table13[[#This Row],[FY]]</f>
        <v>Week 8, AUG FY25</v>
      </c>
      <c r="I323" s="2" t="str">
        <f>Table13[[#This Row],[Month]]&amp;", "&amp;Table13[[#This Row],[FY]]</f>
        <v>AUG, FY25</v>
      </c>
      <c r="J323" s="2" t="str">
        <f>"Q"&amp;Table13[[#This Row],[QTR]]&amp;", "&amp;Table13[[#This Row],[FY]]</f>
        <v>Q1, FY25</v>
      </c>
    </row>
    <row r="324" spans="1:10" x14ac:dyDescent="0.25">
      <c r="A324" s="1">
        <f t="shared" si="26"/>
        <v>45530</v>
      </c>
      <c r="B324" s="1">
        <f t="shared" si="26"/>
        <v>45536</v>
      </c>
      <c r="C324" s="2" t="s">
        <v>1100</v>
      </c>
      <c r="D324" s="2" t="s">
        <v>1096</v>
      </c>
      <c r="E324" s="2">
        <v>1</v>
      </c>
      <c r="F324" s="2" t="s">
        <v>3</v>
      </c>
      <c r="G324" s="2" t="str">
        <f>Table13[[#This Row],[Month]]&amp;", "&amp;Table13[[#This Row],[FY]]</f>
        <v>AUG, FY25</v>
      </c>
      <c r="H324" s="2" t="str">
        <f>Table13[[#This Row],[Week]]&amp;", "&amp;Table13[[#This Row],[Month]]&amp;" "&amp;Table13[[#This Row],[FY]]</f>
        <v>Week 9, AUG FY25</v>
      </c>
      <c r="I324" s="2" t="str">
        <f>Table13[[#This Row],[Month]]&amp;", "&amp;Table13[[#This Row],[FY]]</f>
        <v>AUG, FY25</v>
      </c>
      <c r="J324" s="2" t="str">
        <f>"Q"&amp;Table13[[#This Row],[QTR]]&amp;", "&amp;Table13[[#This Row],[FY]]</f>
        <v>Q1, FY25</v>
      </c>
    </row>
    <row r="325" spans="1:10" x14ac:dyDescent="0.25">
      <c r="A325" s="1">
        <f t="shared" si="26"/>
        <v>45537</v>
      </c>
      <c r="B325" s="1">
        <f t="shared" si="26"/>
        <v>45543</v>
      </c>
      <c r="C325" s="2" t="s">
        <v>1101</v>
      </c>
      <c r="D325" s="2" t="s">
        <v>1102</v>
      </c>
      <c r="E325" s="2">
        <v>1</v>
      </c>
      <c r="F325" s="2" t="s">
        <v>3</v>
      </c>
      <c r="G325" s="2" t="str">
        <f>Table13[[#This Row],[Month]]&amp;", "&amp;Table13[[#This Row],[FY]]</f>
        <v>SEP, FY25</v>
      </c>
      <c r="H325" s="2" t="str">
        <f>Table13[[#This Row],[Week]]&amp;", "&amp;Table13[[#This Row],[Month]]&amp;" "&amp;Table13[[#This Row],[FY]]</f>
        <v>Week 10, SEP FY25</v>
      </c>
      <c r="I325" s="2" t="str">
        <f>Table13[[#This Row],[Month]]&amp;", "&amp;Table13[[#This Row],[FY]]</f>
        <v>SEP, FY25</v>
      </c>
      <c r="J325" s="2" t="str">
        <f>"Q"&amp;Table13[[#This Row],[QTR]]&amp;", "&amp;Table13[[#This Row],[FY]]</f>
        <v>Q1, FY25</v>
      </c>
    </row>
    <row r="326" spans="1:10" x14ac:dyDescent="0.25">
      <c r="A326" s="1">
        <f t="shared" si="26"/>
        <v>45544</v>
      </c>
      <c r="B326" s="1">
        <f t="shared" si="26"/>
        <v>45550</v>
      </c>
      <c r="C326" s="2" t="s">
        <v>1103</v>
      </c>
      <c r="D326" s="2" t="s">
        <v>1102</v>
      </c>
      <c r="E326" s="2">
        <v>1</v>
      </c>
      <c r="F326" s="2" t="s">
        <v>3</v>
      </c>
      <c r="G326" s="2" t="str">
        <f>Table13[[#This Row],[Month]]&amp;", "&amp;Table13[[#This Row],[FY]]</f>
        <v>SEP, FY25</v>
      </c>
      <c r="H326" s="2" t="str">
        <f>Table13[[#This Row],[Week]]&amp;", "&amp;Table13[[#This Row],[Month]]&amp;" "&amp;Table13[[#This Row],[FY]]</f>
        <v>Week 11, SEP FY25</v>
      </c>
      <c r="I326" s="2" t="str">
        <f>Table13[[#This Row],[Month]]&amp;", "&amp;Table13[[#This Row],[FY]]</f>
        <v>SEP, FY25</v>
      </c>
      <c r="J326" s="2" t="str">
        <f>"Q"&amp;Table13[[#This Row],[QTR]]&amp;", "&amp;Table13[[#This Row],[FY]]</f>
        <v>Q1, FY25</v>
      </c>
    </row>
    <row r="327" spans="1:10" x14ac:dyDescent="0.25">
      <c r="A327" s="1">
        <f t="shared" si="26"/>
        <v>45551</v>
      </c>
      <c r="B327" s="1">
        <f t="shared" si="26"/>
        <v>45557</v>
      </c>
      <c r="C327" s="2" t="s">
        <v>1104</v>
      </c>
      <c r="D327" s="2" t="s">
        <v>1102</v>
      </c>
      <c r="E327" s="2">
        <v>1</v>
      </c>
      <c r="F327" s="2" t="s">
        <v>3</v>
      </c>
      <c r="G327" s="2" t="str">
        <f>Table13[[#This Row],[Month]]&amp;", "&amp;Table13[[#This Row],[FY]]</f>
        <v>SEP, FY25</v>
      </c>
      <c r="H327" s="2" t="str">
        <f>Table13[[#This Row],[Week]]&amp;", "&amp;Table13[[#This Row],[Month]]&amp;" "&amp;Table13[[#This Row],[FY]]</f>
        <v>Week 12, SEP FY25</v>
      </c>
      <c r="I327" s="2" t="str">
        <f>Table13[[#This Row],[Month]]&amp;", "&amp;Table13[[#This Row],[FY]]</f>
        <v>SEP, FY25</v>
      </c>
      <c r="J327" s="2" t="str">
        <f>"Q"&amp;Table13[[#This Row],[QTR]]&amp;", "&amp;Table13[[#This Row],[FY]]</f>
        <v>Q1, FY25</v>
      </c>
    </row>
    <row r="328" spans="1:10" x14ac:dyDescent="0.25">
      <c r="A328" s="1">
        <f t="shared" si="26"/>
        <v>45558</v>
      </c>
      <c r="B328" s="1">
        <f t="shared" si="26"/>
        <v>45564</v>
      </c>
      <c r="C328" s="2" t="s">
        <v>1105</v>
      </c>
      <c r="D328" s="2" t="s">
        <v>1102</v>
      </c>
      <c r="E328" s="2">
        <v>1</v>
      </c>
      <c r="F328" s="2" t="s">
        <v>3</v>
      </c>
      <c r="G328" s="2" t="str">
        <f>Table13[[#This Row],[Month]]&amp;", "&amp;Table13[[#This Row],[FY]]</f>
        <v>SEP, FY25</v>
      </c>
      <c r="H328" s="2" t="str">
        <f>Table13[[#This Row],[Week]]&amp;", "&amp;Table13[[#This Row],[Month]]&amp;" "&amp;Table13[[#This Row],[FY]]</f>
        <v>Week 13, SEP FY25</v>
      </c>
      <c r="I328" s="2" t="str">
        <f>Table13[[#This Row],[Month]]&amp;", "&amp;Table13[[#This Row],[FY]]</f>
        <v>SEP, FY25</v>
      </c>
      <c r="J328" s="2" t="str">
        <f>"Q"&amp;Table13[[#This Row],[QTR]]&amp;", "&amp;Table13[[#This Row],[FY]]</f>
        <v>Q1, FY25</v>
      </c>
    </row>
    <row r="329" spans="1:10" x14ac:dyDescent="0.25">
      <c r="A329" s="1">
        <f t="shared" si="26"/>
        <v>45565</v>
      </c>
      <c r="B329" s="1">
        <f t="shared" si="26"/>
        <v>45571</v>
      </c>
      <c r="C329" s="2" t="s">
        <v>1106</v>
      </c>
      <c r="D329" s="2" t="s">
        <v>1107</v>
      </c>
      <c r="E329" s="2">
        <v>2</v>
      </c>
      <c r="F329" s="2" t="s">
        <v>3</v>
      </c>
      <c r="G329" s="2" t="str">
        <f>Table13[[#This Row],[Month]]&amp;", "&amp;Table13[[#This Row],[FY]]</f>
        <v>OCT, FY25</v>
      </c>
      <c r="H329" s="2" t="str">
        <f>Table13[[#This Row],[Week]]&amp;", "&amp;Table13[[#This Row],[Month]]&amp;" "&amp;Table13[[#This Row],[FY]]</f>
        <v>Week 14, OCT FY25</v>
      </c>
      <c r="I329" s="2" t="str">
        <f>Table13[[#This Row],[Month]]&amp;", "&amp;Table13[[#This Row],[FY]]</f>
        <v>OCT, FY25</v>
      </c>
      <c r="J329" s="2" t="str">
        <f>"Q"&amp;Table13[[#This Row],[QTR]]&amp;", "&amp;Table13[[#This Row],[FY]]</f>
        <v>Q2, FY25</v>
      </c>
    </row>
    <row r="330" spans="1:10" x14ac:dyDescent="0.25">
      <c r="A330" s="1">
        <f t="shared" si="26"/>
        <v>45572</v>
      </c>
      <c r="B330" s="1">
        <f t="shared" si="26"/>
        <v>45578</v>
      </c>
      <c r="C330" s="2" t="s">
        <v>1108</v>
      </c>
      <c r="D330" s="2" t="s">
        <v>1107</v>
      </c>
      <c r="E330" s="2">
        <v>2</v>
      </c>
      <c r="F330" s="2" t="s">
        <v>3</v>
      </c>
      <c r="G330" s="2" t="str">
        <f>Table13[[#This Row],[Month]]&amp;", "&amp;Table13[[#This Row],[FY]]</f>
        <v>OCT, FY25</v>
      </c>
      <c r="H330" s="2" t="str">
        <f>Table13[[#This Row],[Week]]&amp;", "&amp;Table13[[#This Row],[Month]]&amp;" "&amp;Table13[[#This Row],[FY]]</f>
        <v>Week 15, OCT FY25</v>
      </c>
      <c r="I330" s="2" t="str">
        <f>Table13[[#This Row],[Month]]&amp;", "&amp;Table13[[#This Row],[FY]]</f>
        <v>OCT, FY25</v>
      </c>
      <c r="J330" s="2" t="str">
        <f>"Q"&amp;Table13[[#This Row],[QTR]]&amp;", "&amp;Table13[[#This Row],[FY]]</f>
        <v>Q2, FY25</v>
      </c>
    </row>
    <row r="331" spans="1:10" x14ac:dyDescent="0.25">
      <c r="A331" s="1">
        <f t="shared" si="26"/>
        <v>45579</v>
      </c>
      <c r="B331" s="1">
        <f t="shared" si="26"/>
        <v>45585</v>
      </c>
      <c r="C331" s="2" t="s">
        <v>1109</v>
      </c>
      <c r="D331" s="2" t="s">
        <v>1107</v>
      </c>
      <c r="E331" s="2">
        <v>2</v>
      </c>
      <c r="F331" s="2" t="s">
        <v>3</v>
      </c>
      <c r="G331" s="2" t="str">
        <f>Table13[[#This Row],[Month]]&amp;", "&amp;Table13[[#This Row],[FY]]</f>
        <v>OCT, FY25</v>
      </c>
      <c r="H331" s="2" t="str">
        <f>Table13[[#This Row],[Week]]&amp;", "&amp;Table13[[#This Row],[Month]]&amp;" "&amp;Table13[[#This Row],[FY]]</f>
        <v>Week 16, OCT FY25</v>
      </c>
      <c r="I331" s="2" t="str">
        <f>Table13[[#This Row],[Month]]&amp;", "&amp;Table13[[#This Row],[FY]]</f>
        <v>OCT, FY25</v>
      </c>
      <c r="J331" s="2" t="str">
        <f>"Q"&amp;Table13[[#This Row],[QTR]]&amp;", "&amp;Table13[[#This Row],[FY]]</f>
        <v>Q2, FY25</v>
      </c>
    </row>
    <row r="332" spans="1:10" x14ac:dyDescent="0.25">
      <c r="A332" s="1">
        <f t="shared" si="26"/>
        <v>45586</v>
      </c>
      <c r="B332" s="1">
        <f t="shared" si="26"/>
        <v>45592</v>
      </c>
      <c r="C332" s="2" t="s">
        <v>1110</v>
      </c>
      <c r="D332" s="2" t="s">
        <v>1107</v>
      </c>
      <c r="E332" s="2">
        <v>2</v>
      </c>
      <c r="F332" s="2" t="s">
        <v>3</v>
      </c>
      <c r="G332" s="2" t="str">
        <f>Table13[[#This Row],[Month]]&amp;", "&amp;Table13[[#This Row],[FY]]</f>
        <v>OCT, FY25</v>
      </c>
      <c r="H332" s="2" t="str">
        <f>Table13[[#This Row],[Week]]&amp;", "&amp;Table13[[#This Row],[Month]]&amp;" "&amp;Table13[[#This Row],[FY]]</f>
        <v>Week 17, OCT FY25</v>
      </c>
      <c r="I332" s="2" t="str">
        <f>Table13[[#This Row],[Month]]&amp;", "&amp;Table13[[#This Row],[FY]]</f>
        <v>OCT, FY25</v>
      </c>
      <c r="J332" s="2" t="str">
        <f>"Q"&amp;Table13[[#This Row],[QTR]]&amp;", "&amp;Table13[[#This Row],[FY]]</f>
        <v>Q2, FY25</v>
      </c>
    </row>
    <row r="333" spans="1:10" x14ac:dyDescent="0.25">
      <c r="A333" s="1">
        <f t="shared" si="26"/>
        <v>45593</v>
      </c>
      <c r="B333" s="1">
        <f t="shared" si="26"/>
        <v>45599</v>
      </c>
      <c r="C333" s="2" t="s">
        <v>1111</v>
      </c>
      <c r="D333" s="2" t="s">
        <v>1112</v>
      </c>
      <c r="E333" s="2">
        <v>2</v>
      </c>
      <c r="F333" s="2" t="s">
        <v>3</v>
      </c>
      <c r="G333" s="2" t="str">
        <f>Table13[[#This Row],[Month]]&amp;", "&amp;Table13[[#This Row],[FY]]</f>
        <v>NOV, FY25</v>
      </c>
      <c r="H333" s="2" t="str">
        <f>Table13[[#This Row],[Week]]&amp;", "&amp;Table13[[#This Row],[Month]]&amp;" "&amp;Table13[[#This Row],[FY]]</f>
        <v>Week 18, NOV FY25</v>
      </c>
      <c r="I333" s="2" t="str">
        <f>Table13[[#This Row],[Month]]&amp;", "&amp;Table13[[#This Row],[FY]]</f>
        <v>NOV, FY25</v>
      </c>
      <c r="J333" s="2" t="str">
        <f>"Q"&amp;Table13[[#This Row],[QTR]]&amp;", "&amp;Table13[[#This Row],[FY]]</f>
        <v>Q2, FY25</v>
      </c>
    </row>
    <row r="334" spans="1:10" x14ac:dyDescent="0.25">
      <c r="A334" s="1">
        <f t="shared" si="26"/>
        <v>45600</v>
      </c>
      <c r="B334" s="1">
        <f t="shared" si="26"/>
        <v>45606</v>
      </c>
      <c r="C334" s="2" t="s">
        <v>1113</v>
      </c>
      <c r="D334" s="2" t="s">
        <v>1112</v>
      </c>
      <c r="E334" s="2">
        <v>2</v>
      </c>
      <c r="F334" s="2" t="s">
        <v>3</v>
      </c>
      <c r="G334" s="2" t="str">
        <f>Table13[[#This Row],[Month]]&amp;", "&amp;Table13[[#This Row],[FY]]</f>
        <v>NOV, FY25</v>
      </c>
      <c r="H334" s="2" t="str">
        <f>Table13[[#This Row],[Week]]&amp;", "&amp;Table13[[#This Row],[Month]]&amp;" "&amp;Table13[[#This Row],[FY]]</f>
        <v>Week 19, NOV FY25</v>
      </c>
      <c r="I334" s="2" t="str">
        <f>Table13[[#This Row],[Month]]&amp;", "&amp;Table13[[#This Row],[FY]]</f>
        <v>NOV, FY25</v>
      </c>
      <c r="J334" s="2" t="str">
        <f>"Q"&amp;Table13[[#This Row],[QTR]]&amp;", "&amp;Table13[[#This Row],[FY]]</f>
        <v>Q2, FY25</v>
      </c>
    </row>
    <row r="335" spans="1:10" x14ac:dyDescent="0.25">
      <c r="A335" s="1">
        <f t="shared" si="26"/>
        <v>45607</v>
      </c>
      <c r="B335" s="1">
        <f t="shared" si="26"/>
        <v>45613</v>
      </c>
      <c r="C335" s="2" t="s">
        <v>1114</v>
      </c>
      <c r="D335" s="2" t="s">
        <v>1112</v>
      </c>
      <c r="E335" s="2">
        <v>2</v>
      </c>
      <c r="F335" s="2" t="s">
        <v>3</v>
      </c>
      <c r="G335" s="2" t="str">
        <f>Table13[[#This Row],[Month]]&amp;", "&amp;Table13[[#This Row],[FY]]</f>
        <v>NOV, FY25</v>
      </c>
      <c r="H335" s="2" t="str">
        <f>Table13[[#This Row],[Week]]&amp;", "&amp;Table13[[#This Row],[Month]]&amp;" "&amp;Table13[[#This Row],[FY]]</f>
        <v>Week 20, NOV FY25</v>
      </c>
      <c r="I335" s="2" t="str">
        <f>Table13[[#This Row],[Month]]&amp;", "&amp;Table13[[#This Row],[FY]]</f>
        <v>NOV, FY25</v>
      </c>
      <c r="J335" s="2" t="str">
        <f>"Q"&amp;Table13[[#This Row],[QTR]]&amp;", "&amp;Table13[[#This Row],[FY]]</f>
        <v>Q2, FY25</v>
      </c>
    </row>
    <row r="336" spans="1:10" x14ac:dyDescent="0.25">
      <c r="A336" s="1">
        <f t="shared" ref="A336:B351" si="27">A335+7</f>
        <v>45614</v>
      </c>
      <c r="B336" s="1">
        <f t="shared" si="27"/>
        <v>45620</v>
      </c>
      <c r="C336" s="2" t="s">
        <v>1115</v>
      </c>
      <c r="D336" s="2" t="s">
        <v>1112</v>
      </c>
      <c r="E336" s="2">
        <v>2</v>
      </c>
      <c r="F336" s="2" t="s">
        <v>3</v>
      </c>
      <c r="G336" s="2" t="str">
        <f>Table13[[#This Row],[Month]]&amp;", "&amp;Table13[[#This Row],[FY]]</f>
        <v>NOV, FY25</v>
      </c>
      <c r="H336" s="2" t="str">
        <f>Table13[[#This Row],[Week]]&amp;", "&amp;Table13[[#This Row],[Month]]&amp;" "&amp;Table13[[#This Row],[FY]]</f>
        <v>Week 21, NOV FY25</v>
      </c>
      <c r="I336" s="2" t="str">
        <f>Table13[[#This Row],[Month]]&amp;", "&amp;Table13[[#This Row],[FY]]</f>
        <v>NOV, FY25</v>
      </c>
      <c r="J336" s="2" t="str">
        <f>"Q"&amp;Table13[[#This Row],[QTR]]&amp;", "&amp;Table13[[#This Row],[FY]]</f>
        <v>Q2, FY25</v>
      </c>
    </row>
    <row r="337" spans="1:10" x14ac:dyDescent="0.25">
      <c r="A337" s="1">
        <f t="shared" si="27"/>
        <v>45621</v>
      </c>
      <c r="B337" s="1">
        <f t="shared" si="27"/>
        <v>45627</v>
      </c>
      <c r="C337" s="2" t="s">
        <v>1116</v>
      </c>
      <c r="D337" s="2" t="s">
        <v>1112</v>
      </c>
      <c r="E337" s="2">
        <v>2</v>
      </c>
      <c r="F337" s="2" t="s">
        <v>3</v>
      </c>
      <c r="G337" s="2" t="str">
        <f>Table13[[#This Row],[Month]]&amp;", "&amp;Table13[[#This Row],[FY]]</f>
        <v>NOV, FY25</v>
      </c>
      <c r="H337" s="2" t="str">
        <f>Table13[[#This Row],[Week]]&amp;", "&amp;Table13[[#This Row],[Month]]&amp;" "&amp;Table13[[#This Row],[FY]]</f>
        <v>Week 22, NOV FY25</v>
      </c>
      <c r="I337" s="2" t="str">
        <f>Table13[[#This Row],[Month]]&amp;", "&amp;Table13[[#This Row],[FY]]</f>
        <v>NOV, FY25</v>
      </c>
      <c r="J337" s="2" t="str">
        <f>"Q"&amp;Table13[[#This Row],[QTR]]&amp;", "&amp;Table13[[#This Row],[FY]]</f>
        <v>Q2, FY25</v>
      </c>
    </row>
    <row r="338" spans="1:10" x14ac:dyDescent="0.25">
      <c r="A338" s="1">
        <f t="shared" si="27"/>
        <v>45628</v>
      </c>
      <c r="B338" s="1">
        <f t="shared" si="27"/>
        <v>45634</v>
      </c>
      <c r="C338" s="2" t="s">
        <v>1117</v>
      </c>
      <c r="D338" s="2" t="s">
        <v>1118</v>
      </c>
      <c r="E338" s="2">
        <v>2</v>
      </c>
      <c r="F338" s="2" t="s">
        <v>3</v>
      </c>
      <c r="G338" s="2" t="str">
        <f>Table13[[#This Row],[Month]]&amp;", "&amp;Table13[[#This Row],[FY]]</f>
        <v>DEC, FY25</v>
      </c>
      <c r="H338" s="2" t="str">
        <f>Table13[[#This Row],[Week]]&amp;", "&amp;Table13[[#This Row],[Month]]&amp;" "&amp;Table13[[#This Row],[FY]]</f>
        <v>Week 23, DEC FY25</v>
      </c>
      <c r="I338" s="2" t="str">
        <f>Table13[[#This Row],[Month]]&amp;", "&amp;Table13[[#This Row],[FY]]</f>
        <v>DEC, FY25</v>
      </c>
      <c r="J338" s="2" t="str">
        <f>"Q"&amp;Table13[[#This Row],[QTR]]&amp;", "&amp;Table13[[#This Row],[FY]]</f>
        <v>Q2, FY25</v>
      </c>
    </row>
    <row r="339" spans="1:10" x14ac:dyDescent="0.25">
      <c r="A339" s="1">
        <f t="shared" si="27"/>
        <v>45635</v>
      </c>
      <c r="B339" s="1">
        <f t="shared" si="27"/>
        <v>45641</v>
      </c>
      <c r="C339" s="2" t="s">
        <v>1119</v>
      </c>
      <c r="D339" s="2" t="s">
        <v>1118</v>
      </c>
      <c r="E339" s="2">
        <v>2</v>
      </c>
      <c r="F339" s="2" t="s">
        <v>3</v>
      </c>
      <c r="G339" s="2" t="str">
        <f>Table13[[#This Row],[Month]]&amp;", "&amp;Table13[[#This Row],[FY]]</f>
        <v>DEC, FY25</v>
      </c>
      <c r="H339" s="2" t="str">
        <f>Table13[[#This Row],[Week]]&amp;", "&amp;Table13[[#This Row],[Month]]&amp;" "&amp;Table13[[#This Row],[FY]]</f>
        <v>Week 24, DEC FY25</v>
      </c>
      <c r="I339" s="2" t="str">
        <f>Table13[[#This Row],[Month]]&amp;", "&amp;Table13[[#This Row],[FY]]</f>
        <v>DEC, FY25</v>
      </c>
      <c r="J339" s="2" t="str">
        <f>"Q"&amp;Table13[[#This Row],[QTR]]&amp;", "&amp;Table13[[#This Row],[FY]]</f>
        <v>Q2, FY25</v>
      </c>
    </row>
    <row r="340" spans="1:10" x14ac:dyDescent="0.25">
      <c r="A340" s="1">
        <f t="shared" si="27"/>
        <v>45642</v>
      </c>
      <c r="B340" s="1">
        <f t="shared" si="27"/>
        <v>45648</v>
      </c>
      <c r="C340" s="2" t="s">
        <v>1120</v>
      </c>
      <c r="D340" s="2" t="s">
        <v>1118</v>
      </c>
      <c r="E340" s="2">
        <v>2</v>
      </c>
      <c r="F340" s="2" t="s">
        <v>3</v>
      </c>
      <c r="G340" s="2" t="str">
        <f>Table13[[#This Row],[Month]]&amp;", "&amp;Table13[[#This Row],[FY]]</f>
        <v>DEC, FY25</v>
      </c>
      <c r="H340" s="2" t="str">
        <f>Table13[[#This Row],[Week]]&amp;", "&amp;Table13[[#This Row],[Month]]&amp;" "&amp;Table13[[#This Row],[FY]]</f>
        <v>Week 25, DEC FY25</v>
      </c>
      <c r="I340" s="2" t="str">
        <f>Table13[[#This Row],[Month]]&amp;", "&amp;Table13[[#This Row],[FY]]</f>
        <v>DEC, FY25</v>
      </c>
      <c r="J340" s="2" t="str">
        <f>"Q"&amp;Table13[[#This Row],[QTR]]&amp;", "&amp;Table13[[#This Row],[FY]]</f>
        <v>Q2, FY25</v>
      </c>
    </row>
    <row r="341" spans="1:10" x14ac:dyDescent="0.25">
      <c r="A341" s="1">
        <f t="shared" si="27"/>
        <v>45649</v>
      </c>
      <c r="B341" s="1">
        <f t="shared" si="27"/>
        <v>45655</v>
      </c>
      <c r="C341" s="2" t="s">
        <v>1121</v>
      </c>
      <c r="D341" s="2" t="s">
        <v>1118</v>
      </c>
      <c r="E341" s="2">
        <v>2</v>
      </c>
      <c r="F341" s="2" t="s">
        <v>3</v>
      </c>
      <c r="G341" s="2" t="str">
        <f>Table13[[#This Row],[Month]]&amp;", "&amp;Table13[[#This Row],[FY]]</f>
        <v>DEC, FY25</v>
      </c>
      <c r="H341" s="2" t="str">
        <f>Table13[[#This Row],[Week]]&amp;", "&amp;Table13[[#This Row],[Month]]&amp;" "&amp;Table13[[#This Row],[FY]]</f>
        <v>Week 26, DEC FY25</v>
      </c>
      <c r="I341" s="2" t="str">
        <f>Table13[[#This Row],[Month]]&amp;", "&amp;Table13[[#This Row],[FY]]</f>
        <v>DEC, FY25</v>
      </c>
      <c r="J341" s="2" t="str">
        <f>"Q"&amp;Table13[[#This Row],[QTR]]&amp;", "&amp;Table13[[#This Row],[FY]]</f>
        <v>Q2, FY25</v>
      </c>
    </row>
    <row r="342" spans="1:10" x14ac:dyDescent="0.25">
      <c r="A342" s="1">
        <f t="shared" si="27"/>
        <v>45656</v>
      </c>
      <c r="B342" s="1">
        <f t="shared" si="27"/>
        <v>45662</v>
      </c>
      <c r="C342" s="2" t="s">
        <v>1122</v>
      </c>
      <c r="D342" s="2" t="s">
        <v>1123</v>
      </c>
      <c r="E342" s="2">
        <v>3</v>
      </c>
      <c r="F342" s="2" t="s">
        <v>3</v>
      </c>
      <c r="G342" s="2" t="str">
        <f>Table13[[#This Row],[Month]]&amp;", "&amp;Table13[[#This Row],[FY]]</f>
        <v>JAN, FY25</v>
      </c>
      <c r="H342" s="2" t="str">
        <f>Table13[[#This Row],[Week]]&amp;", "&amp;Table13[[#This Row],[Month]]&amp;" "&amp;Table13[[#This Row],[FY]]</f>
        <v>Week 27, JAN FY25</v>
      </c>
      <c r="I342" s="2" t="str">
        <f>Table13[[#This Row],[Month]]&amp;", "&amp;Table13[[#This Row],[FY]]</f>
        <v>JAN, FY25</v>
      </c>
      <c r="J342" s="2" t="str">
        <f>"Q"&amp;Table13[[#This Row],[QTR]]&amp;", "&amp;Table13[[#This Row],[FY]]</f>
        <v>Q3, FY25</v>
      </c>
    </row>
    <row r="343" spans="1:10" x14ac:dyDescent="0.25">
      <c r="A343" s="1">
        <f t="shared" si="27"/>
        <v>45663</v>
      </c>
      <c r="B343" s="1">
        <f t="shared" si="27"/>
        <v>45669</v>
      </c>
      <c r="C343" s="2" t="s">
        <v>1124</v>
      </c>
      <c r="D343" s="2" t="s">
        <v>1123</v>
      </c>
      <c r="E343" s="2">
        <v>3</v>
      </c>
      <c r="F343" s="2" t="s">
        <v>3</v>
      </c>
      <c r="G343" s="2" t="str">
        <f>Table13[[#This Row],[Month]]&amp;", "&amp;Table13[[#This Row],[FY]]</f>
        <v>JAN, FY25</v>
      </c>
      <c r="H343" s="2" t="str">
        <f>Table13[[#This Row],[Week]]&amp;", "&amp;Table13[[#This Row],[Month]]&amp;" "&amp;Table13[[#This Row],[FY]]</f>
        <v>Week 28, JAN FY25</v>
      </c>
      <c r="I343" s="2" t="str">
        <f>Table13[[#This Row],[Month]]&amp;", "&amp;Table13[[#This Row],[FY]]</f>
        <v>JAN, FY25</v>
      </c>
      <c r="J343" s="2" t="str">
        <f>"Q"&amp;Table13[[#This Row],[QTR]]&amp;", "&amp;Table13[[#This Row],[FY]]</f>
        <v>Q3, FY25</v>
      </c>
    </row>
    <row r="344" spans="1:10" x14ac:dyDescent="0.25">
      <c r="A344" s="1">
        <f t="shared" si="27"/>
        <v>45670</v>
      </c>
      <c r="B344" s="1">
        <f t="shared" si="27"/>
        <v>45676</v>
      </c>
      <c r="C344" s="2" t="s">
        <v>1125</v>
      </c>
      <c r="D344" s="2" t="s">
        <v>1123</v>
      </c>
      <c r="E344" s="2">
        <v>3</v>
      </c>
      <c r="F344" s="2" t="s">
        <v>3</v>
      </c>
      <c r="G344" s="2" t="str">
        <f>Table13[[#This Row],[Month]]&amp;", "&amp;Table13[[#This Row],[FY]]</f>
        <v>JAN, FY25</v>
      </c>
      <c r="H344" s="2" t="str">
        <f>Table13[[#This Row],[Week]]&amp;", "&amp;Table13[[#This Row],[Month]]&amp;" "&amp;Table13[[#This Row],[FY]]</f>
        <v>Week 29, JAN FY25</v>
      </c>
      <c r="I344" s="2" t="str">
        <f>Table13[[#This Row],[Month]]&amp;", "&amp;Table13[[#This Row],[FY]]</f>
        <v>JAN, FY25</v>
      </c>
      <c r="J344" s="2" t="str">
        <f>"Q"&amp;Table13[[#This Row],[QTR]]&amp;", "&amp;Table13[[#This Row],[FY]]</f>
        <v>Q3, FY25</v>
      </c>
    </row>
    <row r="345" spans="1:10" x14ac:dyDescent="0.25">
      <c r="A345" s="1">
        <f t="shared" si="27"/>
        <v>45677</v>
      </c>
      <c r="B345" s="1">
        <f t="shared" si="27"/>
        <v>45683</v>
      </c>
      <c r="C345" s="2" t="s">
        <v>1126</v>
      </c>
      <c r="D345" s="2" t="s">
        <v>1123</v>
      </c>
      <c r="E345" s="2">
        <v>3</v>
      </c>
      <c r="F345" s="2" t="s">
        <v>3</v>
      </c>
      <c r="G345" s="2" t="str">
        <f>Table13[[#This Row],[Month]]&amp;", "&amp;Table13[[#This Row],[FY]]</f>
        <v>JAN, FY25</v>
      </c>
      <c r="H345" s="2" t="str">
        <f>Table13[[#This Row],[Week]]&amp;", "&amp;Table13[[#This Row],[Month]]&amp;" "&amp;Table13[[#This Row],[FY]]</f>
        <v>Week 30, JAN FY25</v>
      </c>
      <c r="I345" s="2" t="str">
        <f>Table13[[#This Row],[Month]]&amp;", "&amp;Table13[[#This Row],[FY]]</f>
        <v>JAN, FY25</v>
      </c>
      <c r="J345" s="2" t="str">
        <f>"Q"&amp;Table13[[#This Row],[QTR]]&amp;", "&amp;Table13[[#This Row],[FY]]</f>
        <v>Q3, FY25</v>
      </c>
    </row>
    <row r="346" spans="1:10" x14ac:dyDescent="0.25">
      <c r="A346" s="1">
        <f t="shared" si="27"/>
        <v>45684</v>
      </c>
      <c r="B346" s="1">
        <f t="shared" si="27"/>
        <v>45690</v>
      </c>
      <c r="C346" s="2" t="s">
        <v>1127</v>
      </c>
      <c r="D346" s="2" t="s">
        <v>1128</v>
      </c>
      <c r="E346" s="2">
        <v>3</v>
      </c>
      <c r="F346" s="2" t="s">
        <v>3</v>
      </c>
      <c r="G346" s="2" t="str">
        <f>Table13[[#This Row],[Month]]&amp;", "&amp;Table13[[#This Row],[FY]]</f>
        <v>FEB, FY25</v>
      </c>
      <c r="H346" s="2" t="str">
        <f>Table13[[#This Row],[Week]]&amp;", "&amp;Table13[[#This Row],[Month]]&amp;" "&amp;Table13[[#This Row],[FY]]</f>
        <v>Week 31, FEB FY25</v>
      </c>
      <c r="I346" s="2" t="str">
        <f>Table13[[#This Row],[Month]]&amp;", "&amp;Table13[[#This Row],[FY]]</f>
        <v>FEB, FY25</v>
      </c>
      <c r="J346" s="2" t="str">
        <f>"Q"&amp;Table13[[#This Row],[QTR]]&amp;", "&amp;Table13[[#This Row],[FY]]</f>
        <v>Q3, FY25</v>
      </c>
    </row>
    <row r="347" spans="1:10" x14ac:dyDescent="0.25">
      <c r="A347" s="1">
        <f t="shared" si="27"/>
        <v>45691</v>
      </c>
      <c r="B347" s="1">
        <f t="shared" si="27"/>
        <v>45697</v>
      </c>
      <c r="C347" s="2" t="s">
        <v>1129</v>
      </c>
      <c r="D347" s="2" t="s">
        <v>1128</v>
      </c>
      <c r="E347" s="2">
        <v>3</v>
      </c>
      <c r="F347" s="2" t="s">
        <v>3</v>
      </c>
      <c r="G347" s="2" t="str">
        <f>Table13[[#This Row],[Month]]&amp;", "&amp;Table13[[#This Row],[FY]]</f>
        <v>FEB, FY25</v>
      </c>
      <c r="H347" s="2" t="str">
        <f>Table13[[#This Row],[Week]]&amp;", "&amp;Table13[[#This Row],[Month]]&amp;" "&amp;Table13[[#This Row],[FY]]</f>
        <v>Week 32, FEB FY25</v>
      </c>
      <c r="I347" s="2" t="str">
        <f>Table13[[#This Row],[Month]]&amp;", "&amp;Table13[[#This Row],[FY]]</f>
        <v>FEB, FY25</v>
      </c>
      <c r="J347" s="2" t="str">
        <f>"Q"&amp;Table13[[#This Row],[QTR]]&amp;", "&amp;Table13[[#This Row],[FY]]</f>
        <v>Q3, FY25</v>
      </c>
    </row>
    <row r="348" spans="1:10" x14ac:dyDescent="0.25">
      <c r="A348" s="1">
        <f t="shared" si="27"/>
        <v>45698</v>
      </c>
      <c r="B348" s="1">
        <f t="shared" si="27"/>
        <v>45704</v>
      </c>
      <c r="C348" s="2" t="s">
        <v>1130</v>
      </c>
      <c r="D348" s="2" t="s">
        <v>1128</v>
      </c>
      <c r="E348" s="2">
        <v>3</v>
      </c>
      <c r="F348" s="2" t="s">
        <v>3</v>
      </c>
      <c r="G348" s="2" t="str">
        <f>Table13[[#This Row],[Month]]&amp;", "&amp;Table13[[#This Row],[FY]]</f>
        <v>FEB, FY25</v>
      </c>
      <c r="H348" s="2" t="str">
        <f>Table13[[#This Row],[Week]]&amp;", "&amp;Table13[[#This Row],[Month]]&amp;" "&amp;Table13[[#This Row],[FY]]</f>
        <v>Week 33, FEB FY25</v>
      </c>
      <c r="I348" s="2" t="str">
        <f>Table13[[#This Row],[Month]]&amp;", "&amp;Table13[[#This Row],[FY]]</f>
        <v>FEB, FY25</v>
      </c>
      <c r="J348" s="2" t="str">
        <f>"Q"&amp;Table13[[#This Row],[QTR]]&amp;", "&amp;Table13[[#This Row],[FY]]</f>
        <v>Q3, FY25</v>
      </c>
    </row>
    <row r="349" spans="1:10" x14ac:dyDescent="0.25">
      <c r="A349" s="1">
        <f t="shared" si="27"/>
        <v>45705</v>
      </c>
      <c r="B349" s="1">
        <f t="shared" si="27"/>
        <v>45711</v>
      </c>
      <c r="C349" s="2" t="s">
        <v>1131</v>
      </c>
      <c r="D349" s="2" t="s">
        <v>1128</v>
      </c>
      <c r="E349" s="2">
        <v>3</v>
      </c>
      <c r="F349" s="2" t="s">
        <v>3</v>
      </c>
      <c r="G349" s="2" t="str">
        <f>Table13[[#This Row],[Month]]&amp;", "&amp;Table13[[#This Row],[FY]]</f>
        <v>FEB, FY25</v>
      </c>
      <c r="H349" s="2" t="str">
        <f>Table13[[#This Row],[Week]]&amp;", "&amp;Table13[[#This Row],[Month]]&amp;" "&amp;Table13[[#This Row],[FY]]</f>
        <v>Week 34, FEB FY25</v>
      </c>
      <c r="I349" s="2" t="str">
        <f>Table13[[#This Row],[Month]]&amp;", "&amp;Table13[[#This Row],[FY]]</f>
        <v>FEB, FY25</v>
      </c>
      <c r="J349" s="2" t="str">
        <f>"Q"&amp;Table13[[#This Row],[QTR]]&amp;", "&amp;Table13[[#This Row],[FY]]</f>
        <v>Q3, FY25</v>
      </c>
    </row>
    <row r="350" spans="1:10" x14ac:dyDescent="0.25">
      <c r="A350" s="1">
        <f t="shared" si="27"/>
        <v>45712</v>
      </c>
      <c r="B350" s="1">
        <f t="shared" si="27"/>
        <v>45718</v>
      </c>
      <c r="C350" s="2" t="s">
        <v>1132</v>
      </c>
      <c r="D350" s="2" t="s">
        <v>1128</v>
      </c>
      <c r="E350" s="2">
        <v>3</v>
      </c>
      <c r="F350" s="2" t="s">
        <v>3</v>
      </c>
      <c r="G350" s="2" t="str">
        <f>Table13[[#This Row],[Month]]&amp;", "&amp;Table13[[#This Row],[FY]]</f>
        <v>FEB, FY25</v>
      </c>
      <c r="H350" s="2" t="str">
        <f>Table13[[#This Row],[Week]]&amp;", "&amp;Table13[[#This Row],[Month]]&amp;" "&amp;Table13[[#This Row],[FY]]</f>
        <v>Week 35, FEB FY25</v>
      </c>
      <c r="I350" s="2" t="str">
        <f>Table13[[#This Row],[Month]]&amp;", "&amp;Table13[[#This Row],[FY]]</f>
        <v>FEB, FY25</v>
      </c>
      <c r="J350" s="2" t="str">
        <f>"Q"&amp;Table13[[#This Row],[QTR]]&amp;", "&amp;Table13[[#This Row],[FY]]</f>
        <v>Q3, FY25</v>
      </c>
    </row>
    <row r="351" spans="1:10" x14ac:dyDescent="0.25">
      <c r="A351" s="1">
        <f t="shared" si="27"/>
        <v>45719</v>
      </c>
      <c r="B351" s="1">
        <f t="shared" si="27"/>
        <v>45725</v>
      </c>
      <c r="C351" s="2" t="s">
        <v>1133</v>
      </c>
      <c r="D351" s="2" t="s">
        <v>1134</v>
      </c>
      <c r="E351" s="2">
        <v>3</v>
      </c>
      <c r="F351" s="2" t="s">
        <v>3</v>
      </c>
      <c r="G351" s="2" t="str">
        <f>Table13[[#This Row],[Month]]&amp;", "&amp;Table13[[#This Row],[FY]]</f>
        <v>MAR, FY25</v>
      </c>
      <c r="H351" s="2" t="str">
        <f>Table13[[#This Row],[Week]]&amp;", "&amp;Table13[[#This Row],[Month]]&amp;" "&amp;Table13[[#This Row],[FY]]</f>
        <v>Week 36, MAR FY25</v>
      </c>
      <c r="I351" s="2" t="str">
        <f>Table13[[#This Row],[Month]]&amp;", "&amp;Table13[[#This Row],[FY]]</f>
        <v>MAR, FY25</v>
      </c>
      <c r="J351" s="2" t="str">
        <f>"Q"&amp;Table13[[#This Row],[QTR]]&amp;", "&amp;Table13[[#This Row],[FY]]</f>
        <v>Q3, FY25</v>
      </c>
    </row>
    <row r="352" spans="1:10" x14ac:dyDescent="0.25">
      <c r="A352" s="1">
        <f t="shared" ref="A352:B367" si="28">A351+7</f>
        <v>45726</v>
      </c>
      <c r="B352" s="1">
        <f t="shared" si="28"/>
        <v>45732</v>
      </c>
      <c r="C352" s="2" t="s">
        <v>1135</v>
      </c>
      <c r="D352" s="2" t="s">
        <v>1134</v>
      </c>
      <c r="E352" s="2">
        <v>3</v>
      </c>
      <c r="F352" s="2" t="s">
        <v>3</v>
      </c>
      <c r="G352" s="2" t="str">
        <f>Table13[[#This Row],[Month]]&amp;", "&amp;Table13[[#This Row],[FY]]</f>
        <v>MAR, FY25</v>
      </c>
      <c r="H352" s="2" t="str">
        <f>Table13[[#This Row],[Week]]&amp;", "&amp;Table13[[#This Row],[Month]]&amp;" "&amp;Table13[[#This Row],[FY]]</f>
        <v>Week 37, MAR FY25</v>
      </c>
      <c r="I352" s="2" t="str">
        <f>Table13[[#This Row],[Month]]&amp;", "&amp;Table13[[#This Row],[FY]]</f>
        <v>MAR, FY25</v>
      </c>
      <c r="J352" s="2" t="str">
        <f>"Q"&amp;Table13[[#This Row],[QTR]]&amp;", "&amp;Table13[[#This Row],[FY]]</f>
        <v>Q3, FY25</v>
      </c>
    </row>
    <row r="353" spans="1:10" x14ac:dyDescent="0.25">
      <c r="A353" s="1">
        <f t="shared" si="28"/>
        <v>45733</v>
      </c>
      <c r="B353" s="1">
        <f t="shared" si="28"/>
        <v>45739</v>
      </c>
      <c r="C353" s="2" t="s">
        <v>1136</v>
      </c>
      <c r="D353" s="2" t="s">
        <v>1134</v>
      </c>
      <c r="E353" s="2">
        <v>3</v>
      </c>
      <c r="F353" s="2" t="s">
        <v>3</v>
      </c>
      <c r="G353" s="2" t="str">
        <f>Table13[[#This Row],[Month]]&amp;", "&amp;Table13[[#This Row],[FY]]</f>
        <v>MAR, FY25</v>
      </c>
      <c r="H353" s="2" t="str">
        <f>Table13[[#This Row],[Week]]&amp;", "&amp;Table13[[#This Row],[Month]]&amp;" "&amp;Table13[[#This Row],[FY]]</f>
        <v>Week 38, MAR FY25</v>
      </c>
      <c r="I353" s="2" t="str">
        <f>Table13[[#This Row],[Month]]&amp;", "&amp;Table13[[#This Row],[FY]]</f>
        <v>MAR, FY25</v>
      </c>
      <c r="J353" s="2" t="str">
        <f>"Q"&amp;Table13[[#This Row],[QTR]]&amp;", "&amp;Table13[[#This Row],[FY]]</f>
        <v>Q3, FY25</v>
      </c>
    </row>
    <row r="354" spans="1:10" x14ac:dyDescent="0.25">
      <c r="A354" s="1">
        <f t="shared" si="28"/>
        <v>45740</v>
      </c>
      <c r="B354" s="1">
        <f t="shared" si="28"/>
        <v>45746</v>
      </c>
      <c r="C354" s="2" t="s">
        <v>1137</v>
      </c>
      <c r="D354" s="2" t="s">
        <v>1134</v>
      </c>
      <c r="E354" s="2">
        <v>3</v>
      </c>
      <c r="F354" s="2" t="s">
        <v>3</v>
      </c>
      <c r="G354" s="2" t="str">
        <f>Table13[[#This Row],[Month]]&amp;", "&amp;Table13[[#This Row],[FY]]</f>
        <v>MAR, FY25</v>
      </c>
      <c r="H354" s="2" t="str">
        <f>Table13[[#This Row],[Week]]&amp;", "&amp;Table13[[#This Row],[Month]]&amp;" "&amp;Table13[[#This Row],[FY]]</f>
        <v>Week 39, MAR FY25</v>
      </c>
      <c r="I354" s="2" t="str">
        <f>Table13[[#This Row],[Month]]&amp;", "&amp;Table13[[#This Row],[FY]]</f>
        <v>MAR, FY25</v>
      </c>
      <c r="J354" s="2" t="str">
        <f>"Q"&amp;Table13[[#This Row],[QTR]]&amp;", "&amp;Table13[[#This Row],[FY]]</f>
        <v>Q3, FY25</v>
      </c>
    </row>
    <row r="355" spans="1:10" x14ac:dyDescent="0.25">
      <c r="A355" s="1">
        <f t="shared" si="28"/>
        <v>45747</v>
      </c>
      <c r="B355" s="1">
        <f t="shared" si="28"/>
        <v>45753</v>
      </c>
      <c r="C355" s="2" t="s">
        <v>1138</v>
      </c>
      <c r="D355" s="2" t="s">
        <v>1139</v>
      </c>
      <c r="E355" s="2">
        <v>4</v>
      </c>
      <c r="F355" s="2" t="s">
        <v>3</v>
      </c>
      <c r="G355" s="2" t="str">
        <f>Table13[[#This Row],[Month]]&amp;", "&amp;Table13[[#This Row],[FY]]</f>
        <v>APR, FY25</v>
      </c>
      <c r="H355" s="2" t="str">
        <f>Table13[[#This Row],[Week]]&amp;", "&amp;Table13[[#This Row],[Month]]&amp;" "&amp;Table13[[#This Row],[FY]]</f>
        <v>Week 40, APR FY25</v>
      </c>
      <c r="I355" s="2" t="str">
        <f>Table13[[#This Row],[Month]]&amp;", "&amp;Table13[[#This Row],[FY]]</f>
        <v>APR, FY25</v>
      </c>
      <c r="J355" s="2" t="str">
        <f>"Q"&amp;Table13[[#This Row],[QTR]]&amp;", "&amp;Table13[[#This Row],[FY]]</f>
        <v>Q4, FY25</v>
      </c>
    </row>
    <row r="356" spans="1:10" x14ac:dyDescent="0.25">
      <c r="A356" s="1">
        <f t="shared" si="28"/>
        <v>45754</v>
      </c>
      <c r="B356" s="1">
        <f t="shared" si="28"/>
        <v>45760</v>
      </c>
      <c r="C356" s="2" t="s">
        <v>1140</v>
      </c>
      <c r="D356" s="2" t="s">
        <v>1139</v>
      </c>
      <c r="E356" s="2">
        <v>4</v>
      </c>
      <c r="F356" s="2" t="s">
        <v>3</v>
      </c>
      <c r="G356" s="2" t="str">
        <f>Table13[[#This Row],[Month]]&amp;", "&amp;Table13[[#This Row],[FY]]</f>
        <v>APR, FY25</v>
      </c>
      <c r="H356" s="2" t="str">
        <f>Table13[[#This Row],[Week]]&amp;", "&amp;Table13[[#This Row],[Month]]&amp;" "&amp;Table13[[#This Row],[FY]]</f>
        <v>Week 41, APR FY25</v>
      </c>
      <c r="I356" s="2" t="str">
        <f>Table13[[#This Row],[Month]]&amp;", "&amp;Table13[[#This Row],[FY]]</f>
        <v>APR, FY25</v>
      </c>
      <c r="J356" s="2" t="str">
        <f>"Q"&amp;Table13[[#This Row],[QTR]]&amp;", "&amp;Table13[[#This Row],[FY]]</f>
        <v>Q4, FY25</v>
      </c>
    </row>
    <row r="357" spans="1:10" x14ac:dyDescent="0.25">
      <c r="A357" s="1">
        <f t="shared" si="28"/>
        <v>45761</v>
      </c>
      <c r="B357" s="1">
        <f t="shared" si="28"/>
        <v>45767</v>
      </c>
      <c r="C357" s="2" t="s">
        <v>1141</v>
      </c>
      <c r="D357" s="2" t="s">
        <v>1139</v>
      </c>
      <c r="E357" s="2">
        <v>4</v>
      </c>
      <c r="F357" s="2" t="s">
        <v>3</v>
      </c>
      <c r="G357" s="2" t="str">
        <f>Table13[[#This Row],[Month]]&amp;", "&amp;Table13[[#This Row],[FY]]</f>
        <v>APR, FY25</v>
      </c>
      <c r="H357" s="2" t="str">
        <f>Table13[[#This Row],[Week]]&amp;", "&amp;Table13[[#This Row],[Month]]&amp;" "&amp;Table13[[#This Row],[FY]]</f>
        <v>Week 42, APR FY25</v>
      </c>
      <c r="I357" s="2" t="str">
        <f>Table13[[#This Row],[Month]]&amp;", "&amp;Table13[[#This Row],[FY]]</f>
        <v>APR, FY25</v>
      </c>
      <c r="J357" s="2" t="str">
        <f>"Q"&amp;Table13[[#This Row],[QTR]]&amp;", "&amp;Table13[[#This Row],[FY]]</f>
        <v>Q4, FY25</v>
      </c>
    </row>
    <row r="358" spans="1:10" x14ac:dyDescent="0.25">
      <c r="A358" s="1">
        <f t="shared" si="28"/>
        <v>45768</v>
      </c>
      <c r="B358" s="1">
        <f t="shared" si="28"/>
        <v>45774</v>
      </c>
      <c r="C358" s="2" t="s">
        <v>1142</v>
      </c>
      <c r="D358" s="2" t="s">
        <v>1139</v>
      </c>
      <c r="E358" s="2">
        <v>4</v>
      </c>
      <c r="F358" s="2" t="s">
        <v>3</v>
      </c>
      <c r="G358" s="2" t="str">
        <f>Table13[[#This Row],[Month]]&amp;", "&amp;Table13[[#This Row],[FY]]</f>
        <v>APR, FY25</v>
      </c>
      <c r="H358" s="2" t="str">
        <f>Table13[[#This Row],[Week]]&amp;", "&amp;Table13[[#This Row],[Month]]&amp;" "&amp;Table13[[#This Row],[FY]]</f>
        <v>Week 43, APR FY25</v>
      </c>
      <c r="I358" s="2" t="str">
        <f>Table13[[#This Row],[Month]]&amp;", "&amp;Table13[[#This Row],[FY]]</f>
        <v>APR, FY25</v>
      </c>
      <c r="J358" s="2" t="str">
        <f>"Q"&amp;Table13[[#This Row],[QTR]]&amp;", "&amp;Table13[[#This Row],[FY]]</f>
        <v>Q4, FY25</v>
      </c>
    </row>
    <row r="359" spans="1:10" x14ac:dyDescent="0.25">
      <c r="A359" s="1">
        <f t="shared" si="28"/>
        <v>45775</v>
      </c>
      <c r="B359" s="1">
        <f t="shared" si="28"/>
        <v>45781</v>
      </c>
      <c r="C359" s="2" t="s">
        <v>1143</v>
      </c>
      <c r="D359" s="2" t="s">
        <v>6</v>
      </c>
      <c r="E359" s="2">
        <v>4</v>
      </c>
      <c r="F359" s="2" t="s">
        <v>3</v>
      </c>
      <c r="G359" s="2" t="str">
        <f>Table13[[#This Row],[Month]]&amp;", "&amp;Table13[[#This Row],[FY]]</f>
        <v>MAY, FY25</v>
      </c>
      <c r="H359" s="2" t="str">
        <f>Table13[[#This Row],[Week]]&amp;", "&amp;Table13[[#This Row],[Month]]&amp;" "&amp;Table13[[#This Row],[FY]]</f>
        <v>Week 44, MAY FY25</v>
      </c>
      <c r="I359" s="2" t="str">
        <f>Table13[[#This Row],[Month]]&amp;", "&amp;Table13[[#This Row],[FY]]</f>
        <v>MAY, FY25</v>
      </c>
      <c r="J359" s="2" t="str">
        <f>"Q"&amp;Table13[[#This Row],[QTR]]&amp;", "&amp;Table13[[#This Row],[FY]]</f>
        <v>Q4, FY25</v>
      </c>
    </row>
    <row r="360" spans="1:10" x14ac:dyDescent="0.25">
      <c r="A360" s="1">
        <f t="shared" si="28"/>
        <v>45782</v>
      </c>
      <c r="B360" s="1">
        <f t="shared" si="28"/>
        <v>45788</v>
      </c>
      <c r="C360" s="2" t="s">
        <v>1144</v>
      </c>
      <c r="D360" s="2" t="s">
        <v>6</v>
      </c>
      <c r="E360" s="2">
        <v>4</v>
      </c>
      <c r="F360" s="2" t="s">
        <v>3</v>
      </c>
      <c r="G360" s="2" t="str">
        <f>Table13[[#This Row],[Month]]&amp;", "&amp;Table13[[#This Row],[FY]]</f>
        <v>MAY, FY25</v>
      </c>
      <c r="H360" s="2" t="str">
        <f>Table13[[#This Row],[Week]]&amp;", "&amp;Table13[[#This Row],[Month]]&amp;" "&amp;Table13[[#This Row],[FY]]</f>
        <v>Week 45, MAY FY25</v>
      </c>
      <c r="I360" s="2" t="str">
        <f>Table13[[#This Row],[Month]]&amp;", "&amp;Table13[[#This Row],[FY]]</f>
        <v>MAY, FY25</v>
      </c>
      <c r="J360" s="2" t="str">
        <f>"Q"&amp;Table13[[#This Row],[QTR]]&amp;", "&amp;Table13[[#This Row],[FY]]</f>
        <v>Q4, FY25</v>
      </c>
    </row>
    <row r="361" spans="1:10" x14ac:dyDescent="0.25">
      <c r="A361" s="1">
        <f t="shared" si="28"/>
        <v>45789</v>
      </c>
      <c r="B361" s="1">
        <f t="shared" si="28"/>
        <v>45795</v>
      </c>
      <c r="C361" s="2" t="s">
        <v>1145</v>
      </c>
      <c r="D361" s="2" t="s">
        <v>6</v>
      </c>
      <c r="E361" s="2">
        <v>4</v>
      </c>
      <c r="F361" s="2" t="s">
        <v>3</v>
      </c>
      <c r="G361" s="2" t="str">
        <f>Table13[[#This Row],[Month]]&amp;", "&amp;Table13[[#This Row],[FY]]</f>
        <v>MAY, FY25</v>
      </c>
      <c r="H361" s="2" t="str">
        <f>Table13[[#This Row],[Week]]&amp;", "&amp;Table13[[#This Row],[Month]]&amp;" "&amp;Table13[[#This Row],[FY]]</f>
        <v>Week 46, MAY FY25</v>
      </c>
      <c r="I361" s="2" t="str">
        <f>Table13[[#This Row],[Month]]&amp;", "&amp;Table13[[#This Row],[FY]]</f>
        <v>MAY, FY25</v>
      </c>
      <c r="J361" s="2" t="str">
        <f>"Q"&amp;Table13[[#This Row],[QTR]]&amp;", "&amp;Table13[[#This Row],[FY]]</f>
        <v>Q4, FY25</v>
      </c>
    </row>
    <row r="362" spans="1:10" x14ac:dyDescent="0.25">
      <c r="A362" s="1">
        <f t="shared" si="28"/>
        <v>45796</v>
      </c>
      <c r="B362" s="1">
        <f t="shared" si="28"/>
        <v>45802</v>
      </c>
      <c r="C362" s="2" t="s">
        <v>1146</v>
      </c>
      <c r="D362" s="2" t="s">
        <v>6</v>
      </c>
      <c r="E362" s="2">
        <v>4</v>
      </c>
      <c r="F362" s="2" t="s">
        <v>3</v>
      </c>
      <c r="G362" s="2" t="str">
        <f>Table13[[#This Row],[Month]]&amp;", "&amp;Table13[[#This Row],[FY]]</f>
        <v>MAY, FY25</v>
      </c>
      <c r="H362" s="2" t="str">
        <f>Table13[[#This Row],[Week]]&amp;", "&amp;Table13[[#This Row],[Month]]&amp;" "&amp;Table13[[#This Row],[FY]]</f>
        <v>Week 47, MAY FY25</v>
      </c>
      <c r="I362" s="2" t="str">
        <f>Table13[[#This Row],[Month]]&amp;", "&amp;Table13[[#This Row],[FY]]</f>
        <v>MAY, FY25</v>
      </c>
      <c r="J362" s="2" t="str">
        <f>"Q"&amp;Table13[[#This Row],[QTR]]&amp;", "&amp;Table13[[#This Row],[FY]]</f>
        <v>Q4, FY25</v>
      </c>
    </row>
    <row r="363" spans="1:10" x14ac:dyDescent="0.25">
      <c r="A363" s="1">
        <f t="shared" si="28"/>
        <v>45803</v>
      </c>
      <c r="B363" s="1">
        <f t="shared" si="28"/>
        <v>45809</v>
      </c>
      <c r="C363" s="2" t="s">
        <v>1147</v>
      </c>
      <c r="D363" s="2" t="s">
        <v>6</v>
      </c>
      <c r="E363" s="2">
        <v>4</v>
      </c>
      <c r="F363" s="2" t="s">
        <v>3</v>
      </c>
      <c r="G363" s="2" t="str">
        <f>Table13[[#This Row],[Month]]&amp;", "&amp;Table13[[#This Row],[FY]]</f>
        <v>MAY, FY25</v>
      </c>
      <c r="H363" s="2" t="str">
        <f>Table13[[#This Row],[Week]]&amp;", "&amp;Table13[[#This Row],[Month]]&amp;" "&amp;Table13[[#This Row],[FY]]</f>
        <v>Week 48, MAY FY25</v>
      </c>
      <c r="I363" s="2" t="str">
        <f>Table13[[#This Row],[Month]]&amp;", "&amp;Table13[[#This Row],[FY]]</f>
        <v>MAY, FY25</v>
      </c>
      <c r="J363" s="2" t="str">
        <f>"Q"&amp;Table13[[#This Row],[QTR]]&amp;", "&amp;Table13[[#This Row],[FY]]</f>
        <v>Q4, FY25</v>
      </c>
    </row>
    <row r="364" spans="1:10" x14ac:dyDescent="0.25">
      <c r="A364" s="1">
        <f t="shared" si="28"/>
        <v>45810</v>
      </c>
      <c r="B364" s="1">
        <f t="shared" si="28"/>
        <v>45816</v>
      </c>
      <c r="C364" s="2" t="s">
        <v>1148</v>
      </c>
      <c r="D364" s="2" t="s">
        <v>1149</v>
      </c>
      <c r="E364" s="2">
        <v>4</v>
      </c>
      <c r="F364" s="2" t="s">
        <v>3</v>
      </c>
      <c r="G364" s="2" t="str">
        <f>Table13[[#This Row],[Month]]&amp;", "&amp;Table13[[#This Row],[FY]]</f>
        <v>JUN, FY25</v>
      </c>
      <c r="H364" s="2" t="str">
        <f>Table13[[#This Row],[Week]]&amp;", "&amp;Table13[[#This Row],[Month]]&amp;" "&amp;Table13[[#This Row],[FY]]</f>
        <v>Week 49, JUN FY25</v>
      </c>
      <c r="I364" s="2" t="str">
        <f>Table13[[#This Row],[Month]]&amp;", "&amp;Table13[[#This Row],[FY]]</f>
        <v>JUN, FY25</v>
      </c>
      <c r="J364" s="2" t="str">
        <f>"Q"&amp;Table13[[#This Row],[QTR]]&amp;", "&amp;Table13[[#This Row],[FY]]</f>
        <v>Q4, FY25</v>
      </c>
    </row>
    <row r="365" spans="1:10" x14ac:dyDescent="0.25">
      <c r="A365" s="1">
        <f t="shared" si="28"/>
        <v>45817</v>
      </c>
      <c r="B365" s="1">
        <f t="shared" si="28"/>
        <v>45823</v>
      </c>
      <c r="C365" s="2" t="s">
        <v>1150</v>
      </c>
      <c r="D365" s="2" t="s">
        <v>1149</v>
      </c>
      <c r="E365" s="2">
        <v>4</v>
      </c>
      <c r="F365" s="2" t="s">
        <v>3</v>
      </c>
      <c r="G365" s="2" t="str">
        <f>Table13[[#This Row],[Month]]&amp;", "&amp;Table13[[#This Row],[FY]]</f>
        <v>JUN, FY25</v>
      </c>
      <c r="H365" s="2" t="str">
        <f>Table13[[#This Row],[Week]]&amp;", "&amp;Table13[[#This Row],[Month]]&amp;" "&amp;Table13[[#This Row],[FY]]</f>
        <v>Week 50, JUN FY25</v>
      </c>
      <c r="I365" s="2" t="str">
        <f>Table13[[#This Row],[Month]]&amp;", "&amp;Table13[[#This Row],[FY]]</f>
        <v>JUN, FY25</v>
      </c>
      <c r="J365" s="2" t="str">
        <f>"Q"&amp;Table13[[#This Row],[QTR]]&amp;", "&amp;Table13[[#This Row],[FY]]</f>
        <v>Q4, FY25</v>
      </c>
    </row>
    <row r="366" spans="1:10" x14ac:dyDescent="0.25">
      <c r="A366" s="1">
        <f t="shared" si="28"/>
        <v>45824</v>
      </c>
      <c r="B366" s="1">
        <f t="shared" si="28"/>
        <v>45830</v>
      </c>
      <c r="C366" s="2" t="s">
        <v>1151</v>
      </c>
      <c r="D366" s="2" t="s">
        <v>1149</v>
      </c>
      <c r="E366" s="2">
        <v>4</v>
      </c>
      <c r="F366" s="2" t="s">
        <v>3</v>
      </c>
      <c r="G366" s="2" t="str">
        <f>Table13[[#This Row],[Month]]&amp;", "&amp;Table13[[#This Row],[FY]]</f>
        <v>JUN, FY25</v>
      </c>
      <c r="H366" s="2" t="str">
        <f>Table13[[#This Row],[Week]]&amp;", "&amp;Table13[[#This Row],[Month]]&amp;" "&amp;Table13[[#This Row],[FY]]</f>
        <v>Week 51, JUN FY25</v>
      </c>
      <c r="I366" s="2" t="str">
        <f>Table13[[#This Row],[Month]]&amp;", "&amp;Table13[[#This Row],[FY]]</f>
        <v>JUN, FY25</v>
      </c>
      <c r="J366" s="2" t="str">
        <f>"Q"&amp;Table13[[#This Row],[QTR]]&amp;", "&amp;Table13[[#This Row],[FY]]</f>
        <v>Q4, FY25</v>
      </c>
    </row>
    <row r="367" spans="1:10" x14ac:dyDescent="0.25">
      <c r="A367" s="1">
        <f t="shared" si="28"/>
        <v>45831</v>
      </c>
      <c r="B367" s="1">
        <f t="shared" si="28"/>
        <v>45837</v>
      </c>
      <c r="C367" s="2" t="s">
        <v>1152</v>
      </c>
      <c r="D367" s="2" t="s">
        <v>1149</v>
      </c>
      <c r="E367" s="2">
        <v>4</v>
      </c>
      <c r="F367" s="2" t="s">
        <v>3</v>
      </c>
      <c r="G367" s="2" t="str">
        <f>Table13[[#This Row],[Month]]&amp;", "&amp;Table13[[#This Row],[FY]]</f>
        <v>JUN, FY25</v>
      </c>
      <c r="H367" s="2" t="str">
        <f>Table13[[#This Row],[Week]]&amp;", "&amp;Table13[[#This Row],[Month]]&amp;" "&amp;Table13[[#This Row],[FY]]</f>
        <v>Week 52, JUN FY25</v>
      </c>
      <c r="I367" s="2" t="str">
        <f>Table13[[#This Row],[Month]]&amp;", "&amp;Table13[[#This Row],[FY]]</f>
        <v>JUN, FY25</v>
      </c>
      <c r="J367" s="2" t="str">
        <f>"Q"&amp;Table13[[#This Row],[QTR]]&amp;", "&amp;Table13[[#This Row],[FY]]</f>
        <v>Q4, FY25</v>
      </c>
    </row>
    <row r="368" spans="1:10" x14ac:dyDescent="0.25">
      <c r="A368" s="1">
        <f t="shared" ref="A368:B383" si="29">A367+7</f>
        <v>45838</v>
      </c>
      <c r="B368" s="1">
        <f t="shared" si="29"/>
        <v>45844</v>
      </c>
      <c r="C368" s="2" t="s">
        <v>1089</v>
      </c>
      <c r="D368" s="2" t="s">
        <v>1090</v>
      </c>
      <c r="E368" s="2">
        <v>1</v>
      </c>
      <c r="F368" s="2" t="s">
        <v>1158</v>
      </c>
      <c r="G368" s="2" t="str">
        <f>Table13[[#This Row],[Month]]&amp;", "&amp;Table13[[#This Row],[FY]]</f>
        <v>JUL, FY26</v>
      </c>
      <c r="H368" s="2" t="str">
        <f>Table13[[#This Row],[Week]]&amp;", "&amp;Table13[[#This Row],[Month]]&amp;" "&amp;Table13[[#This Row],[FY]]</f>
        <v>Week 1, JUL FY26</v>
      </c>
      <c r="I368" s="2" t="str">
        <f>Table13[[#This Row],[Month]]&amp;", "&amp;Table13[[#This Row],[FY]]</f>
        <v>JUL, FY26</v>
      </c>
      <c r="J368" s="2" t="str">
        <f>"Q"&amp;Table13[[#This Row],[QTR]]&amp;", "&amp;Table13[[#This Row],[FY]]</f>
        <v>Q1, FY26</v>
      </c>
    </row>
    <row r="369" spans="1:10" x14ac:dyDescent="0.25">
      <c r="A369" s="1">
        <f t="shared" si="29"/>
        <v>45845</v>
      </c>
      <c r="B369" s="1">
        <f t="shared" si="29"/>
        <v>45851</v>
      </c>
      <c r="C369" s="2" t="s">
        <v>1092</v>
      </c>
      <c r="D369" s="2" t="s">
        <v>1090</v>
      </c>
      <c r="E369" s="2">
        <v>1</v>
      </c>
      <c r="F369" s="2" t="s">
        <v>1158</v>
      </c>
      <c r="G369" s="2" t="str">
        <f>Table13[[#This Row],[Month]]&amp;", "&amp;Table13[[#This Row],[FY]]</f>
        <v>JUL, FY26</v>
      </c>
      <c r="H369" s="2" t="str">
        <f>Table13[[#This Row],[Week]]&amp;", "&amp;Table13[[#This Row],[Month]]&amp;" "&amp;Table13[[#This Row],[FY]]</f>
        <v>Week 2, JUL FY26</v>
      </c>
      <c r="I369" s="2" t="str">
        <f>Table13[[#This Row],[Month]]&amp;", "&amp;Table13[[#This Row],[FY]]</f>
        <v>JUL, FY26</v>
      </c>
      <c r="J369" s="2" t="str">
        <f>"Q"&amp;Table13[[#This Row],[QTR]]&amp;", "&amp;Table13[[#This Row],[FY]]</f>
        <v>Q1, FY26</v>
      </c>
    </row>
    <row r="370" spans="1:10" x14ac:dyDescent="0.25">
      <c r="A370" s="1">
        <f t="shared" si="29"/>
        <v>45852</v>
      </c>
      <c r="B370" s="1">
        <f t="shared" si="29"/>
        <v>45858</v>
      </c>
      <c r="C370" s="2" t="s">
        <v>1093</v>
      </c>
      <c r="D370" s="2" t="s">
        <v>1090</v>
      </c>
      <c r="E370" s="2">
        <v>1</v>
      </c>
      <c r="F370" s="2" t="s">
        <v>1158</v>
      </c>
      <c r="G370" s="2" t="str">
        <f>Table13[[#This Row],[Month]]&amp;", "&amp;Table13[[#This Row],[FY]]</f>
        <v>JUL, FY26</v>
      </c>
      <c r="H370" s="2" t="str">
        <f>Table13[[#This Row],[Week]]&amp;", "&amp;Table13[[#This Row],[Month]]&amp;" "&amp;Table13[[#This Row],[FY]]</f>
        <v>Week 3, JUL FY26</v>
      </c>
      <c r="I370" s="2" t="str">
        <f>Table13[[#This Row],[Month]]&amp;", "&amp;Table13[[#This Row],[FY]]</f>
        <v>JUL, FY26</v>
      </c>
      <c r="J370" s="2" t="str">
        <f>"Q"&amp;Table13[[#This Row],[QTR]]&amp;", "&amp;Table13[[#This Row],[FY]]</f>
        <v>Q1, FY26</v>
      </c>
    </row>
    <row r="371" spans="1:10" x14ac:dyDescent="0.25">
      <c r="A371" s="1">
        <f t="shared" si="29"/>
        <v>45859</v>
      </c>
      <c r="B371" s="1">
        <f t="shared" si="29"/>
        <v>45865</v>
      </c>
      <c r="C371" s="2" t="s">
        <v>1094</v>
      </c>
      <c r="D371" s="2" t="s">
        <v>1090</v>
      </c>
      <c r="E371" s="2">
        <v>1</v>
      </c>
      <c r="F371" s="2" t="s">
        <v>1158</v>
      </c>
      <c r="G371" s="2" t="str">
        <f>Table13[[#This Row],[Month]]&amp;", "&amp;Table13[[#This Row],[FY]]</f>
        <v>JUL, FY26</v>
      </c>
      <c r="H371" s="2" t="str">
        <f>Table13[[#This Row],[Week]]&amp;", "&amp;Table13[[#This Row],[Month]]&amp;" "&amp;Table13[[#This Row],[FY]]</f>
        <v>Week 4, JUL FY26</v>
      </c>
      <c r="I371" s="2" t="str">
        <f>Table13[[#This Row],[Month]]&amp;", "&amp;Table13[[#This Row],[FY]]</f>
        <v>JUL, FY26</v>
      </c>
      <c r="J371" s="2" t="str">
        <f>"Q"&amp;Table13[[#This Row],[QTR]]&amp;", "&amp;Table13[[#This Row],[FY]]</f>
        <v>Q1, FY26</v>
      </c>
    </row>
    <row r="372" spans="1:10" x14ac:dyDescent="0.25">
      <c r="A372" s="1">
        <f t="shared" si="29"/>
        <v>45866</v>
      </c>
      <c r="B372" s="1">
        <f t="shared" si="29"/>
        <v>45872</v>
      </c>
      <c r="C372" s="2" t="s">
        <v>1095</v>
      </c>
      <c r="D372" s="2" t="s">
        <v>1096</v>
      </c>
      <c r="E372" s="2">
        <v>1</v>
      </c>
      <c r="F372" s="2" t="s">
        <v>1158</v>
      </c>
      <c r="G372" s="2" t="str">
        <f>Table13[[#This Row],[Month]]&amp;", "&amp;Table13[[#This Row],[FY]]</f>
        <v>AUG, FY26</v>
      </c>
      <c r="H372" s="2" t="str">
        <f>Table13[[#This Row],[Week]]&amp;", "&amp;Table13[[#This Row],[Month]]&amp;" "&amp;Table13[[#This Row],[FY]]</f>
        <v>Week 5, AUG FY26</v>
      </c>
      <c r="I372" s="2" t="str">
        <f>Table13[[#This Row],[Month]]&amp;", "&amp;Table13[[#This Row],[FY]]</f>
        <v>AUG, FY26</v>
      </c>
      <c r="J372" s="2" t="str">
        <f>"Q"&amp;Table13[[#This Row],[QTR]]&amp;", "&amp;Table13[[#This Row],[FY]]</f>
        <v>Q1, FY26</v>
      </c>
    </row>
    <row r="373" spans="1:10" x14ac:dyDescent="0.25">
      <c r="A373" s="1">
        <f t="shared" si="29"/>
        <v>45873</v>
      </c>
      <c r="B373" s="1">
        <f t="shared" si="29"/>
        <v>45879</v>
      </c>
      <c r="C373" s="2" t="s">
        <v>1097</v>
      </c>
      <c r="D373" s="2" t="s">
        <v>1096</v>
      </c>
      <c r="E373" s="2">
        <v>1</v>
      </c>
      <c r="F373" s="2" t="s">
        <v>1158</v>
      </c>
      <c r="G373" s="2" t="str">
        <f>Table13[[#This Row],[Month]]&amp;", "&amp;Table13[[#This Row],[FY]]</f>
        <v>AUG, FY26</v>
      </c>
      <c r="H373" s="2" t="str">
        <f>Table13[[#This Row],[Week]]&amp;", "&amp;Table13[[#This Row],[Month]]&amp;" "&amp;Table13[[#This Row],[FY]]</f>
        <v>Week 6, AUG FY26</v>
      </c>
      <c r="I373" s="2" t="str">
        <f>Table13[[#This Row],[Month]]&amp;", "&amp;Table13[[#This Row],[FY]]</f>
        <v>AUG, FY26</v>
      </c>
      <c r="J373" s="2" t="str">
        <f>"Q"&amp;Table13[[#This Row],[QTR]]&amp;", "&amp;Table13[[#This Row],[FY]]</f>
        <v>Q1, FY26</v>
      </c>
    </row>
    <row r="374" spans="1:10" x14ac:dyDescent="0.25">
      <c r="A374" s="1">
        <f t="shared" si="29"/>
        <v>45880</v>
      </c>
      <c r="B374" s="1">
        <f t="shared" si="29"/>
        <v>45886</v>
      </c>
      <c r="C374" s="2" t="s">
        <v>1098</v>
      </c>
      <c r="D374" s="2" t="s">
        <v>1096</v>
      </c>
      <c r="E374" s="2">
        <v>1</v>
      </c>
      <c r="F374" s="2" t="s">
        <v>1158</v>
      </c>
      <c r="G374" s="2" t="str">
        <f>Table13[[#This Row],[Month]]&amp;", "&amp;Table13[[#This Row],[FY]]</f>
        <v>AUG, FY26</v>
      </c>
      <c r="H374" s="2" t="str">
        <f>Table13[[#This Row],[Week]]&amp;", "&amp;Table13[[#This Row],[Month]]&amp;" "&amp;Table13[[#This Row],[FY]]</f>
        <v>Week 7, AUG FY26</v>
      </c>
      <c r="I374" s="2" t="str">
        <f>Table13[[#This Row],[Month]]&amp;", "&amp;Table13[[#This Row],[FY]]</f>
        <v>AUG, FY26</v>
      </c>
      <c r="J374" s="2" t="str">
        <f>"Q"&amp;Table13[[#This Row],[QTR]]&amp;", "&amp;Table13[[#This Row],[FY]]</f>
        <v>Q1, FY26</v>
      </c>
    </row>
    <row r="375" spans="1:10" x14ac:dyDescent="0.25">
      <c r="A375" s="1">
        <f t="shared" si="29"/>
        <v>45887</v>
      </c>
      <c r="B375" s="1">
        <f t="shared" si="29"/>
        <v>45893</v>
      </c>
      <c r="C375" s="2" t="s">
        <v>1099</v>
      </c>
      <c r="D375" s="2" t="s">
        <v>1096</v>
      </c>
      <c r="E375" s="2">
        <v>1</v>
      </c>
      <c r="F375" s="2" t="s">
        <v>1158</v>
      </c>
      <c r="G375" s="2" t="str">
        <f>Table13[[#This Row],[Month]]&amp;", "&amp;Table13[[#This Row],[FY]]</f>
        <v>AUG, FY26</v>
      </c>
      <c r="H375" s="2" t="str">
        <f>Table13[[#This Row],[Week]]&amp;", "&amp;Table13[[#This Row],[Month]]&amp;" "&amp;Table13[[#This Row],[FY]]</f>
        <v>Week 8, AUG FY26</v>
      </c>
      <c r="I375" s="2" t="str">
        <f>Table13[[#This Row],[Month]]&amp;", "&amp;Table13[[#This Row],[FY]]</f>
        <v>AUG, FY26</v>
      </c>
      <c r="J375" s="2" t="str">
        <f>"Q"&amp;Table13[[#This Row],[QTR]]&amp;", "&amp;Table13[[#This Row],[FY]]</f>
        <v>Q1, FY26</v>
      </c>
    </row>
    <row r="376" spans="1:10" x14ac:dyDescent="0.25">
      <c r="A376" s="1">
        <f t="shared" si="29"/>
        <v>45894</v>
      </c>
      <c r="B376" s="1">
        <f t="shared" si="29"/>
        <v>45900</v>
      </c>
      <c r="C376" s="2" t="s">
        <v>1100</v>
      </c>
      <c r="D376" s="2" t="s">
        <v>1096</v>
      </c>
      <c r="E376" s="2">
        <v>1</v>
      </c>
      <c r="F376" s="2" t="s">
        <v>1158</v>
      </c>
      <c r="G376" s="2" t="str">
        <f>Table13[[#This Row],[Month]]&amp;", "&amp;Table13[[#This Row],[FY]]</f>
        <v>AUG, FY26</v>
      </c>
      <c r="H376" s="2" t="str">
        <f>Table13[[#This Row],[Week]]&amp;", "&amp;Table13[[#This Row],[Month]]&amp;" "&amp;Table13[[#This Row],[FY]]</f>
        <v>Week 9, AUG FY26</v>
      </c>
      <c r="I376" s="2" t="str">
        <f>Table13[[#This Row],[Month]]&amp;", "&amp;Table13[[#This Row],[FY]]</f>
        <v>AUG, FY26</v>
      </c>
      <c r="J376" s="2" t="str">
        <f>"Q"&amp;Table13[[#This Row],[QTR]]&amp;", "&amp;Table13[[#This Row],[FY]]</f>
        <v>Q1, FY26</v>
      </c>
    </row>
    <row r="377" spans="1:10" x14ac:dyDescent="0.25">
      <c r="A377" s="1">
        <f t="shared" si="29"/>
        <v>45901</v>
      </c>
      <c r="B377" s="1">
        <f t="shared" si="29"/>
        <v>45907</v>
      </c>
      <c r="C377" s="2" t="s">
        <v>1101</v>
      </c>
      <c r="D377" s="2" t="s">
        <v>1102</v>
      </c>
      <c r="E377" s="2">
        <v>1</v>
      </c>
      <c r="F377" s="2" t="s">
        <v>1158</v>
      </c>
      <c r="G377" s="2" t="str">
        <f>Table13[[#This Row],[Month]]&amp;", "&amp;Table13[[#This Row],[FY]]</f>
        <v>SEP, FY26</v>
      </c>
      <c r="H377" s="2" t="str">
        <f>Table13[[#This Row],[Week]]&amp;", "&amp;Table13[[#This Row],[Month]]&amp;" "&amp;Table13[[#This Row],[FY]]</f>
        <v>Week 10, SEP FY26</v>
      </c>
      <c r="I377" s="2" t="str">
        <f>Table13[[#This Row],[Month]]&amp;", "&amp;Table13[[#This Row],[FY]]</f>
        <v>SEP, FY26</v>
      </c>
      <c r="J377" s="2" t="str">
        <f>"Q"&amp;Table13[[#This Row],[QTR]]&amp;", "&amp;Table13[[#This Row],[FY]]</f>
        <v>Q1, FY26</v>
      </c>
    </row>
    <row r="378" spans="1:10" x14ac:dyDescent="0.25">
      <c r="A378" s="1">
        <f t="shared" si="29"/>
        <v>45908</v>
      </c>
      <c r="B378" s="1">
        <f t="shared" si="29"/>
        <v>45914</v>
      </c>
      <c r="C378" s="2" t="s">
        <v>1103</v>
      </c>
      <c r="D378" s="2" t="s">
        <v>1102</v>
      </c>
      <c r="E378" s="2">
        <v>1</v>
      </c>
      <c r="F378" s="2" t="s">
        <v>1158</v>
      </c>
      <c r="G378" s="2" t="str">
        <f>Table13[[#This Row],[Month]]&amp;", "&amp;Table13[[#This Row],[FY]]</f>
        <v>SEP, FY26</v>
      </c>
      <c r="H378" s="2" t="str">
        <f>Table13[[#This Row],[Week]]&amp;", "&amp;Table13[[#This Row],[Month]]&amp;" "&amp;Table13[[#This Row],[FY]]</f>
        <v>Week 11, SEP FY26</v>
      </c>
      <c r="I378" s="2" t="str">
        <f>Table13[[#This Row],[Month]]&amp;", "&amp;Table13[[#This Row],[FY]]</f>
        <v>SEP, FY26</v>
      </c>
      <c r="J378" s="2" t="str">
        <f>"Q"&amp;Table13[[#This Row],[QTR]]&amp;", "&amp;Table13[[#This Row],[FY]]</f>
        <v>Q1, FY26</v>
      </c>
    </row>
    <row r="379" spans="1:10" x14ac:dyDescent="0.25">
      <c r="A379" s="1">
        <f t="shared" si="29"/>
        <v>45915</v>
      </c>
      <c r="B379" s="1">
        <f t="shared" si="29"/>
        <v>45921</v>
      </c>
      <c r="C379" s="2" t="s">
        <v>1104</v>
      </c>
      <c r="D379" s="2" t="s">
        <v>1102</v>
      </c>
      <c r="E379" s="2">
        <v>1</v>
      </c>
      <c r="F379" s="2" t="s">
        <v>1158</v>
      </c>
      <c r="G379" s="2" t="str">
        <f>Table13[[#This Row],[Month]]&amp;", "&amp;Table13[[#This Row],[FY]]</f>
        <v>SEP, FY26</v>
      </c>
      <c r="H379" s="2" t="str">
        <f>Table13[[#This Row],[Week]]&amp;", "&amp;Table13[[#This Row],[Month]]&amp;" "&amp;Table13[[#This Row],[FY]]</f>
        <v>Week 12, SEP FY26</v>
      </c>
      <c r="I379" s="2" t="str">
        <f>Table13[[#This Row],[Month]]&amp;", "&amp;Table13[[#This Row],[FY]]</f>
        <v>SEP, FY26</v>
      </c>
      <c r="J379" s="2" t="str">
        <f>"Q"&amp;Table13[[#This Row],[QTR]]&amp;", "&amp;Table13[[#This Row],[FY]]</f>
        <v>Q1, FY26</v>
      </c>
    </row>
    <row r="380" spans="1:10" x14ac:dyDescent="0.25">
      <c r="A380" s="1">
        <f t="shared" si="29"/>
        <v>45922</v>
      </c>
      <c r="B380" s="1">
        <f t="shared" si="29"/>
        <v>45928</v>
      </c>
      <c r="C380" s="2" t="s">
        <v>1105</v>
      </c>
      <c r="D380" s="2" t="s">
        <v>1102</v>
      </c>
      <c r="E380" s="2">
        <v>1</v>
      </c>
      <c r="F380" s="2" t="s">
        <v>1158</v>
      </c>
      <c r="G380" s="2" t="str">
        <f>Table13[[#This Row],[Month]]&amp;", "&amp;Table13[[#This Row],[FY]]</f>
        <v>SEP, FY26</v>
      </c>
      <c r="H380" s="2" t="str">
        <f>Table13[[#This Row],[Week]]&amp;", "&amp;Table13[[#This Row],[Month]]&amp;" "&amp;Table13[[#This Row],[FY]]</f>
        <v>Week 13, SEP FY26</v>
      </c>
      <c r="I380" s="2" t="str">
        <f>Table13[[#This Row],[Month]]&amp;", "&amp;Table13[[#This Row],[FY]]</f>
        <v>SEP, FY26</v>
      </c>
      <c r="J380" s="2" t="str">
        <f>"Q"&amp;Table13[[#This Row],[QTR]]&amp;", "&amp;Table13[[#This Row],[FY]]</f>
        <v>Q1, FY26</v>
      </c>
    </row>
    <row r="381" spans="1:10" x14ac:dyDescent="0.25">
      <c r="A381" s="1">
        <f t="shared" si="29"/>
        <v>45929</v>
      </c>
      <c r="B381" s="1">
        <f t="shared" si="29"/>
        <v>45935</v>
      </c>
      <c r="C381" s="2" t="s">
        <v>1106</v>
      </c>
      <c r="D381" s="2" t="s">
        <v>1107</v>
      </c>
      <c r="E381" s="2">
        <v>2</v>
      </c>
      <c r="F381" s="2" t="s">
        <v>1158</v>
      </c>
      <c r="G381" s="2" t="str">
        <f>Table13[[#This Row],[Month]]&amp;", "&amp;Table13[[#This Row],[FY]]</f>
        <v>OCT, FY26</v>
      </c>
      <c r="H381" s="2" t="str">
        <f>Table13[[#This Row],[Week]]&amp;", "&amp;Table13[[#This Row],[Month]]&amp;" "&amp;Table13[[#This Row],[FY]]</f>
        <v>Week 14, OCT FY26</v>
      </c>
      <c r="I381" s="2" t="str">
        <f>Table13[[#This Row],[Month]]&amp;", "&amp;Table13[[#This Row],[FY]]</f>
        <v>OCT, FY26</v>
      </c>
      <c r="J381" s="2" t="str">
        <f>"Q"&amp;Table13[[#This Row],[QTR]]&amp;", "&amp;Table13[[#This Row],[FY]]</f>
        <v>Q2, FY26</v>
      </c>
    </row>
    <row r="382" spans="1:10" x14ac:dyDescent="0.25">
      <c r="A382" s="1">
        <f t="shared" si="29"/>
        <v>45936</v>
      </c>
      <c r="B382" s="1">
        <f t="shared" si="29"/>
        <v>45942</v>
      </c>
      <c r="C382" s="2" t="s">
        <v>1108</v>
      </c>
      <c r="D382" s="2" t="s">
        <v>1107</v>
      </c>
      <c r="E382" s="2">
        <v>2</v>
      </c>
      <c r="F382" s="2" t="s">
        <v>1158</v>
      </c>
      <c r="G382" s="2" t="str">
        <f>Table13[[#This Row],[Month]]&amp;", "&amp;Table13[[#This Row],[FY]]</f>
        <v>OCT, FY26</v>
      </c>
      <c r="H382" s="2" t="str">
        <f>Table13[[#This Row],[Week]]&amp;", "&amp;Table13[[#This Row],[Month]]&amp;" "&amp;Table13[[#This Row],[FY]]</f>
        <v>Week 15, OCT FY26</v>
      </c>
      <c r="I382" s="2" t="str">
        <f>Table13[[#This Row],[Month]]&amp;", "&amp;Table13[[#This Row],[FY]]</f>
        <v>OCT, FY26</v>
      </c>
      <c r="J382" s="2" t="str">
        <f>"Q"&amp;Table13[[#This Row],[QTR]]&amp;", "&amp;Table13[[#This Row],[FY]]</f>
        <v>Q2, FY26</v>
      </c>
    </row>
    <row r="383" spans="1:10" x14ac:dyDescent="0.25">
      <c r="A383" s="1">
        <f t="shared" si="29"/>
        <v>45943</v>
      </c>
      <c r="B383" s="1">
        <f t="shared" si="29"/>
        <v>45949</v>
      </c>
      <c r="C383" s="2" t="s">
        <v>1109</v>
      </c>
      <c r="D383" s="2" t="s">
        <v>1107</v>
      </c>
      <c r="E383" s="2">
        <v>2</v>
      </c>
      <c r="F383" s="2" t="s">
        <v>1158</v>
      </c>
      <c r="G383" s="2" t="str">
        <f>Table13[[#This Row],[Month]]&amp;", "&amp;Table13[[#This Row],[FY]]</f>
        <v>OCT, FY26</v>
      </c>
      <c r="H383" s="2" t="str">
        <f>Table13[[#This Row],[Week]]&amp;", "&amp;Table13[[#This Row],[Month]]&amp;" "&amp;Table13[[#This Row],[FY]]</f>
        <v>Week 16, OCT FY26</v>
      </c>
      <c r="I383" s="2" t="str">
        <f>Table13[[#This Row],[Month]]&amp;", "&amp;Table13[[#This Row],[FY]]</f>
        <v>OCT, FY26</v>
      </c>
      <c r="J383" s="2" t="str">
        <f>"Q"&amp;Table13[[#This Row],[QTR]]&amp;", "&amp;Table13[[#This Row],[FY]]</f>
        <v>Q2, FY26</v>
      </c>
    </row>
    <row r="384" spans="1:10" x14ac:dyDescent="0.25">
      <c r="A384" s="1">
        <f t="shared" ref="A384:B399" si="30">A383+7</f>
        <v>45950</v>
      </c>
      <c r="B384" s="1">
        <f t="shared" si="30"/>
        <v>45956</v>
      </c>
      <c r="C384" s="2" t="s">
        <v>1110</v>
      </c>
      <c r="D384" s="2" t="s">
        <v>1107</v>
      </c>
      <c r="E384" s="2">
        <v>2</v>
      </c>
      <c r="F384" s="2" t="s">
        <v>1158</v>
      </c>
      <c r="G384" s="2" t="str">
        <f>Table13[[#This Row],[Month]]&amp;", "&amp;Table13[[#This Row],[FY]]</f>
        <v>OCT, FY26</v>
      </c>
      <c r="H384" s="2" t="str">
        <f>Table13[[#This Row],[Week]]&amp;", "&amp;Table13[[#This Row],[Month]]&amp;" "&amp;Table13[[#This Row],[FY]]</f>
        <v>Week 17, OCT FY26</v>
      </c>
      <c r="I384" s="2" t="str">
        <f>Table13[[#This Row],[Month]]&amp;", "&amp;Table13[[#This Row],[FY]]</f>
        <v>OCT, FY26</v>
      </c>
      <c r="J384" s="2" t="str">
        <f>"Q"&amp;Table13[[#This Row],[QTR]]&amp;", "&amp;Table13[[#This Row],[FY]]</f>
        <v>Q2, FY26</v>
      </c>
    </row>
    <row r="385" spans="1:10" x14ac:dyDescent="0.25">
      <c r="A385" s="1">
        <f t="shared" si="30"/>
        <v>45957</v>
      </c>
      <c r="B385" s="1">
        <f t="shared" si="30"/>
        <v>45963</v>
      </c>
      <c r="C385" s="2" t="s">
        <v>1111</v>
      </c>
      <c r="D385" s="2" t="s">
        <v>1112</v>
      </c>
      <c r="E385" s="2">
        <v>2</v>
      </c>
      <c r="F385" s="2" t="s">
        <v>1158</v>
      </c>
      <c r="G385" s="2" t="str">
        <f>Table13[[#This Row],[Month]]&amp;", "&amp;Table13[[#This Row],[FY]]</f>
        <v>NOV, FY26</v>
      </c>
      <c r="H385" s="2" t="str">
        <f>Table13[[#This Row],[Week]]&amp;", "&amp;Table13[[#This Row],[Month]]&amp;" "&amp;Table13[[#This Row],[FY]]</f>
        <v>Week 18, NOV FY26</v>
      </c>
      <c r="I385" s="2" t="str">
        <f>Table13[[#This Row],[Month]]&amp;", "&amp;Table13[[#This Row],[FY]]</f>
        <v>NOV, FY26</v>
      </c>
      <c r="J385" s="2" t="str">
        <f>"Q"&amp;Table13[[#This Row],[QTR]]&amp;", "&amp;Table13[[#This Row],[FY]]</f>
        <v>Q2, FY26</v>
      </c>
    </row>
    <row r="386" spans="1:10" x14ac:dyDescent="0.25">
      <c r="A386" s="1">
        <f t="shared" si="30"/>
        <v>45964</v>
      </c>
      <c r="B386" s="1">
        <f t="shared" si="30"/>
        <v>45970</v>
      </c>
      <c r="C386" s="2" t="s">
        <v>1113</v>
      </c>
      <c r="D386" s="2" t="s">
        <v>1112</v>
      </c>
      <c r="E386" s="2">
        <v>2</v>
      </c>
      <c r="F386" s="2" t="s">
        <v>1158</v>
      </c>
      <c r="G386" s="2" t="str">
        <f>Table13[[#This Row],[Month]]&amp;", "&amp;Table13[[#This Row],[FY]]</f>
        <v>NOV, FY26</v>
      </c>
      <c r="H386" s="2" t="str">
        <f>Table13[[#This Row],[Week]]&amp;", "&amp;Table13[[#This Row],[Month]]&amp;" "&amp;Table13[[#This Row],[FY]]</f>
        <v>Week 19, NOV FY26</v>
      </c>
      <c r="I386" s="2" t="str">
        <f>Table13[[#This Row],[Month]]&amp;", "&amp;Table13[[#This Row],[FY]]</f>
        <v>NOV, FY26</v>
      </c>
      <c r="J386" s="2" t="str">
        <f>"Q"&amp;Table13[[#This Row],[QTR]]&amp;", "&amp;Table13[[#This Row],[FY]]</f>
        <v>Q2, FY26</v>
      </c>
    </row>
    <row r="387" spans="1:10" x14ac:dyDescent="0.25">
      <c r="A387" s="1">
        <f t="shared" si="30"/>
        <v>45971</v>
      </c>
      <c r="B387" s="1">
        <f t="shared" si="30"/>
        <v>45977</v>
      </c>
      <c r="C387" s="2" t="s">
        <v>1114</v>
      </c>
      <c r="D387" s="2" t="s">
        <v>1112</v>
      </c>
      <c r="E387" s="2">
        <v>2</v>
      </c>
      <c r="F387" s="2" t="s">
        <v>1158</v>
      </c>
      <c r="G387" s="2" t="str">
        <f>Table13[[#This Row],[Month]]&amp;", "&amp;Table13[[#This Row],[FY]]</f>
        <v>NOV, FY26</v>
      </c>
      <c r="H387" s="2" t="str">
        <f>Table13[[#This Row],[Week]]&amp;", "&amp;Table13[[#This Row],[Month]]&amp;" "&amp;Table13[[#This Row],[FY]]</f>
        <v>Week 20, NOV FY26</v>
      </c>
      <c r="I387" s="2" t="str">
        <f>Table13[[#This Row],[Month]]&amp;", "&amp;Table13[[#This Row],[FY]]</f>
        <v>NOV, FY26</v>
      </c>
      <c r="J387" s="2" t="str">
        <f>"Q"&amp;Table13[[#This Row],[QTR]]&amp;", "&amp;Table13[[#This Row],[FY]]</f>
        <v>Q2, FY26</v>
      </c>
    </row>
    <row r="388" spans="1:10" x14ac:dyDescent="0.25">
      <c r="A388" s="1">
        <f t="shared" si="30"/>
        <v>45978</v>
      </c>
      <c r="B388" s="1">
        <f t="shared" si="30"/>
        <v>45984</v>
      </c>
      <c r="C388" s="2" t="s">
        <v>1115</v>
      </c>
      <c r="D388" s="2" t="s">
        <v>1112</v>
      </c>
      <c r="E388" s="2">
        <v>2</v>
      </c>
      <c r="F388" s="2" t="s">
        <v>1158</v>
      </c>
      <c r="G388" s="2" t="str">
        <f>Table13[[#This Row],[Month]]&amp;", "&amp;Table13[[#This Row],[FY]]</f>
        <v>NOV, FY26</v>
      </c>
      <c r="H388" s="2" t="str">
        <f>Table13[[#This Row],[Week]]&amp;", "&amp;Table13[[#This Row],[Month]]&amp;" "&amp;Table13[[#This Row],[FY]]</f>
        <v>Week 21, NOV FY26</v>
      </c>
      <c r="I388" s="2" t="str">
        <f>Table13[[#This Row],[Month]]&amp;", "&amp;Table13[[#This Row],[FY]]</f>
        <v>NOV, FY26</v>
      </c>
      <c r="J388" s="2" t="str">
        <f>"Q"&amp;Table13[[#This Row],[QTR]]&amp;", "&amp;Table13[[#This Row],[FY]]</f>
        <v>Q2, FY26</v>
      </c>
    </row>
    <row r="389" spans="1:10" x14ac:dyDescent="0.25">
      <c r="A389" s="1">
        <f t="shared" si="30"/>
        <v>45985</v>
      </c>
      <c r="B389" s="1">
        <f t="shared" si="30"/>
        <v>45991</v>
      </c>
      <c r="C389" s="2" t="s">
        <v>1116</v>
      </c>
      <c r="D389" s="2" t="s">
        <v>1112</v>
      </c>
      <c r="E389" s="2">
        <v>2</v>
      </c>
      <c r="F389" s="2" t="s">
        <v>1158</v>
      </c>
      <c r="G389" s="2" t="str">
        <f>Table13[[#This Row],[Month]]&amp;", "&amp;Table13[[#This Row],[FY]]</f>
        <v>NOV, FY26</v>
      </c>
      <c r="H389" s="2" t="str">
        <f>Table13[[#This Row],[Week]]&amp;", "&amp;Table13[[#This Row],[Month]]&amp;" "&amp;Table13[[#This Row],[FY]]</f>
        <v>Week 22, NOV FY26</v>
      </c>
      <c r="I389" s="2" t="str">
        <f>Table13[[#This Row],[Month]]&amp;", "&amp;Table13[[#This Row],[FY]]</f>
        <v>NOV, FY26</v>
      </c>
      <c r="J389" s="2" t="str">
        <f>"Q"&amp;Table13[[#This Row],[QTR]]&amp;", "&amp;Table13[[#This Row],[FY]]</f>
        <v>Q2, FY26</v>
      </c>
    </row>
    <row r="390" spans="1:10" x14ac:dyDescent="0.25">
      <c r="A390" s="1">
        <f t="shared" si="30"/>
        <v>45992</v>
      </c>
      <c r="B390" s="1">
        <f t="shared" si="30"/>
        <v>45998</v>
      </c>
      <c r="C390" s="2" t="s">
        <v>1117</v>
      </c>
      <c r="D390" s="2" t="s">
        <v>1118</v>
      </c>
      <c r="E390" s="2">
        <v>2</v>
      </c>
      <c r="F390" s="2" t="s">
        <v>1158</v>
      </c>
      <c r="G390" s="2" t="str">
        <f>Table13[[#This Row],[Month]]&amp;", "&amp;Table13[[#This Row],[FY]]</f>
        <v>DEC, FY26</v>
      </c>
      <c r="H390" s="2" t="str">
        <f>Table13[[#This Row],[Week]]&amp;", "&amp;Table13[[#This Row],[Month]]&amp;" "&amp;Table13[[#This Row],[FY]]</f>
        <v>Week 23, DEC FY26</v>
      </c>
      <c r="I390" s="2" t="str">
        <f>Table13[[#This Row],[Month]]&amp;", "&amp;Table13[[#This Row],[FY]]</f>
        <v>DEC, FY26</v>
      </c>
      <c r="J390" s="2" t="str">
        <f>"Q"&amp;Table13[[#This Row],[QTR]]&amp;", "&amp;Table13[[#This Row],[FY]]</f>
        <v>Q2, FY26</v>
      </c>
    </row>
    <row r="391" spans="1:10" x14ac:dyDescent="0.25">
      <c r="A391" s="1">
        <f t="shared" si="30"/>
        <v>45999</v>
      </c>
      <c r="B391" s="1">
        <f t="shared" si="30"/>
        <v>46005</v>
      </c>
      <c r="C391" s="2" t="s">
        <v>1119</v>
      </c>
      <c r="D391" s="2" t="s">
        <v>1118</v>
      </c>
      <c r="E391" s="2">
        <v>2</v>
      </c>
      <c r="F391" s="2" t="s">
        <v>1158</v>
      </c>
      <c r="G391" s="2" t="str">
        <f>Table13[[#This Row],[Month]]&amp;", "&amp;Table13[[#This Row],[FY]]</f>
        <v>DEC, FY26</v>
      </c>
      <c r="H391" s="2" t="str">
        <f>Table13[[#This Row],[Week]]&amp;", "&amp;Table13[[#This Row],[Month]]&amp;" "&amp;Table13[[#This Row],[FY]]</f>
        <v>Week 24, DEC FY26</v>
      </c>
      <c r="I391" s="2" t="str">
        <f>Table13[[#This Row],[Month]]&amp;", "&amp;Table13[[#This Row],[FY]]</f>
        <v>DEC, FY26</v>
      </c>
      <c r="J391" s="2" t="str">
        <f>"Q"&amp;Table13[[#This Row],[QTR]]&amp;", "&amp;Table13[[#This Row],[FY]]</f>
        <v>Q2, FY26</v>
      </c>
    </row>
    <row r="392" spans="1:10" x14ac:dyDescent="0.25">
      <c r="A392" s="1">
        <f t="shared" si="30"/>
        <v>46006</v>
      </c>
      <c r="B392" s="1">
        <f t="shared" si="30"/>
        <v>46012</v>
      </c>
      <c r="C392" s="2" t="s">
        <v>1120</v>
      </c>
      <c r="D392" s="2" t="s">
        <v>1118</v>
      </c>
      <c r="E392" s="2">
        <v>2</v>
      </c>
      <c r="F392" s="2" t="s">
        <v>1158</v>
      </c>
      <c r="G392" s="2" t="str">
        <f>Table13[[#This Row],[Month]]&amp;", "&amp;Table13[[#This Row],[FY]]</f>
        <v>DEC, FY26</v>
      </c>
      <c r="H392" s="2" t="str">
        <f>Table13[[#This Row],[Week]]&amp;", "&amp;Table13[[#This Row],[Month]]&amp;" "&amp;Table13[[#This Row],[FY]]</f>
        <v>Week 25, DEC FY26</v>
      </c>
      <c r="I392" s="2" t="str">
        <f>Table13[[#This Row],[Month]]&amp;", "&amp;Table13[[#This Row],[FY]]</f>
        <v>DEC, FY26</v>
      </c>
      <c r="J392" s="2" t="str">
        <f>"Q"&amp;Table13[[#This Row],[QTR]]&amp;", "&amp;Table13[[#This Row],[FY]]</f>
        <v>Q2, FY26</v>
      </c>
    </row>
    <row r="393" spans="1:10" x14ac:dyDescent="0.25">
      <c r="A393" s="1">
        <f t="shared" si="30"/>
        <v>46013</v>
      </c>
      <c r="B393" s="1">
        <f t="shared" si="30"/>
        <v>46019</v>
      </c>
      <c r="C393" s="2" t="s">
        <v>1121</v>
      </c>
      <c r="D393" s="2" t="s">
        <v>1118</v>
      </c>
      <c r="E393" s="2">
        <v>2</v>
      </c>
      <c r="F393" s="2" t="s">
        <v>1158</v>
      </c>
      <c r="G393" s="2" t="str">
        <f>Table13[[#This Row],[Month]]&amp;", "&amp;Table13[[#This Row],[FY]]</f>
        <v>DEC, FY26</v>
      </c>
      <c r="H393" s="2" t="str">
        <f>Table13[[#This Row],[Week]]&amp;", "&amp;Table13[[#This Row],[Month]]&amp;" "&amp;Table13[[#This Row],[FY]]</f>
        <v>Week 26, DEC FY26</v>
      </c>
      <c r="I393" s="2" t="str">
        <f>Table13[[#This Row],[Month]]&amp;", "&amp;Table13[[#This Row],[FY]]</f>
        <v>DEC, FY26</v>
      </c>
      <c r="J393" s="2" t="str">
        <f>"Q"&amp;Table13[[#This Row],[QTR]]&amp;", "&amp;Table13[[#This Row],[FY]]</f>
        <v>Q2, FY26</v>
      </c>
    </row>
    <row r="394" spans="1:10" x14ac:dyDescent="0.25">
      <c r="A394" s="1">
        <f t="shared" si="30"/>
        <v>46020</v>
      </c>
      <c r="B394" s="1">
        <f t="shared" si="30"/>
        <v>46026</v>
      </c>
      <c r="C394" s="2" t="s">
        <v>1122</v>
      </c>
      <c r="D394" s="2" t="s">
        <v>1123</v>
      </c>
      <c r="E394" s="2">
        <v>3</v>
      </c>
      <c r="F394" s="2" t="s">
        <v>1158</v>
      </c>
      <c r="G394" s="2" t="str">
        <f>Table13[[#This Row],[Month]]&amp;", "&amp;Table13[[#This Row],[FY]]</f>
        <v>JAN, FY26</v>
      </c>
      <c r="H394" s="2" t="str">
        <f>Table13[[#This Row],[Week]]&amp;", "&amp;Table13[[#This Row],[Month]]&amp;" "&amp;Table13[[#This Row],[FY]]</f>
        <v>Week 27, JAN FY26</v>
      </c>
      <c r="I394" s="2" t="str">
        <f>Table13[[#This Row],[Month]]&amp;", "&amp;Table13[[#This Row],[FY]]</f>
        <v>JAN, FY26</v>
      </c>
      <c r="J394" s="2" t="str">
        <f>"Q"&amp;Table13[[#This Row],[QTR]]&amp;", "&amp;Table13[[#This Row],[FY]]</f>
        <v>Q3, FY26</v>
      </c>
    </row>
    <row r="395" spans="1:10" x14ac:dyDescent="0.25">
      <c r="A395" s="1">
        <f t="shared" si="30"/>
        <v>46027</v>
      </c>
      <c r="B395" s="1">
        <f t="shared" si="30"/>
        <v>46033</v>
      </c>
      <c r="C395" s="2" t="s">
        <v>1124</v>
      </c>
      <c r="D395" s="2" t="s">
        <v>1123</v>
      </c>
      <c r="E395" s="2">
        <v>3</v>
      </c>
      <c r="F395" s="2" t="s">
        <v>1158</v>
      </c>
      <c r="G395" s="2" t="str">
        <f>Table13[[#This Row],[Month]]&amp;", "&amp;Table13[[#This Row],[FY]]</f>
        <v>JAN, FY26</v>
      </c>
      <c r="H395" s="2" t="str">
        <f>Table13[[#This Row],[Week]]&amp;", "&amp;Table13[[#This Row],[Month]]&amp;" "&amp;Table13[[#This Row],[FY]]</f>
        <v>Week 28, JAN FY26</v>
      </c>
      <c r="I395" s="2" t="str">
        <f>Table13[[#This Row],[Month]]&amp;", "&amp;Table13[[#This Row],[FY]]</f>
        <v>JAN, FY26</v>
      </c>
      <c r="J395" s="2" t="str">
        <f>"Q"&amp;Table13[[#This Row],[QTR]]&amp;", "&amp;Table13[[#This Row],[FY]]</f>
        <v>Q3, FY26</v>
      </c>
    </row>
    <row r="396" spans="1:10" x14ac:dyDescent="0.25">
      <c r="A396" s="1">
        <f t="shared" si="30"/>
        <v>46034</v>
      </c>
      <c r="B396" s="1">
        <f t="shared" si="30"/>
        <v>46040</v>
      </c>
      <c r="C396" s="2" t="s">
        <v>1125</v>
      </c>
      <c r="D396" s="2" t="s">
        <v>1123</v>
      </c>
      <c r="E396" s="2">
        <v>3</v>
      </c>
      <c r="F396" s="2" t="s">
        <v>1158</v>
      </c>
      <c r="G396" s="2" t="str">
        <f>Table13[[#This Row],[Month]]&amp;", "&amp;Table13[[#This Row],[FY]]</f>
        <v>JAN, FY26</v>
      </c>
      <c r="H396" s="2" t="str">
        <f>Table13[[#This Row],[Week]]&amp;", "&amp;Table13[[#This Row],[Month]]&amp;" "&amp;Table13[[#This Row],[FY]]</f>
        <v>Week 29, JAN FY26</v>
      </c>
      <c r="I396" s="2" t="str">
        <f>Table13[[#This Row],[Month]]&amp;", "&amp;Table13[[#This Row],[FY]]</f>
        <v>JAN, FY26</v>
      </c>
      <c r="J396" s="2" t="str">
        <f>"Q"&amp;Table13[[#This Row],[QTR]]&amp;", "&amp;Table13[[#This Row],[FY]]</f>
        <v>Q3, FY26</v>
      </c>
    </row>
    <row r="397" spans="1:10" x14ac:dyDescent="0.25">
      <c r="A397" s="1">
        <f t="shared" si="30"/>
        <v>46041</v>
      </c>
      <c r="B397" s="1">
        <f t="shared" si="30"/>
        <v>46047</v>
      </c>
      <c r="C397" s="2" t="s">
        <v>1126</v>
      </c>
      <c r="D397" s="2" t="s">
        <v>1123</v>
      </c>
      <c r="E397" s="2">
        <v>3</v>
      </c>
      <c r="F397" s="2" t="s">
        <v>1158</v>
      </c>
      <c r="G397" s="2" t="str">
        <f>Table13[[#This Row],[Month]]&amp;", "&amp;Table13[[#This Row],[FY]]</f>
        <v>JAN, FY26</v>
      </c>
      <c r="H397" s="2" t="str">
        <f>Table13[[#This Row],[Week]]&amp;", "&amp;Table13[[#This Row],[Month]]&amp;" "&amp;Table13[[#This Row],[FY]]</f>
        <v>Week 30, JAN FY26</v>
      </c>
      <c r="I397" s="2" t="str">
        <f>Table13[[#This Row],[Month]]&amp;", "&amp;Table13[[#This Row],[FY]]</f>
        <v>JAN, FY26</v>
      </c>
      <c r="J397" s="2" t="str">
        <f>"Q"&amp;Table13[[#This Row],[QTR]]&amp;", "&amp;Table13[[#This Row],[FY]]</f>
        <v>Q3, FY26</v>
      </c>
    </row>
    <row r="398" spans="1:10" x14ac:dyDescent="0.25">
      <c r="A398" s="1">
        <f t="shared" si="30"/>
        <v>46048</v>
      </c>
      <c r="B398" s="1">
        <f t="shared" si="30"/>
        <v>46054</v>
      </c>
      <c r="C398" s="2" t="s">
        <v>1127</v>
      </c>
      <c r="D398" s="2" t="s">
        <v>1128</v>
      </c>
      <c r="E398" s="2">
        <v>3</v>
      </c>
      <c r="F398" s="2" t="s">
        <v>1158</v>
      </c>
      <c r="G398" s="2" t="str">
        <f>Table13[[#This Row],[Month]]&amp;", "&amp;Table13[[#This Row],[FY]]</f>
        <v>FEB, FY26</v>
      </c>
      <c r="H398" s="2" t="str">
        <f>Table13[[#This Row],[Week]]&amp;", "&amp;Table13[[#This Row],[Month]]&amp;" "&amp;Table13[[#This Row],[FY]]</f>
        <v>Week 31, FEB FY26</v>
      </c>
      <c r="I398" s="2" t="str">
        <f>Table13[[#This Row],[Month]]&amp;", "&amp;Table13[[#This Row],[FY]]</f>
        <v>FEB, FY26</v>
      </c>
      <c r="J398" s="2" t="str">
        <f>"Q"&amp;Table13[[#This Row],[QTR]]&amp;", "&amp;Table13[[#This Row],[FY]]</f>
        <v>Q3, FY26</v>
      </c>
    </row>
    <row r="399" spans="1:10" x14ac:dyDescent="0.25">
      <c r="A399" s="1">
        <f t="shared" si="30"/>
        <v>46055</v>
      </c>
      <c r="B399" s="1">
        <f t="shared" si="30"/>
        <v>46061</v>
      </c>
      <c r="C399" s="2" t="s">
        <v>1129</v>
      </c>
      <c r="D399" s="2" t="s">
        <v>1128</v>
      </c>
      <c r="E399" s="2">
        <v>3</v>
      </c>
      <c r="F399" s="2" t="s">
        <v>1158</v>
      </c>
      <c r="G399" s="2" t="str">
        <f>Table13[[#This Row],[Month]]&amp;", "&amp;Table13[[#This Row],[FY]]</f>
        <v>FEB, FY26</v>
      </c>
      <c r="H399" s="2" t="str">
        <f>Table13[[#This Row],[Week]]&amp;", "&amp;Table13[[#This Row],[Month]]&amp;" "&amp;Table13[[#This Row],[FY]]</f>
        <v>Week 32, FEB FY26</v>
      </c>
      <c r="I399" s="2" t="str">
        <f>Table13[[#This Row],[Month]]&amp;", "&amp;Table13[[#This Row],[FY]]</f>
        <v>FEB, FY26</v>
      </c>
      <c r="J399" s="2" t="str">
        <f>"Q"&amp;Table13[[#This Row],[QTR]]&amp;", "&amp;Table13[[#This Row],[FY]]</f>
        <v>Q3, FY26</v>
      </c>
    </row>
    <row r="400" spans="1:10" x14ac:dyDescent="0.25">
      <c r="A400" s="1">
        <f t="shared" ref="A400:B415" si="31">A399+7</f>
        <v>46062</v>
      </c>
      <c r="B400" s="1">
        <f t="shared" si="31"/>
        <v>46068</v>
      </c>
      <c r="C400" s="2" t="s">
        <v>1130</v>
      </c>
      <c r="D400" s="2" t="s">
        <v>1128</v>
      </c>
      <c r="E400" s="2">
        <v>3</v>
      </c>
      <c r="F400" s="2" t="s">
        <v>1158</v>
      </c>
      <c r="G400" s="2" t="str">
        <f>Table13[[#This Row],[Month]]&amp;", "&amp;Table13[[#This Row],[FY]]</f>
        <v>FEB, FY26</v>
      </c>
      <c r="H400" s="2" t="str">
        <f>Table13[[#This Row],[Week]]&amp;", "&amp;Table13[[#This Row],[Month]]&amp;" "&amp;Table13[[#This Row],[FY]]</f>
        <v>Week 33, FEB FY26</v>
      </c>
      <c r="I400" s="2" t="str">
        <f>Table13[[#This Row],[Month]]&amp;", "&amp;Table13[[#This Row],[FY]]</f>
        <v>FEB, FY26</v>
      </c>
      <c r="J400" s="2" t="str">
        <f>"Q"&amp;Table13[[#This Row],[QTR]]&amp;", "&amp;Table13[[#This Row],[FY]]</f>
        <v>Q3, FY26</v>
      </c>
    </row>
    <row r="401" spans="1:10" x14ac:dyDescent="0.25">
      <c r="A401" s="1">
        <f t="shared" si="31"/>
        <v>46069</v>
      </c>
      <c r="B401" s="1">
        <f t="shared" si="31"/>
        <v>46075</v>
      </c>
      <c r="C401" s="2" t="s">
        <v>1131</v>
      </c>
      <c r="D401" s="2" t="s">
        <v>1128</v>
      </c>
      <c r="E401" s="2">
        <v>3</v>
      </c>
      <c r="F401" s="2" t="s">
        <v>1158</v>
      </c>
      <c r="G401" s="2" t="str">
        <f>Table13[[#This Row],[Month]]&amp;", "&amp;Table13[[#This Row],[FY]]</f>
        <v>FEB, FY26</v>
      </c>
      <c r="H401" s="2" t="str">
        <f>Table13[[#This Row],[Week]]&amp;", "&amp;Table13[[#This Row],[Month]]&amp;" "&amp;Table13[[#This Row],[FY]]</f>
        <v>Week 34, FEB FY26</v>
      </c>
      <c r="I401" s="2" t="str">
        <f>Table13[[#This Row],[Month]]&amp;", "&amp;Table13[[#This Row],[FY]]</f>
        <v>FEB, FY26</v>
      </c>
      <c r="J401" s="2" t="str">
        <f>"Q"&amp;Table13[[#This Row],[QTR]]&amp;", "&amp;Table13[[#This Row],[FY]]</f>
        <v>Q3, FY26</v>
      </c>
    </row>
    <row r="402" spans="1:10" x14ac:dyDescent="0.25">
      <c r="A402" s="1">
        <f t="shared" si="31"/>
        <v>46076</v>
      </c>
      <c r="B402" s="1">
        <f t="shared" si="31"/>
        <v>46082</v>
      </c>
      <c r="C402" s="2" t="s">
        <v>1132</v>
      </c>
      <c r="D402" s="2" t="s">
        <v>1128</v>
      </c>
      <c r="E402" s="2">
        <v>3</v>
      </c>
      <c r="F402" s="2" t="s">
        <v>1158</v>
      </c>
      <c r="G402" s="2" t="str">
        <f>Table13[[#This Row],[Month]]&amp;", "&amp;Table13[[#This Row],[FY]]</f>
        <v>FEB, FY26</v>
      </c>
      <c r="H402" s="2" t="str">
        <f>Table13[[#This Row],[Week]]&amp;", "&amp;Table13[[#This Row],[Month]]&amp;" "&amp;Table13[[#This Row],[FY]]</f>
        <v>Week 35, FEB FY26</v>
      </c>
      <c r="I402" s="2" t="str">
        <f>Table13[[#This Row],[Month]]&amp;", "&amp;Table13[[#This Row],[FY]]</f>
        <v>FEB, FY26</v>
      </c>
      <c r="J402" s="2" t="str">
        <f>"Q"&amp;Table13[[#This Row],[QTR]]&amp;", "&amp;Table13[[#This Row],[FY]]</f>
        <v>Q3, FY26</v>
      </c>
    </row>
    <row r="403" spans="1:10" x14ac:dyDescent="0.25">
      <c r="A403" s="1">
        <f t="shared" si="31"/>
        <v>46083</v>
      </c>
      <c r="B403" s="1">
        <f t="shared" si="31"/>
        <v>46089</v>
      </c>
      <c r="C403" s="2" t="s">
        <v>1133</v>
      </c>
      <c r="D403" s="2" t="s">
        <v>1134</v>
      </c>
      <c r="E403" s="2">
        <v>3</v>
      </c>
      <c r="F403" s="2" t="s">
        <v>1158</v>
      </c>
      <c r="G403" s="2" t="str">
        <f>Table13[[#This Row],[Month]]&amp;", "&amp;Table13[[#This Row],[FY]]</f>
        <v>MAR, FY26</v>
      </c>
      <c r="H403" s="2" t="str">
        <f>Table13[[#This Row],[Week]]&amp;", "&amp;Table13[[#This Row],[Month]]&amp;" "&amp;Table13[[#This Row],[FY]]</f>
        <v>Week 36, MAR FY26</v>
      </c>
      <c r="I403" s="2" t="str">
        <f>Table13[[#This Row],[Month]]&amp;", "&amp;Table13[[#This Row],[FY]]</f>
        <v>MAR, FY26</v>
      </c>
      <c r="J403" s="2" t="str">
        <f>"Q"&amp;Table13[[#This Row],[QTR]]&amp;", "&amp;Table13[[#This Row],[FY]]</f>
        <v>Q3, FY26</v>
      </c>
    </row>
    <row r="404" spans="1:10" x14ac:dyDescent="0.25">
      <c r="A404" s="1">
        <f t="shared" si="31"/>
        <v>46090</v>
      </c>
      <c r="B404" s="1">
        <f t="shared" si="31"/>
        <v>46096</v>
      </c>
      <c r="C404" s="2" t="s">
        <v>1135</v>
      </c>
      <c r="D404" s="2" t="s">
        <v>1134</v>
      </c>
      <c r="E404" s="2">
        <v>3</v>
      </c>
      <c r="F404" s="2" t="s">
        <v>1158</v>
      </c>
      <c r="G404" s="2" t="str">
        <f>Table13[[#This Row],[Month]]&amp;", "&amp;Table13[[#This Row],[FY]]</f>
        <v>MAR, FY26</v>
      </c>
      <c r="H404" s="2" t="str">
        <f>Table13[[#This Row],[Week]]&amp;", "&amp;Table13[[#This Row],[Month]]&amp;" "&amp;Table13[[#This Row],[FY]]</f>
        <v>Week 37, MAR FY26</v>
      </c>
      <c r="I404" s="2" t="str">
        <f>Table13[[#This Row],[Month]]&amp;", "&amp;Table13[[#This Row],[FY]]</f>
        <v>MAR, FY26</v>
      </c>
      <c r="J404" s="2" t="str">
        <f>"Q"&amp;Table13[[#This Row],[QTR]]&amp;", "&amp;Table13[[#This Row],[FY]]</f>
        <v>Q3, FY26</v>
      </c>
    </row>
    <row r="405" spans="1:10" x14ac:dyDescent="0.25">
      <c r="A405" s="1">
        <f t="shared" si="31"/>
        <v>46097</v>
      </c>
      <c r="B405" s="1">
        <f t="shared" si="31"/>
        <v>46103</v>
      </c>
      <c r="C405" s="2" t="s">
        <v>1136</v>
      </c>
      <c r="D405" s="2" t="s">
        <v>1134</v>
      </c>
      <c r="E405" s="2">
        <v>3</v>
      </c>
      <c r="F405" s="2" t="s">
        <v>1158</v>
      </c>
      <c r="G405" s="2" t="str">
        <f>Table13[[#This Row],[Month]]&amp;", "&amp;Table13[[#This Row],[FY]]</f>
        <v>MAR, FY26</v>
      </c>
      <c r="H405" s="2" t="str">
        <f>Table13[[#This Row],[Week]]&amp;", "&amp;Table13[[#This Row],[Month]]&amp;" "&amp;Table13[[#This Row],[FY]]</f>
        <v>Week 38, MAR FY26</v>
      </c>
      <c r="I405" s="2" t="str">
        <f>Table13[[#This Row],[Month]]&amp;", "&amp;Table13[[#This Row],[FY]]</f>
        <v>MAR, FY26</v>
      </c>
      <c r="J405" s="2" t="str">
        <f>"Q"&amp;Table13[[#This Row],[QTR]]&amp;", "&amp;Table13[[#This Row],[FY]]</f>
        <v>Q3, FY26</v>
      </c>
    </row>
    <row r="406" spans="1:10" x14ac:dyDescent="0.25">
      <c r="A406" s="1">
        <f t="shared" si="31"/>
        <v>46104</v>
      </c>
      <c r="B406" s="1">
        <f t="shared" si="31"/>
        <v>46110</v>
      </c>
      <c r="C406" s="2" t="s">
        <v>1137</v>
      </c>
      <c r="D406" s="2" t="s">
        <v>1134</v>
      </c>
      <c r="E406" s="2">
        <v>3</v>
      </c>
      <c r="F406" s="2" t="s">
        <v>1158</v>
      </c>
      <c r="G406" s="2" t="str">
        <f>Table13[[#This Row],[Month]]&amp;", "&amp;Table13[[#This Row],[FY]]</f>
        <v>MAR, FY26</v>
      </c>
      <c r="H406" s="2" t="str">
        <f>Table13[[#This Row],[Week]]&amp;", "&amp;Table13[[#This Row],[Month]]&amp;" "&amp;Table13[[#This Row],[FY]]</f>
        <v>Week 39, MAR FY26</v>
      </c>
      <c r="I406" s="2" t="str">
        <f>Table13[[#This Row],[Month]]&amp;", "&amp;Table13[[#This Row],[FY]]</f>
        <v>MAR, FY26</v>
      </c>
      <c r="J406" s="2" t="str">
        <f>"Q"&amp;Table13[[#This Row],[QTR]]&amp;", "&amp;Table13[[#This Row],[FY]]</f>
        <v>Q3, FY26</v>
      </c>
    </row>
    <row r="407" spans="1:10" x14ac:dyDescent="0.25">
      <c r="A407" s="1">
        <f t="shared" si="31"/>
        <v>46111</v>
      </c>
      <c r="B407" s="1">
        <f t="shared" si="31"/>
        <v>46117</v>
      </c>
      <c r="C407" s="2" t="s">
        <v>1138</v>
      </c>
      <c r="D407" s="2" t="s">
        <v>1139</v>
      </c>
      <c r="E407" s="2">
        <v>4</v>
      </c>
      <c r="F407" s="2" t="s">
        <v>1158</v>
      </c>
      <c r="G407" s="2" t="str">
        <f>Table13[[#This Row],[Month]]&amp;", "&amp;Table13[[#This Row],[FY]]</f>
        <v>APR, FY26</v>
      </c>
      <c r="H407" s="2" t="str">
        <f>Table13[[#This Row],[Week]]&amp;", "&amp;Table13[[#This Row],[Month]]&amp;" "&amp;Table13[[#This Row],[FY]]</f>
        <v>Week 40, APR FY26</v>
      </c>
      <c r="I407" s="2" t="str">
        <f>Table13[[#This Row],[Month]]&amp;", "&amp;Table13[[#This Row],[FY]]</f>
        <v>APR, FY26</v>
      </c>
      <c r="J407" s="2" t="str">
        <f>"Q"&amp;Table13[[#This Row],[QTR]]&amp;", "&amp;Table13[[#This Row],[FY]]</f>
        <v>Q4, FY26</v>
      </c>
    </row>
    <row r="408" spans="1:10" x14ac:dyDescent="0.25">
      <c r="A408" s="1">
        <f t="shared" si="31"/>
        <v>46118</v>
      </c>
      <c r="B408" s="1">
        <f t="shared" si="31"/>
        <v>46124</v>
      </c>
      <c r="C408" s="2" t="s">
        <v>1140</v>
      </c>
      <c r="D408" s="2" t="s">
        <v>1139</v>
      </c>
      <c r="E408" s="2">
        <v>4</v>
      </c>
      <c r="F408" s="2" t="s">
        <v>1158</v>
      </c>
      <c r="G408" s="2" t="str">
        <f>Table13[[#This Row],[Month]]&amp;", "&amp;Table13[[#This Row],[FY]]</f>
        <v>APR, FY26</v>
      </c>
      <c r="H408" s="2" t="str">
        <f>Table13[[#This Row],[Week]]&amp;", "&amp;Table13[[#This Row],[Month]]&amp;" "&amp;Table13[[#This Row],[FY]]</f>
        <v>Week 41, APR FY26</v>
      </c>
      <c r="I408" s="2" t="str">
        <f>Table13[[#This Row],[Month]]&amp;", "&amp;Table13[[#This Row],[FY]]</f>
        <v>APR, FY26</v>
      </c>
      <c r="J408" s="2" t="str">
        <f>"Q"&amp;Table13[[#This Row],[QTR]]&amp;", "&amp;Table13[[#This Row],[FY]]</f>
        <v>Q4, FY26</v>
      </c>
    </row>
    <row r="409" spans="1:10" x14ac:dyDescent="0.25">
      <c r="A409" s="1">
        <f t="shared" si="31"/>
        <v>46125</v>
      </c>
      <c r="B409" s="1">
        <f t="shared" si="31"/>
        <v>46131</v>
      </c>
      <c r="C409" s="2" t="s">
        <v>1141</v>
      </c>
      <c r="D409" s="2" t="s">
        <v>1139</v>
      </c>
      <c r="E409" s="2">
        <v>4</v>
      </c>
      <c r="F409" s="2" t="s">
        <v>1158</v>
      </c>
      <c r="G409" s="2" t="str">
        <f>Table13[[#This Row],[Month]]&amp;", "&amp;Table13[[#This Row],[FY]]</f>
        <v>APR, FY26</v>
      </c>
      <c r="H409" s="2" t="str">
        <f>Table13[[#This Row],[Week]]&amp;", "&amp;Table13[[#This Row],[Month]]&amp;" "&amp;Table13[[#This Row],[FY]]</f>
        <v>Week 42, APR FY26</v>
      </c>
      <c r="I409" s="2" t="str">
        <f>Table13[[#This Row],[Month]]&amp;", "&amp;Table13[[#This Row],[FY]]</f>
        <v>APR, FY26</v>
      </c>
      <c r="J409" s="2" t="str">
        <f>"Q"&amp;Table13[[#This Row],[QTR]]&amp;", "&amp;Table13[[#This Row],[FY]]</f>
        <v>Q4, FY26</v>
      </c>
    </row>
    <row r="410" spans="1:10" x14ac:dyDescent="0.25">
      <c r="A410" s="1">
        <f t="shared" si="31"/>
        <v>46132</v>
      </c>
      <c r="B410" s="1">
        <f t="shared" si="31"/>
        <v>46138</v>
      </c>
      <c r="C410" s="2" t="s">
        <v>1142</v>
      </c>
      <c r="D410" s="2" t="s">
        <v>1139</v>
      </c>
      <c r="E410" s="2">
        <v>4</v>
      </c>
      <c r="F410" s="2" t="s">
        <v>1158</v>
      </c>
      <c r="G410" s="2" t="str">
        <f>Table13[[#This Row],[Month]]&amp;", "&amp;Table13[[#This Row],[FY]]</f>
        <v>APR, FY26</v>
      </c>
      <c r="H410" s="2" t="str">
        <f>Table13[[#This Row],[Week]]&amp;", "&amp;Table13[[#This Row],[Month]]&amp;" "&amp;Table13[[#This Row],[FY]]</f>
        <v>Week 43, APR FY26</v>
      </c>
      <c r="I410" s="2" t="str">
        <f>Table13[[#This Row],[Month]]&amp;", "&amp;Table13[[#This Row],[FY]]</f>
        <v>APR, FY26</v>
      </c>
      <c r="J410" s="2" t="str">
        <f>"Q"&amp;Table13[[#This Row],[QTR]]&amp;", "&amp;Table13[[#This Row],[FY]]</f>
        <v>Q4, FY26</v>
      </c>
    </row>
    <row r="411" spans="1:10" x14ac:dyDescent="0.25">
      <c r="A411" s="1">
        <f t="shared" si="31"/>
        <v>46139</v>
      </c>
      <c r="B411" s="1">
        <f t="shared" si="31"/>
        <v>46145</v>
      </c>
      <c r="C411" s="2" t="s">
        <v>1143</v>
      </c>
      <c r="D411" s="2" t="s">
        <v>6</v>
      </c>
      <c r="E411" s="2">
        <v>4</v>
      </c>
      <c r="F411" s="2" t="s">
        <v>1158</v>
      </c>
      <c r="G411" s="2" t="str">
        <f>Table13[[#This Row],[Month]]&amp;", "&amp;Table13[[#This Row],[FY]]</f>
        <v>MAY, FY26</v>
      </c>
      <c r="H411" s="2" t="str">
        <f>Table13[[#This Row],[Week]]&amp;", "&amp;Table13[[#This Row],[Month]]&amp;" "&amp;Table13[[#This Row],[FY]]</f>
        <v>Week 44, MAY FY26</v>
      </c>
      <c r="I411" s="2" t="str">
        <f>Table13[[#This Row],[Month]]&amp;", "&amp;Table13[[#This Row],[FY]]</f>
        <v>MAY, FY26</v>
      </c>
      <c r="J411" s="2" t="str">
        <f>"Q"&amp;Table13[[#This Row],[QTR]]&amp;", "&amp;Table13[[#This Row],[FY]]</f>
        <v>Q4, FY26</v>
      </c>
    </row>
    <row r="412" spans="1:10" x14ac:dyDescent="0.25">
      <c r="A412" s="1">
        <f t="shared" si="31"/>
        <v>46146</v>
      </c>
      <c r="B412" s="1">
        <f t="shared" si="31"/>
        <v>46152</v>
      </c>
      <c r="C412" s="2" t="s">
        <v>1144</v>
      </c>
      <c r="D412" s="2" t="s">
        <v>6</v>
      </c>
      <c r="E412" s="2">
        <v>4</v>
      </c>
      <c r="F412" s="2" t="s">
        <v>1158</v>
      </c>
      <c r="G412" s="2" t="str">
        <f>Table13[[#This Row],[Month]]&amp;", "&amp;Table13[[#This Row],[FY]]</f>
        <v>MAY, FY26</v>
      </c>
      <c r="H412" s="2" t="str">
        <f>Table13[[#This Row],[Week]]&amp;", "&amp;Table13[[#This Row],[Month]]&amp;" "&amp;Table13[[#This Row],[FY]]</f>
        <v>Week 45, MAY FY26</v>
      </c>
      <c r="I412" s="2" t="str">
        <f>Table13[[#This Row],[Month]]&amp;", "&amp;Table13[[#This Row],[FY]]</f>
        <v>MAY, FY26</v>
      </c>
      <c r="J412" s="2" t="str">
        <f>"Q"&amp;Table13[[#This Row],[QTR]]&amp;", "&amp;Table13[[#This Row],[FY]]</f>
        <v>Q4, FY26</v>
      </c>
    </row>
    <row r="413" spans="1:10" x14ac:dyDescent="0.25">
      <c r="A413" s="1">
        <f t="shared" si="31"/>
        <v>46153</v>
      </c>
      <c r="B413" s="1">
        <f t="shared" si="31"/>
        <v>46159</v>
      </c>
      <c r="C413" s="2" t="s">
        <v>1145</v>
      </c>
      <c r="D413" s="2" t="s">
        <v>6</v>
      </c>
      <c r="E413" s="2">
        <v>4</v>
      </c>
      <c r="F413" s="2" t="s">
        <v>1158</v>
      </c>
      <c r="G413" s="2" t="str">
        <f>Table13[[#This Row],[Month]]&amp;", "&amp;Table13[[#This Row],[FY]]</f>
        <v>MAY, FY26</v>
      </c>
      <c r="H413" s="2" t="str">
        <f>Table13[[#This Row],[Week]]&amp;", "&amp;Table13[[#This Row],[Month]]&amp;" "&amp;Table13[[#This Row],[FY]]</f>
        <v>Week 46, MAY FY26</v>
      </c>
      <c r="I413" s="2" t="str">
        <f>Table13[[#This Row],[Month]]&amp;", "&amp;Table13[[#This Row],[FY]]</f>
        <v>MAY, FY26</v>
      </c>
      <c r="J413" s="2" t="str">
        <f>"Q"&amp;Table13[[#This Row],[QTR]]&amp;", "&amp;Table13[[#This Row],[FY]]</f>
        <v>Q4, FY26</v>
      </c>
    </row>
    <row r="414" spans="1:10" x14ac:dyDescent="0.25">
      <c r="A414" s="1">
        <f t="shared" si="31"/>
        <v>46160</v>
      </c>
      <c r="B414" s="1">
        <f t="shared" si="31"/>
        <v>46166</v>
      </c>
      <c r="C414" s="2" t="s">
        <v>1146</v>
      </c>
      <c r="D414" s="2" t="s">
        <v>6</v>
      </c>
      <c r="E414" s="2">
        <v>4</v>
      </c>
      <c r="F414" s="2" t="s">
        <v>1158</v>
      </c>
      <c r="G414" s="2" t="str">
        <f>Table13[[#This Row],[Month]]&amp;", "&amp;Table13[[#This Row],[FY]]</f>
        <v>MAY, FY26</v>
      </c>
      <c r="H414" s="2" t="str">
        <f>Table13[[#This Row],[Week]]&amp;", "&amp;Table13[[#This Row],[Month]]&amp;" "&amp;Table13[[#This Row],[FY]]</f>
        <v>Week 47, MAY FY26</v>
      </c>
      <c r="I414" s="2" t="str">
        <f>Table13[[#This Row],[Month]]&amp;", "&amp;Table13[[#This Row],[FY]]</f>
        <v>MAY, FY26</v>
      </c>
      <c r="J414" s="2" t="str">
        <f>"Q"&amp;Table13[[#This Row],[QTR]]&amp;", "&amp;Table13[[#This Row],[FY]]</f>
        <v>Q4, FY26</v>
      </c>
    </row>
    <row r="415" spans="1:10" x14ac:dyDescent="0.25">
      <c r="A415" s="1">
        <f t="shared" si="31"/>
        <v>46167</v>
      </c>
      <c r="B415" s="1">
        <f t="shared" si="31"/>
        <v>46173</v>
      </c>
      <c r="C415" s="2" t="s">
        <v>1147</v>
      </c>
      <c r="D415" s="2" t="s">
        <v>6</v>
      </c>
      <c r="E415" s="2">
        <v>4</v>
      </c>
      <c r="F415" s="2" t="s">
        <v>1158</v>
      </c>
      <c r="G415" s="2" t="str">
        <f>Table13[[#This Row],[Month]]&amp;", "&amp;Table13[[#This Row],[FY]]</f>
        <v>MAY, FY26</v>
      </c>
      <c r="H415" s="2" t="str">
        <f>Table13[[#This Row],[Week]]&amp;", "&amp;Table13[[#This Row],[Month]]&amp;" "&amp;Table13[[#This Row],[FY]]</f>
        <v>Week 48, MAY FY26</v>
      </c>
      <c r="I415" s="2" t="str">
        <f>Table13[[#This Row],[Month]]&amp;", "&amp;Table13[[#This Row],[FY]]</f>
        <v>MAY, FY26</v>
      </c>
      <c r="J415" s="2" t="str">
        <f>"Q"&amp;Table13[[#This Row],[QTR]]&amp;", "&amp;Table13[[#This Row],[FY]]</f>
        <v>Q4, FY26</v>
      </c>
    </row>
    <row r="416" spans="1:10" x14ac:dyDescent="0.25">
      <c r="A416" s="1">
        <f t="shared" ref="A416:B419" si="32">A415+7</f>
        <v>46174</v>
      </c>
      <c r="B416" s="1">
        <f t="shared" si="32"/>
        <v>46180</v>
      </c>
      <c r="C416" s="2" t="s">
        <v>1148</v>
      </c>
      <c r="D416" s="2" t="s">
        <v>1149</v>
      </c>
      <c r="E416" s="2">
        <v>4</v>
      </c>
      <c r="F416" s="2" t="s">
        <v>1158</v>
      </c>
      <c r="G416" s="2" t="str">
        <f>Table13[[#This Row],[Month]]&amp;", "&amp;Table13[[#This Row],[FY]]</f>
        <v>JUN, FY26</v>
      </c>
      <c r="H416" s="2" t="str">
        <f>Table13[[#This Row],[Week]]&amp;", "&amp;Table13[[#This Row],[Month]]&amp;" "&amp;Table13[[#This Row],[FY]]</f>
        <v>Week 49, JUN FY26</v>
      </c>
      <c r="I416" s="2" t="str">
        <f>Table13[[#This Row],[Month]]&amp;", "&amp;Table13[[#This Row],[FY]]</f>
        <v>JUN, FY26</v>
      </c>
      <c r="J416" s="2" t="str">
        <f>"Q"&amp;Table13[[#This Row],[QTR]]&amp;", "&amp;Table13[[#This Row],[FY]]</f>
        <v>Q4, FY26</v>
      </c>
    </row>
    <row r="417" spans="1:10" x14ac:dyDescent="0.25">
      <c r="A417" s="1">
        <f t="shared" si="32"/>
        <v>46181</v>
      </c>
      <c r="B417" s="1">
        <f t="shared" si="32"/>
        <v>46187</v>
      </c>
      <c r="C417" s="2" t="s">
        <v>1150</v>
      </c>
      <c r="D417" s="2" t="s">
        <v>1149</v>
      </c>
      <c r="E417" s="2">
        <v>4</v>
      </c>
      <c r="F417" s="2" t="s">
        <v>1158</v>
      </c>
      <c r="G417" s="2" t="str">
        <f>Table13[[#This Row],[Month]]&amp;", "&amp;Table13[[#This Row],[FY]]</f>
        <v>JUN, FY26</v>
      </c>
      <c r="H417" s="2" t="str">
        <f>Table13[[#This Row],[Week]]&amp;", "&amp;Table13[[#This Row],[Month]]&amp;" "&amp;Table13[[#This Row],[FY]]</f>
        <v>Week 50, JUN FY26</v>
      </c>
      <c r="I417" s="2" t="str">
        <f>Table13[[#This Row],[Month]]&amp;", "&amp;Table13[[#This Row],[FY]]</f>
        <v>JUN, FY26</v>
      </c>
      <c r="J417" s="2" t="str">
        <f>"Q"&amp;Table13[[#This Row],[QTR]]&amp;", "&amp;Table13[[#This Row],[FY]]</f>
        <v>Q4, FY26</v>
      </c>
    </row>
    <row r="418" spans="1:10" x14ac:dyDescent="0.25">
      <c r="A418" s="1">
        <f t="shared" si="32"/>
        <v>46188</v>
      </c>
      <c r="B418" s="1">
        <f t="shared" si="32"/>
        <v>46194</v>
      </c>
      <c r="C418" s="2" t="s">
        <v>1151</v>
      </c>
      <c r="D418" s="2" t="s">
        <v>1149</v>
      </c>
      <c r="E418" s="2">
        <v>4</v>
      </c>
      <c r="F418" s="2" t="s">
        <v>1158</v>
      </c>
      <c r="G418" s="2" t="str">
        <f>Table13[[#This Row],[Month]]&amp;", "&amp;Table13[[#This Row],[FY]]</f>
        <v>JUN, FY26</v>
      </c>
      <c r="H418" s="2" t="str">
        <f>Table13[[#This Row],[Week]]&amp;", "&amp;Table13[[#This Row],[Month]]&amp;" "&amp;Table13[[#This Row],[FY]]</f>
        <v>Week 51, JUN FY26</v>
      </c>
      <c r="I418" s="2" t="str">
        <f>Table13[[#This Row],[Month]]&amp;", "&amp;Table13[[#This Row],[FY]]</f>
        <v>JUN, FY26</v>
      </c>
      <c r="J418" s="2" t="str">
        <f>"Q"&amp;Table13[[#This Row],[QTR]]&amp;", "&amp;Table13[[#This Row],[FY]]</f>
        <v>Q4, FY26</v>
      </c>
    </row>
    <row r="419" spans="1:10" x14ac:dyDescent="0.25">
      <c r="A419" s="1">
        <f t="shared" si="32"/>
        <v>46195</v>
      </c>
      <c r="B419" s="1">
        <f t="shared" si="32"/>
        <v>46201</v>
      </c>
      <c r="C419" s="2" t="s">
        <v>1152</v>
      </c>
      <c r="D419" s="2" t="s">
        <v>1149</v>
      </c>
      <c r="E419" s="2">
        <v>4</v>
      </c>
      <c r="F419" s="2" t="s">
        <v>1158</v>
      </c>
      <c r="G419" s="2" t="str">
        <f>Table13[[#This Row],[Month]]&amp;", "&amp;Table13[[#This Row],[FY]]</f>
        <v>JUN, FY26</v>
      </c>
      <c r="H419" s="2" t="str">
        <f>Table13[[#This Row],[Week]]&amp;", "&amp;Table13[[#This Row],[Month]]&amp;" "&amp;Table13[[#This Row],[FY]]</f>
        <v>Week 52, JUN FY26</v>
      </c>
      <c r="I419" s="2" t="str">
        <f>Table13[[#This Row],[Month]]&amp;", "&amp;Table13[[#This Row],[FY]]</f>
        <v>JUN, FY26</v>
      </c>
      <c r="J419" s="2" t="str">
        <f>"Q"&amp;Table13[[#This Row],[QTR]]&amp;", "&amp;Table13[[#This Row],[FY]]</f>
        <v>Q4, FY26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1bff2-4fdb-4dbe-b983-1f5bb93c66de">
      <Terms xmlns="http://schemas.microsoft.com/office/infopath/2007/PartnerControls"/>
    </lcf76f155ced4ddcb4097134ff3c332f>
    <TaxCatchAll xmlns="171106bd-b2e2-4b5b-87a3-e2aa04b9b1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73F607D156954B8896A3875359B0D5" ma:contentTypeVersion="14" ma:contentTypeDescription="Create a new document." ma:contentTypeScope="" ma:versionID="c397600699a9af9511bf4bb22a2d7a12">
  <xsd:schema xmlns:xsd="http://www.w3.org/2001/XMLSchema" xmlns:xs="http://www.w3.org/2001/XMLSchema" xmlns:p="http://schemas.microsoft.com/office/2006/metadata/properties" xmlns:ns2="171106bd-b2e2-4b5b-87a3-e2aa04b9b12f" xmlns:ns3="ed31bff2-4fdb-4dbe-b983-1f5bb93c66de" targetNamespace="http://schemas.microsoft.com/office/2006/metadata/properties" ma:root="true" ma:fieldsID="fe0634c864b417bda2f55d3129484015" ns2:_="" ns3:_="">
    <xsd:import namespace="171106bd-b2e2-4b5b-87a3-e2aa04b9b12f"/>
    <xsd:import namespace="ed31bff2-4fdb-4dbe-b983-1f5bb93c66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106bd-b2e2-4b5b-87a3-e2aa04b9b1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c0d95f2-3850-4bd4-a2fd-2899f53d464b}" ma:internalName="TaxCatchAll" ma:showField="CatchAllData" ma:web="171106bd-b2e2-4b5b-87a3-e2aa04b9b1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1bff2-4fdb-4dbe-b983-1f5bb93c6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1e47cdb-b198-43a3-9c45-c81d57e33a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3C44AB-483C-4E84-92E5-6F5A02D73C8C}">
  <ds:schemaRefs>
    <ds:schemaRef ds:uri="http://schemas.microsoft.com/office/2006/metadata/properties"/>
    <ds:schemaRef ds:uri="http://schemas.microsoft.com/office/infopath/2007/PartnerControls"/>
    <ds:schemaRef ds:uri="ed31bff2-4fdb-4dbe-b983-1f5bb93c66de"/>
    <ds:schemaRef ds:uri="171106bd-b2e2-4b5b-87a3-e2aa04b9b12f"/>
  </ds:schemaRefs>
</ds:datastoreItem>
</file>

<file path=customXml/itemProps2.xml><?xml version="1.0" encoding="utf-8"?>
<ds:datastoreItem xmlns:ds="http://schemas.openxmlformats.org/officeDocument/2006/customXml" ds:itemID="{E2FB2179-FAE2-4C9E-BBFF-EEEC7BE98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106bd-b2e2-4b5b-87a3-e2aa04b9b12f"/>
    <ds:schemaRef ds:uri="ed31bff2-4fdb-4dbe-b983-1f5bb93c6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2A77C3-F215-40E2-8CAC-BC5186D7CD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 SIT REPORT - APR</vt:lpstr>
      <vt:lpstr>HS SIT REPORT - APR</vt:lpstr>
      <vt:lpstr>SPL SIT REPORT - APR</vt:lpstr>
      <vt:lpstr>Pivot Results 1</vt:lpstr>
      <vt:lpstr>Pivot Results 2</vt:lpstr>
      <vt:lpstr>Monthly Graphs</vt:lpstr>
      <vt:lpstr>ANA FEED</vt:lpstr>
      <vt:lpstr>HS FEED</vt:lpstr>
      <vt:lpstr>SPL FEED</vt:lpstr>
      <vt:lpstr>Data Dump</vt:lpstr>
      <vt:lpstr>Store lookup</vt:lpstr>
      <vt:lpstr>FIN CAL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Luan Nguyen</cp:lastModifiedBy>
  <cp:revision/>
  <dcterms:created xsi:type="dcterms:W3CDTF">2025-04-29T04:16:26Z</dcterms:created>
  <dcterms:modified xsi:type="dcterms:W3CDTF">2026-09-17T15:10:05Z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0x010100A173F607D156954B8896A3875359B0D5</vt:lpwstr>
  </property>
  <property fmtid="{D5CDD505-2E9C-101B-9397-08002B2CF9AE}" pid="3" name="MediaServiceImageTags">
    <vt:lpwstr/>
  </property>
</Properties>
</file>