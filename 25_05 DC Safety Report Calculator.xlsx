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htkn0\Downloads\"/>
    </mc:Choice>
  </mc:AlternateContent>
  <xr:revisionPtr revIDLastSave="0" documentId="13_ncr:1_{376F5A4D-84F9-495C-BE5B-FAACC7C73FB0}" xr6:coauthVersionLast="47" xr6:coauthVersionMax="47" xr10:uidLastSave="{00000000-0000-0000-0000-000000000000}"/>
  <bookViews>
    <workbookView xWindow="-120" yWindow="-120" windowWidth="38640" windowHeight="21120" xr2:uid="{6D2589F1-028A-4742-9E69-D29790589DB8}"/>
  </bookViews>
  <sheets>
    <sheet name="INC REPORT_MAY" sheetId="5" r:id="rId1"/>
    <sheet name="INC Pivot REPORT_MAY" sheetId="4" r:id="rId2"/>
    <sheet name="INC REPORT_12-month Graphs " sheetId="7" r:id="rId3"/>
    <sheet name="HAZ REPORT_APR &amp; Q3 FY25" sheetId="12" r:id="rId4"/>
    <sheet name="HAZ REPORT_12-month Graphs " sheetId="14" r:id="rId5"/>
    <sheet name="IT FEED" sheetId="3" state="hidden" r:id="rId6"/>
    <sheet name="IT FEED - Chart" sheetId="9" state="hidden" r:id="rId7"/>
    <sheet name="HAZARD FEED" sheetId="11" state="hidden" r:id="rId8"/>
    <sheet name="HAZARD FEED - Chart" sheetId="15" state="hidden" r:id="rId9"/>
    <sheet name="Incident Data Dump" sheetId="1" state="hidden" r:id="rId10"/>
    <sheet name="Hazard Data Dump" sheetId="10" state="hidden" r:id="rId11"/>
    <sheet name="S910 DC Mapping" sheetId="13" state="hidden" r:id="rId12"/>
    <sheet name="FIN CAL LOOKUP" sheetId="2" state="hidden" r:id="rId13"/>
  </sheets>
  <definedNames>
    <definedName name="_xlnm._FilterDatabase" localSheetId="10" hidden="1">'Hazard Data Dump'!$A$1:$L$99</definedName>
    <definedName name="_xlnm._FilterDatabase" localSheetId="9" hidden="1">'Incident Data Dump'!$A$1:$R$231</definedName>
    <definedName name="_xlnm._FilterDatabase" localSheetId="11" hidden="1">'S910 DC Mapping'!$A$1:$B$1</definedName>
  </definedNames>
  <calcPr calcId="191029"/>
  <pivotCaches>
    <pivotCache cacheId="0" r:id="rId1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 l="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 i="1"/>
  <c r="R231" i="1"/>
  <c r="Q231" i="1"/>
  <c r="R230" i="1"/>
  <c r="Q230" i="1"/>
  <c r="R229" i="1"/>
  <c r="Q229" i="1"/>
  <c r="R228" i="1"/>
  <c r="Q228" i="1"/>
  <c r="R227" i="1"/>
  <c r="Q227" i="1"/>
  <c r="R226" i="1"/>
  <c r="Q226" i="1"/>
  <c r="R225" i="1"/>
  <c r="Q225" i="1"/>
  <c r="R135" i="1"/>
  <c r="Q135" i="1"/>
  <c r="R223" i="1"/>
  <c r="Q223" i="1"/>
  <c r="R90" i="1"/>
  <c r="Q90" i="1"/>
  <c r="R221" i="1"/>
  <c r="Q221" i="1"/>
  <c r="R220" i="1"/>
  <c r="Q220" i="1"/>
  <c r="R219" i="1"/>
  <c r="Q219" i="1"/>
  <c r="R218" i="1"/>
  <c r="Q218" i="1"/>
  <c r="R217" i="1"/>
  <c r="Q217" i="1"/>
  <c r="R216" i="1"/>
  <c r="Q216" i="1"/>
  <c r="R215" i="1"/>
  <c r="Q215" i="1"/>
  <c r="R214" i="1"/>
  <c r="Q214" i="1"/>
  <c r="R213" i="1"/>
  <c r="Q213" i="1"/>
  <c r="R212" i="1"/>
  <c r="Q212" i="1"/>
  <c r="R211" i="1"/>
  <c r="Q211" i="1"/>
  <c r="R210" i="1"/>
  <c r="Q210" i="1"/>
  <c r="R209" i="1"/>
  <c r="Q209" i="1"/>
  <c r="R208" i="1"/>
  <c r="Q208" i="1"/>
  <c r="R207" i="1"/>
  <c r="Q207" i="1"/>
  <c r="R206" i="1"/>
  <c r="Q206" i="1"/>
  <c r="R205" i="1"/>
  <c r="Q205" i="1"/>
  <c r="R204" i="1"/>
  <c r="Q204" i="1"/>
  <c r="R203" i="1"/>
  <c r="Q203" i="1"/>
  <c r="R202" i="1"/>
  <c r="Q202" i="1"/>
  <c r="R201" i="1"/>
  <c r="Q201" i="1"/>
  <c r="R200" i="1"/>
  <c r="Q200" i="1"/>
  <c r="R82" i="1"/>
  <c r="Q82" i="1"/>
  <c r="R198" i="1"/>
  <c r="Q198" i="1"/>
  <c r="R197" i="1"/>
  <c r="Q197" i="1"/>
  <c r="R196" i="1"/>
  <c r="Q196" i="1"/>
  <c r="R195" i="1"/>
  <c r="Q195" i="1"/>
  <c r="R194" i="1"/>
  <c r="Q194" i="1"/>
  <c r="R193" i="1"/>
  <c r="Q193" i="1"/>
  <c r="R192" i="1"/>
  <c r="Q192" i="1"/>
  <c r="R191" i="1"/>
  <c r="Q191" i="1"/>
  <c r="R190" i="1"/>
  <c r="Q190" i="1"/>
  <c r="R189" i="1"/>
  <c r="Q189" i="1"/>
  <c r="R89" i="1"/>
  <c r="Q89" i="1"/>
  <c r="R187" i="1"/>
  <c r="Q187" i="1"/>
  <c r="R186" i="1"/>
  <c r="Q186" i="1"/>
  <c r="R185" i="1"/>
  <c r="Q185" i="1"/>
  <c r="R184" i="1"/>
  <c r="Q184" i="1"/>
  <c r="R183" i="1"/>
  <c r="Q183" i="1"/>
  <c r="R182" i="1"/>
  <c r="Q182" i="1"/>
  <c r="R181" i="1"/>
  <c r="Q181" i="1"/>
  <c r="R180" i="1"/>
  <c r="Q180" i="1"/>
  <c r="R179" i="1"/>
  <c r="Q179" i="1"/>
  <c r="R178" i="1"/>
  <c r="Q178" i="1"/>
  <c r="R177" i="1"/>
  <c r="Q177" i="1"/>
  <c r="R176" i="1"/>
  <c r="Q176" i="1"/>
  <c r="R175" i="1"/>
  <c r="Q175" i="1"/>
  <c r="R174" i="1"/>
  <c r="Q174" i="1"/>
  <c r="R173" i="1"/>
  <c r="Q173" i="1"/>
  <c r="R172" i="1"/>
  <c r="Q172" i="1"/>
  <c r="R171" i="1"/>
  <c r="Q171" i="1"/>
  <c r="R170" i="1"/>
  <c r="Q170" i="1"/>
  <c r="R169" i="1"/>
  <c r="Q169" i="1"/>
  <c r="R168" i="1"/>
  <c r="Q168" i="1"/>
  <c r="R167" i="1"/>
  <c r="Q167" i="1"/>
  <c r="R166" i="1"/>
  <c r="Q166" i="1"/>
  <c r="R165" i="1"/>
  <c r="Q165" i="1"/>
  <c r="R164" i="1"/>
  <c r="Q164" i="1"/>
  <c r="R163" i="1"/>
  <c r="Q163" i="1"/>
  <c r="R162" i="1"/>
  <c r="Q162" i="1"/>
  <c r="R161" i="1"/>
  <c r="Q161" i="1"/>
  <c r="R188" i="1"/>
  <c r="Q188" i="1"/>
  <c r="R159" i="1"/>
  <c r="Q159" i="1"/>
  <c r="R158" i="1"/>
  <c r="Q158" i="1"/>
  <c r="R157" i="1"/>
  <c r="Q157" i="1"/>
  <c r="R156" i="1"/>
  <c r="Q156" i="1"/>
  <c r="R155" i="1"/>
  <c r="Q155" i="1"/>
  <c r="R154" i="1"/>
  <c r="Q154" i="1"/>
  <c r="R153" i="1"/>
  <c r="Q153" i="1"/>
  <c r="R152" i="1"/>
  <c r="Q152" i="1"/>
  <c r="R151" i="1"/>
  <c r="Q151" i="1"/>
  <c r="R150" i="1"/>
  <c r="Q150" i="1"/>
  <c r="R149" i="1"/>
  <c r="Q149" i="1"/>
  <c r="R148" i="1"/>
  <c r="Q148" i="1"/>
  <c r="R147" i="1"/>
  <c r="Q147" i="1"/>
  <c r="R112" i="1"/>
  <c r="Q112" i="1"/>
  <c r="R145" i="1"/>
  <c r="Q145" i="1"/>
  <c r="R144" i="1"/>
  <c r="Q144" i="1"/>
  <c r="R142" i="1"/>
  <c r="Q142" i="1"/>
  <c r="R115" i="1"/>
  <c r="Q115" i="1"/>
  <c r="R141" i="1"/>
  <c r="Q141" i="1"/>
  <c r="R140" i="1"/>
  <c r="Q140" i="1"/>
  <c r="R139" i="1"/>
  <c r="Q139" i="1"/>
  <c r="R138" i="1"/>
  <c r="Q138" i="1"/>
  <c r="R137" i="1"/>
  <c r="Q137" i="1"/>
  <c r="R136" i="1"/>
  <c r="Q136" i="1"/>
  <c r="R35" i="1"/>
  <c r="Q35" i="1"/>
  <c r="R134" i="1"/>
  <c r="Q134" i="1"/>
  <c r="R133" i="1"/>
  <c r="Q133" i="1"/>
  <c r="R143" i="1"/>
  <c r="Q143" i="1"/>
  <c r="R131" i="1"/>
  <c r="Q131" i="1"/>
  <c r="R130" i="1"/>
  <c r="Q130" i="1"/>
  <c r="R113" i="1"/>
  <c r="Q113" i="1"/>
  <c r="R128" i="1"/>
  <c r="Q128" i="1"/>
  <c r="R127" i="1"/>
  <c r="Q127" i="1"/>
  <c r="R126" i="1"/>
  <c r="Q126" i="1"/>
  <c r="R125" i="1"/>
  <c r="Q125" i="1"/>
  <c r="J3" i="10"/>
  <c r="J4" i="10"/>
  <c r="J5" i="10"/>
  <c r="J6" i="10"/>
  <c r="J7" i="10"/>
  <c r="J8" i="10"/>
  <c r="J9" i="10"/>
  <c r="J10" i="10"/>
  <c r="J11" i="10"/>
  <c r="J12" i="10"/>
  <c r="J13" i="10"/>
  <c r="J14" i="10"/>
  <c r="J15" i="10"/>
  <c r="J16" i="10"/>
  <c r="J17" i="10"/>
  <c r="J18" i="10"/>
  <c r="J19" i="10"/>
  <c r="J20" i="10"/>
  <c r="J21" i="10"/>
  <c r="J22" i="10"/>
  <c r="J23" i="10"/>
  <c r="J24" i="10"/>
  <c r="J25" i="10"/>
  <c r="J26" i="10"/>
  <c r="J27" i="10"/>
  <c r="J28" i="10"/>
  <c r="J29" i="10"/>
  <c r="J30" i="10"/>
  <c r="J31" i="10"/>
  <c r="J32" i="10"/>
  <c r="J33" i="10"/>
  <c r="J34" i="10"/>
  <c r="J35" i="10"/>
  <c r="J36" i="10"/>
  <c r="J37" i="10"/>
  <c r="J38" i="10"/>
  <c r="J39" i="10"/>
  <c r="J40" i="10"/>
  <c r="J41" i="10"/>
  <c r="J42" i="10"/>
  <c r="J43" i="10"/>
  <c r="J44" i="10"/>
  <c r="J45" i="10"/>
  <c r="J46" i="10"/>
  <c r="J47" i="10"/>
  <c r="J48" i="10"/>
  <c r="J49" i="10"/>
  <c r="J50" i="10"/>
  <c r="J51" i="10"/>
  <c r="J52" i="10"/>
  <c r="J53" i="10"/>
  <c r="J54" i="10"/>
  <c r="J55" i="10"/>
  <c r="J56" i="10"/>
  <c r="J57" i="10"/>
  <c r="J58" i="10"/>
  <c r="J59" i="10"/>
  <c r="J60" i="10"/>
  <c r="J61" i="10"/>
  <c r="J62" i="10"/>
  <c r="J63" i="10"/>
  <c r="J64" i="10"/>
  <c r="J65" i="10"/>
  <c r="J66" i="10"/>
  <c r="J67" i="10"/>
  <c r="J68" i="10"/>
  <c r="J69" i="10"/>
  <c r="J70" i="10"/>
  <c r="J71" i="10"/>
  <c r="J72" i="10"/>
  <c r="J73" i="10"/>
  <c r="J74" i="10"/>
  <c r="J75" i="10"/>
  <c r="J76" i="10"/>
  <c r="J77" i="10"/>
  <c r="J78" i="10"/>
  <c r="J79" i="10"/>
  <c r="J80" i="10"/>
  <c r="J81" i="10"/>
  <c r="J82" i="10"/>
  <c r="J83" i="10"/>
  <c r="J84" i="10"/>
  <c r="J85" i="10"/>
  <c r="J86" i="10"/>
  <c r="J87" i="10"/>
  <c r="J88" i="10"/>
  <c r="J89" i="10"/>
  <c r="J90" i="10"/>
  <c r="J91" i="10"/>
  <c r="J92" i="10"/>
  <c r="J93" i="10"/>
  <c r="J94" i="10"/>
  <c r="J95" i="10"/>
  <c r="J96" i="10"/>
  <c r="J97" i="10"/>
  <c r="J98" i="10"/>
  <c r="J99" i="10"/>
  <c r="J2" i="10"/>
  <c r="L99" i="10" l="1"/>
  <c r="K99" i="10"/>
  <c r="L98" i="10"/>
  <c r="K98" i="10"/>
  <c r="L97" i="10"/>
  <c r="K97" i="10"/>
  <c r="L96" i="10"/>
  <c r="K96" i="10"/>
  <c r="L95" i="10"/>
  <c r="K95" i="10"/>
  <c r="L94" i="10"/>
  <c r="K94" i="10"/>
  <c r="L93" i="10"/>
  <c r="K93" i="10"/>
  <c r="L92" i="10"/>
  <c r="K92" i="10"/>
  <c r="L91" i="10"/>
  <c r="K91" i="10"/>
  <c r="L90" i="10"/>
  <c r="K90" i="10"/>
  <c r="L89" i="10"/>
  <c r="K89" i="10"/>
  <c r="L88" i="10"/>
  <c r="K88" i="10"/>
  <c r="L87" i="10"/>
  <c r="K87" i="10"/>
  <c r="L86" i="10"/>
  <c r="K86" i="10"/>
  <c r="L85" i="10"/>
  <c r="K85" i="10"/>
  <c r="L84" i="10"/>
  <c r="K84" i="10"/>
  <c r="L83" i="10"/>
  <c r="K83" i="10"/>
  <c r="L82" i="10"/>
  <c r="K82" i="10"/>
  <c r="L81" i="10"/>
  <c r="K81" i="10"/>
  <c r="L80" i="10"/>
  <c r="K80" i="10"/>
  <c r="L79" i="10"/>
  <c r="K79" i="10"/>
  <c r="L78" i="10"/>
  <c r="K78" i="10"/>
  <c r="L77" i="10"/>
  <c r="K77" i="10"/>
  <c r="L76" i="10"/>
  <c r="K76" i="10"/>
  <c r="L75" i="10"/>
  <c r="K75" i="10"/>
  <c r="L74" i="10"/>
  <c r="K74" i="10"/>
  <c r="L73" i="10"/>
  <c r="K73" i="10"/>
  <c r="L72" i="10"/>
  <c r="K72" i="10"/>
  <c r="L71" i="10"/>
  <c r="K71" i="10"/>
  <c r="L70" i="10"/>
  <c r="K70" i="10"/>
  <c r="L69" i="10"/>
  <c r="K69" i="10"/>
  <c r="L68" i="10"/>
  <c r="K68" i="10"/>
  <c r="L67" i="10"/>
  <c r="K67" i="10"/>
  <c r="L66" i="10"/>
  <c r="K66" i="10"/>
  <c r="L65" i="10"/>
  <c r="K65" i="10"/>
  <c r="L64" i="10"/>
  <c r="K64" i="10"/>
  <c r="L63" i="10"/>
  <c r="K63" i="10"/>
  <c r="L62" i="10"/>
  <c r="K62" i="10"/>
  <c r="L61" i="10"/>
  <c r="K61" i="10"/>
  <c r="L60" i="10"/>
  <c r="K60" i="10"/>
  <c r="L59" i="10"/>
  <c r="K59" i="10"/>
  <c r="L58" i="10"/>
  <c r="K58" i="10"/>
  <c r="L57" i="10"/>
  <c r="K57" i="10"/>
  <c r="L56" i="10"/>
  <c r="K56" i="10"/>
  <c r="L55" i="10"/>
  <c r="K55" i="10"/>
  <c r="L54" i="10"/>
  <c r="K54" i="10"/>
  <c r="L53" i="10"/>
  <c r="K53" i="10"/>
  <c r="L52" i="10"/>
  <c r="K52" i="10"/>
  <c r="L51" i="10"/>
  <c r="K51" i="10"/>
  <c r="L50" i="10"/>
  <c r="K50" i="10"/>
  <c r="L49" i="10"/>
  <c r="K49" i="10"/>
  <c r="L48" i="10"/>
  <c r="K48" i="10"/>
  <c r="L47" i="10"/>
  <c r="K47" i="10"/>
  <c r="L46" i="10"/>
  <c r="K46" i="10"/>
  <c r="L45" i="10"/>
  <c r="K45" i="10"/>
  <c r="L44" i="10"/>
  <c r="K44" i="10"/>
  <c r="L43" i="10"/>
  <c r="K43" i="10"/>
  <c r="L42" i="10"/>
  <c r="K42" i="10"/>
  <c r="L41" i="10"/>
  <c r="K41" i="10"/>
  <c r="L40" i="10"/>
  <c r="K40" i="10"/>
  <c r="L39" i="10"/>
  <c r="K39" i="10"/>
  <c r="L38" i="10"/>
  <c r="K38" i="10"/>
  <c r="L37" i="10"/>
  <c r="K37" i="10"/>
  <c r="L36" i="10"/>
  <c r="K36" i="10"/>
  <c r="L35" i="10"/>
  <c r="K35" i="10"/>
  <c r="L34" i="10"/>
  <c r="K34" i="10"/>
  <c r="L33" i="10"/>
  <c r="K33" i="10"/>
  <c r="L32" i="10"/>
  <c r="K32" i="10"/>
  <c r="L31" i="10"/>
  <c r="K31" i="10"/>
  <c r="L30" i="10"/>
  <c r="K30" i="10"/>
  <c r="L29" i="10"/>
  <c r="K29" i="10"/>
  <c r="L28" i="10"/>
  <c r="K28" i="10"/>
  <c r="L27" i="10"/>
  <c r="K27" i="10"/>
  <c r="L26" i="10"/>
  <c r="K26" i="10"/>
  <c r="L25" i="10"/>
  <c r="K25" i="10"/>
  <c r="R121" i="1"/>
  <c r="Q121" i="1"/>
  <c r="R67" i="1"/>
  <c r="Q67" i="1"/>
  <c r="R122" i="1"/>
  <c r="Q122" i="1"/>
  <c r="R56" i="1"/>
  <c r="Q56" i="1"/>
  <c r="R146" i="1"/>
  <c r="Q146" i="1"/>
  <c r="R119" i="1"/>
  <c r="Q119" i="1"/>
  <c r="R118" i="1"/>
  <c r="Q118" i="1"/>
  <c r="R117" i="1"/>
  <c r="Q117" i="1"/>
  <c r="R123" i="1"/>
  <c r="Q123" i="1"/>
  <c r="R88" i="1"/>
  <c r="Q88" i="1"/>
  <c r="R55" i="1"/>
  <c r="Q55" i="1"/>
  <c r="R47" i="1"/>
  <c r="Q47" i="1"/>
  <c r="R45" i="1"/>
  <c r="Q45" i="1"/>
  <c r="R111" i="1"/>
  <c r="Q111" i="1"/>
  <c r="R110" i="1"/>
  <c r="Q110" i="1"/>
  <c r="R109" i="1"/>
  <c r="Q109" i="1"/>
  <c r="R108" i="1"/>
  <c r="Q108" i="1"/>
  <c r="R98" i="1"/>
  <c r="Q98" i="1"/>
  <c r="R106" i="1"/>
  <c r="Q106" i="1"/>
  <c r="R105" i="1"/>
  <c r="Q105" i="1"/>
  <c r="R104" i="1"/>
  <c r="Q104" i="1"/>
  <c r="R44" i="1"/>
  <c r="Q44" i="1"/>
  <c r="R102" i="1"/>
  <c r="Q102" i="1"/>
  <c r="R101" i="1"/>
  <c r="Q101" i="1"/>
  <c r="R224" i="1"/>
  <c r="Q224" i="1"/>
  <c r="R99" i="1"/>
  <c r="Q99" i="1"/>
  <c r="R103" i="1"/>
  <c r="Q103" i="1"/>
  <c r="R96" i="1"/>
  <c r="Q96" i="1"/>
  <c r="R97" i="1"/>
  <c r="Q97" i="1"/>
  <c r="R95" i="1"/>
  <c r="Q95" i="1"/>
  <c r="R94" i="1"/>
  <c r="Q94" i="1"/>
  <c r="R93" i="1"/>
  <c r="Q93" i="1"/>
  <c r="R60" i="1"/>
  <c r="Q60" i="1"/>
  <c r="R91" i="1"/>
  <c r="Q91" i="1"/>
  <c r="R129" i="1"/>
  <c r="Q129" i="1"/>
  <c r="R84" i="1"/>
  <c r="Q84" i="1"/>
  <c r="R132" i="1"/>
  <c r="Q132" i="1"/>
  <c r="R87" i="1"/>
  <c r="Q87" i="1"/>
  <c r="R86" i="1"/>
  <c r="Q86" i="1"/>
  <c r="R85" i="1"/>
  <c r="Q85" i="1"/>
  <c r="R222" i="1"/>
  <c r="Q222" i="1"/>
  <c r="R83" i="1"/>
  <c r="Q83" i="1"/>
  <c r="R124" i="1"/>
  <c r="Q124" i="1"/>
  <c r="R81" i="1"/>
  <c r="Q81" i="1"/>
  <c r="R80" i="1"/>
  <c r="Q80" i="1"/>
  <c r="R79" i="1"/>
  <c r="Q79" i="1"/>
  <c r="R78" i="1"/>
  <c r="Q78" i="1"/>
  <c r="R77" i="1"/>
  <c r="Q77" i="1"/>
  <c r="R76" i="1"/>
  <c r="Q76" i="1"/>
  <c r="R75" i="1"/>
  <c r="Q75" i="1"/>
  <c r="R74" i="1"/>
  <c r="Q74" i="1"/>
  <c r="R73" i="1"/>
  <c r="Q73" i="1"/>
  <c r="R72" i="1"/>
  <c r="Q72" i="1"/>
  <c r="R71" i="1"/>
  <c r="Q71" i="1"/>
  <c r="R70" i="1"/>
  <c r="Q70" i="1"/>
  <c r="R2" i="1"/>
  <c r="Q2" i="1"/>
  <c r="AI2" i="15"/>
  <c r="AH2" i="15"/>
  <c r="AG2" i="15"/>
  <c r="AF2" i="15"/>
  <c r="AE2" i="15"/>
  <c r="AD2" i="15"/>
  <c r="AC2" i="15"/>
  <c r="AB2" i="15"/>
  <c r="AA2" i="15"/>
  <c r="Z2" i="15"/>
  <c r="Y2" i="15"/>
  <c r="X2" i="15"/>
  <c r="W2" i="15"/>
  <c r="V2" i="15"/>
  <c r="U2" i="15"/>
  <c r="T2" i="15"/>
  <c r="S2" i="15"/>
  <c r="R2" i="15"/>
  <c r="Q2" i="15"/>
  <c r="P2" i="15"/>
  <c r="O2" i="15"/>
  <c r="N2" i="15"/>
  <c r="M2" i="15"/>
  <c r="L2" i="15"/>
  <c r="K2" i="15"/>
  <c r="J2" i="15"/>
  <c r="I2" i="15"/>
  <c r="H2" i="15"/>
  <c r="G2" i="15"/>
  <c r="F2" i="15"/>
  <c r="E2" i="15"/>
  <c r="D2" i="15"/>
  <c r="C2" i="15"/>
  <c r="B2" i="15"/>
  <c r="M5" i="12"/>
  <c r="L5" i="12"/>
  <c r="K5" i="12"/>
  <c r="J5" i="12"/>
  <c r="G5" i="12"/>
  <c r="F5" i="12"/>
  <c r="E5" i="12"/>
  <c r="D5" i="12"/>
  <c r="AI2" i="11"/>
  <c r="AH2" i="11"/>
  <c r="AG2" i="11"/>
  <c r="AF2" i="11"/>
  <c r="AE2" i="11"/>
  <c r="AD2" i="11"/>
  <c r="AC2" i="11"/>
  <c r="AB2" i="11"/>
  <c r="AA2" i="11"/>
  <c r="Z2" i="11"/>
  <c r="Y2" i="11"/>
  <c r="X2" i="11"/>
  <c r="W2" i="11"/>
  <c r="V2" i="11"/>
  <c r="U2" i="11"/>
  <c r="T2" i="11"/>
  <c r="S2" i="11"/>
  <c r="R2" i="11"/>
  <c r="Q2" i="11"/>
  <c r="P2" i="11"/>
  <c r="O2" i="11"/>
  <c r="N2" i="11"/>
  <c r="M2" i="11"/>
  <c r="L2" i="11"/>
  <c r="K2" i="11"/>
  <c r="J2" i="11"/>
  <c r="I2" i="11"/>
  <c r="H2" i="11"/>
  <c r="G2" i="11"/>
  <c r="F2" i="11"/>
  <c r="E2" i="11"/>
  <c r="D2" i="11"/>
  <c r="C2" i="11"/>
  <c r="B2" i="11"/>
  <c r="L3" i="10"/>
  <c r="L4" i="10"/>
  <c r="L5" i="10"/>
  <c r="L6" i="10"/>
  <c r="L7" i="10"/>
  <c r="L8" i="10"/>
  <c r="L9" i="10"/>
  <c r="L10" i="10"/>
  <c r="L11" i="10"/>
  <c r="L12" i="10"/>
  <c r="L13" i="10"/>
  <c r="L14" i="10"/>
  <c r="L15" i="10"/>
  <c r="L16" i="10"/>
  <c r="L17" i="10"/>
  <c r="L18" i="10"/>
  <c r="L19" i="10"/>
  <c r="L20" i="10"/>
  <c r="L21" i="10"/>
  <c r="L22" i="10"/>
  <c r="L23" i="10"/>
  <c r="L24" i="10"/>
  <c r="K3" i="10"/>
  <c r="K4" i="10"/>
  <c r="K5" i="10"/>
  <c r="K6" i="10"/>
  <c r="K7" i="10"/>
  <c r="K8" i="10"/>
  <c r="K9" i="10"/>
  <c r="K10" i="10"/>
  <c r="K11" i="10"/>
  <c r="K12" i="10"/>
  <c r="K13" i="10"/>
  <c r="K14" i="10"/>
  <c r="K15" i="10"/>
  <c r="K16" i="10"/>
  <c r="K17" i="10"/>
  <c r="K18" i="10"/>
  <c r="K19" i="10"/>
  <c r="K20" i="10"/>
  <c r="K21" i="10"/>
  <c r="K22" i="10"/>
  <c r="K23" i="10"/>
  <c r="K24" i="10"/>
  <c r="L2" i="10"/>
  <c r="K2" i="10"/>
  <c r="Y5" i="11" l="1"/>
  <c r="K3" i="15"/>
  <c r="AG5" i="11"/>
  <c r="S4" i="15"/>
  <c r="AA4" i="15"/>
  <c r="N5" i="15"/>
  <c r="S5" i="15"/>
  <c r="D3" i="11"/>
  <c r="L5" i="11"/>
  <c r="T5" i="11"/>
  <c r="AB5" i="11"/>
  <c r="AG4" i="11"/>
  <c r="Y5" i="15"/>
  <c r="AG5" i="15"/>
  <c r="AA3" i="15"/>
  <c r="AB4" i="15"/>
  <c r="J4" i="15"/>
  <c r="C4" i="15"/>
  <c r="B5" i="15"/>
  <c r="F5" i="11"/>
  <c r="N5" i="11"/>
  <c r="D4" i="15"/>
  <c r="C5" i="15"/>
  <c r="F5" i="15"/>
  <c r="AC5" i="11"/>
  <c r="G5" i="11"/>
  <c r="O5" i="11"/>
  <c r="W5" i="11"/>
  <c r="AE5" i="11"/>
  <c r="D3" i="15"/>
  <c r="L3" i="15"/>
  <c r="T3" i="15"/>
  <c r="AB3" i="15"/>
  <c r="C3" i="15"/>
  <c r="K4" i="15"/>
  <c r="J5" i="15"/>
  <c r="U5" i="11"/>
  <c r="B4" i="15"/>
  <c r="B10" i="15" s="1"/>
  <c r="H5" i="11"/>
  <c r="P5" i="11"/>
  <c r="X5" i="11"/>
  <c r="AF5" i="11"/>
  <c r="U5" i="15"/>
  <c r="AC5" i="15"/>
  <c r="F3" i="15"/>
  <c r="L4" i="15"/>
  <c r="K5" i="15"/>
  <c r="B5" i="11"/>
  <c r="J5" i="11"/>
  <c r="G5" i="15"/>
  <c r="O5" i="15"/>
  <c r="W5" i="15"/>
  <c r="AE5" i="15"/>
  <c r="N3" i="15"/>
  <c r="T4" i="15"/>
  <c r="T10" i="15" s="1"/>
  <c r="AA5" i="15"/>
  <c r="AA6" i="15" s="1"/>
  <c r="C3" i="11"/>
  <c r="K5" i="11"/>
  <c r="S5" i="11"/>
  <c r="AA4" i="11"/>
  <c r="D4" i="11"/>
  <c r="H5" i="15"/>
  <c r="P5" i="15"/>
  <c r="X5" i="15"/>
  <c r="AF5" i="15"/>
  <c r="S3" i="15"/>
  <c r="H3" i="15"/>
  <c r="P3" i="15"/>
  <c r="X3" i="15"/>
  <c r="AF3" i="15"/>
  <c r="F4" i="15"/>
  <c r="N4" i="15"/>
  <c r="D5" i="15"/>
  <c r="D11" i="15" s="1"/>
  <c r="L5" i="15"/>
  <c r="T5" i="15"/>
  <c r="T11" i="15" s="1"/>
  <c r="AB5" i="15"/>
  <c r="U3" i="15"/>
  <c r="AC3" i="15"/>
  <c r="AD3" i="15" s="1"/>
  <c r="G3" i="15"/>
  <c r="O3" i="15"/>
  <c r="W3" i="15"/>
  <c r="AE3" i="15"/>
  <c r="U4" i="15"/>
  <c r="AC4" i="15"/>
  <c r="Y3" i="15"/>
  <c r="AG3" i="15"/>
  <c r="G4" i="15"/>
  <c r="O4" i="15"/>
  <c r="W4" i="15"/>
  <c r="AE4" i="15"/>
  <c r="B3" i="15"/>
  <c r="J3" i="15"/>
  <c r="H4" i="15"/>
  <c r="P4" i="15"/>
  <c r="X4" i="15"/>
  <c r="AF4" i="15"/>
  <c r="Y4" i="15"/>
  <c r="AG4" i="15"/>
  <c r="S10" i="15"/>
  <c r="B11" i="15"/>
  <c r="C11" i="15"/>
  <c r="S11" i="15"/>
  <c r="K3" i="11"/>
  <c r="L3" i="11"/>
  <c r="K4" i="11"/>
  <c r="D5" i="11"/>
  <c r="O3" i="11"/>
  <c r="L4" i="11"/>
  <c r="P3" i="11"/>
  <c r="O4" i="11"/>
  <c r="W3" i="11"/>
  <c r="P4" i="11"/>
  <c r="X3" i="11"/>
  <c r="W4" i="11"/>
  <c r="AB3" i="11"/>
  <c r="X4" i="11"/>
  <c r="AG3" i="11"/>
  <c r="AG6" i="11" s="1"/>
  <c r="AB4" i="11"/>
  <c r="AH5" i="11"/>
  <c r="B4" i="11"/>
  <c r="N3" i="11"/>
  <c r="Y3" i="11"/>
  <c r="C4" i="11"/>
  <c r="N4" i="11"/>
  <c r="Y4" i="11"/>
  <c r="C5" i="11"/>
  <c r="AA3" i="11"/>
  <c r="AA5" i="11"/>
  <c r="AD5" i="11" s="1"/>
  <c r="B3" i="11"/>
  <c r="F4" i="11"/>
  <c r="G3" i="11"/>
  <c r="S3" i="11"/>
  <c r="AC3" i="11"/>
  <c r="G4" i="11"/>
  <c r="S4" i="11"/>
  <c r="S10" i="11" s="1"/>
  <c r="AC4" i="11"/>
  <c r="F3" i="11"/>
  <c r="H3" i="11"/>
  <c r="T3" i="11"/>
  <c r="AE3" i="11"/>
  <c r="H4" i="11"/>
  <c r="T4" i="11"/>
  <c r="AE4" i="11"/>
  <c r="J3" i="11"/>
  <c r="U3" i="11"/>
  <c r="AF3" i="11"/>
  <c r="J4" i="11"/>
  <c r="U4" i="11"/>
  <c r="AF4" i="11"/>
  <c r="Z5" i="11"/>
  <c r="AJ2" i="9"/>
  <c r="AI2" i="9"/>
  <c r="AH2" i="9"/>
  <c r="AG2" i="9"/>
  <c r="AF2" i="9"/>
  <c r="AE2" i="9"/>
  <c r="AD2" i="9"/>
  <c r="AC2" i="9"/>
  <c r="AB2" i="9"/>
  <c r="AA2" i="9"/>
  <c r="Z2" i="9"/>
  <c r="Y2" i="9"/>
  <c r="X2" i="9"/>
  <c r="W2" i="9"/>
  <c r="V2" i="9"/>
  <c r="U2" i="9"/>
  <c r="T2" i="9"/>
  <c r="S2" i="9"/>
  <c r="R2" i="9"/>
  <c r="Q2" i="9"/>
  <c r="P2" i="9"/>
  <c r="O2" i="9"/>
  <c r="N2" i="9"/>
  <c r="M2" i="9"/>
  <c r="L2" i="9"/>
  <c r="K2" i="9"/>
  <c r="J2" i="9"/>
  <c r="I2" i="9"/>
  <c r="H2" i="9"/>
  <c r="G2" i="9"/>
  <c r="F2" i="9"/>
  <c r="E2" i="9"/>
  <c r="D2" i="9"/>
  <c r="C2" i="9"/>
  <c r="M35" i="5"/>
  <c r="L35" i="5"/>
  <c r="K35" i="5"/>
  <c r="J35" i="5"/>
  <c r="G35" i="5"/>
  <c r="F35" i="5"/>
  <c r="E35" i="5"/>
  <c r="D35" i="5"/>
  <c r="M25" i="5"/>
  <c r="L25" i="5"/>
  <c r="K25" i="5"/>
  <c r="J25" i="5"/>
  <c r="G25" i="5"/>
  <c r="F25" i="5"/>
  <c r="E25" i="5"/>
  <c r="D25" i="5"/>
  <c r="M15" i="5"/>
  <c r="L15" i="5"/>
  <c r="K15" i="5"/>
  <c r="J15" i="5"/>
  <c r="G15" i="5"/>
  <c r="F15" i="5"/>
  <c r="E15" i="5"/>
  <c r="D15" i="5"/>
  <c r="M5" i="5"/>
  <c r="L5" i="5"/>
  <c r="K5" i="5"/>
  <c r="J5" i="5"/>
  <c r="E5" i="5"/>
  <c r="G5" i="5"/>
  <c r="F5" i="5"/>
  <c r="D5" i="5"/>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E2" i="3"/>
  <c r="D2" i="3"/>
  <c r="C2" i="3"/>
  <c r="D9" i="12" a="1"/>
  <c r="L9" i="12" a="1"/>
  <c r="D8" i="12" a="1"/>
  <c r="D7" i="12" a="1"/>
  <c r="F8" i="12" a="1"/>
  <c r="F7" i="12" a="1"/>
  <c r="F9" i="12" a="1"/>
  <c r="AD4" i="15" l="1"/>
  <c r="AB6" i="15"/>
  <c r="M5" i="11"/>
  <c r="D6" i="11"/>
  <c r="T10" i="11"/>
  <c r="Q5" i="15"/>
  <c r="Q3" i="15"/>
  <c r="N6" i="15"/>
  <c r="T9" i="15"/>
  <c r="I5" i="11"/>
  <c r="D10" i="15"/>
  <c r="AH5" i="15"/>
  <c r="S9" i="15"/>
  <c r="S6" i="15"/>
  <c r="K6" i="15"/>
  <c r="E4" i="15"/>
  <c r="E10" i="15" s="1"/>
  <c r="I5" i="15"/>
  <c r="U9" i="15"/>
  <c r="C10" i="15"/>
  <c r="E5" i="15"/>
  <c r="F11" i="15" s="1"/>
  <c r="C6" i="15"/>
  <c r="Q5" i="11"/>
  <c r="Z5" i="15"/>
  <c r="AD4" i="11"/>
  <c r="F9" i="12"/>
  <c r="D9" i="12"/>
  <c r="V5" i="11"/>
  <c r="AI5" i="11" s="1"/>
  <c r="Q4" i="11"/>
  <c r="S6" i="11"/>
  <c r="M4" i="11"/>
  <c r="M4" i="15"/>
  <c r="AH4" i="15"/>
  <c r="Z4" i="15"/>
  <c r="P6" i="15"/>
  <c r="AE6" i="15"/>
  <c r="AH3" i="15"/>
  <c r="H6" i="15"/>
  <c r="T6" i="15"/>
  <c r="M3" i="15"/>
  <c r="J6" i="15"/>
  <c r="W6" i="15"/>
  <c r="Z3" i="15"/>
  <c r="AD5" i="15"/>
  <c r="F6" i="15"/>
  <c r="V3" i="15"/>
  <c r="V9" i="15" s="1"/>
  <c r="D9" i="15"/>
  <c r="C9" i="15"/>
  <c r="B9" i="15"/>
  <c r="E3" i="15"/>
  <c r="B6" i="15"/>
  <c r="AG6" i="15"/>
  <c r="O6" i="15"/>
  <c r="V4" i="15"/>
  <c r="D6" i="15"/>
  <c r="G6" i="15"/>
  <c r="Q4" i="15"/>
  <c r="M5" i="15"/>
  <c r="Y6" i="15"/>
  <c r="V5" i="15"/>
  <c r="W11" i="15" s="1"/>
  <c r="U11" i="15"/>
  <c r="AC6" i="15"/>
  <c r="I4" i="15"/>
  <c r="L6" i="15"/>
  <c r="U10" i="15"/>
  <c r="I3" i="15"/>
  <c r="U6" i="15"/>
  <c r="AF6" i="15"/>
  <c r="X6" i="15"/>
  <c r="F6" i="11"/>
  <c r="X6" i="11"/>
  <c r="C6" i="11"/>
  <c r="Z4" i="11"/>
  <c r="O6" i="11"/>
  <c r="AE6" i="11"/>
  <c r="F7" i="12"/>
  <c r="L9" i="12"/>
  <c r="D8" i="12"/>
  <c r="F8" i="12"/>
  <c r="D7" i="12"/>
  <c r="U6" i="11"/>
  <c r="B6" i="11"/>
  <c r="Q3" i="11"/>
  <c r="N6" i="11"/>
  <c r="AB6" i="11"/>
  <c r="AA6" i="11"/>
  <c r="M3" i="11"/>
  <c r="J6" i="11"/>
  <c r="AC6" i="11"/>
  <c r="W6" i="11"/>
  <c r="L6" i="11"/>
  <c r="K6" i="11"/>
  <c r="T6" i="11"/>
  <c r="G6" i="11"/>
  <c r="P6" i="11"/>
  <c r="AF6" i="11"/>
  <c r="H6" i="11"/>
  <c r="Y6" i="11"/>
  <c r="I4" i="11"/>
  <c r="Z3" i="11"/>
  <c r="AD3" i="11"/>
  <c r="I3" i="11"/>
  <c r="AH4" i="11"/>
  <c r="V4" i="11"/>
  <c r="W10" i="11" s="1"/>
  <c r="AH3" i="11"/>
  <c r="V3" i="11"/>
  <c r="X9" i="11" s="1"/>
  <c r="U10" i="11"/>
  <c r="S9" i="11"/>
  <c r="U9" i="11"/>
  <c r="T9" i="11"/>
  <c r="T11" i="11"/>
  <c r="S11" i="11"/>
  <c r="U11" i="11"/>
  <c r="C9" i="11"/>
  <c r="D9" i="11"/>
  <c r="E3" i="11"/>
  <c r="B9" i="11"/>
  <c r="D11" i="11"/>
  <c r="C11" i="11"/>
  <c r="B11" i="11"/>
  <c r="E5" i="11"/>
  <c r="G11" i="11" s="1"/>
  <c r="E4" i="11"/>
  <c r="B10" i="11"/>
  <c r="D10" i="11"/>
  <c r="C10" i="11"/>
  <c r="J419" i="2"/>
  <c r="I419" i="2"/>
  <c r="H419" i="2"/>
  <c r="G419" i="2"/>
  <c r="J418" i="2"/>
  <c r="I418" i="2"/>
  <c r="H418" i="2"/>
  <c r="G418" i="2"/>
  <c r="J417" i="2"/>
  <c r="I417" i="2"/>
  <c r="H417" i="2"/>
  <c r="G417" i="2"/>
  <c r="J416" i="2"/>
  <c r="I416" i="2"/>
  <c r="H416" i="2"/>
  <c r="G416" i="2"/>
  <c r="J415" i="2"/>
  <c r="I415" i="2"/>
  <c r="H415" i="2"/>
  <c r="G415" i="2"/>
  <c r="J414" i="2"/>
  <c r="I414" i="2"/>
  <c r="H414" i="2"/>
  <c r="G414" i="2"/>
  <c r="J413" i="2"/>
  <c r="I413" i="2"/>
  <c r="H413" i="2"/>
  <c r="G413" i="2"/>
  <c r="J412" i="2"/>
  <c r="I412" i="2"/>
  <c r="H412" i="2"/>
  <c r="G412" i="2"/>
  <c r="J411" i="2"/>
  <c r="I411" i="2"/>
  <c r="H411" i="2"/>
  <c r="G411" i="2"/>
  <c r="J410" i="2"/>
  <c r="I410" i="2"/>
  <c r="H410" i="2"/>
  <c r="G410" i="2"/>
  <c r="J409" i="2"/>
  <c r="I409" i="2"/>
  <c r="H409" i="2"/>
  <c r="G409" i="2"/>
  <c r="J408" i="2"/>
  <c r="I408" i="2"/>
  <c r="H408" i="2"/>
  <c r="G408" i="2"/>
  <c r="J407" i="2"/>
  <c r="I407" i="2"/>
  <c r="H407" i="2"/>
  <c r="G407" i="2"/>
  <c r="J406" i="2"/>
  <c r="I406" i="2"/>
  <c r="H406" i="2"/>
  <c r="G406" i="2"/>
  <c r="J405" i="2"/>
  <c r="I405" i="2"/>
  <c r="H405" i="2"/>
  <c r="G405" i="2"/>
  <c r="J404" i="2"/>
  <c r="I404" i="2"/>
  <c r="H404" i="2"/>
  <c r="G404" i="2"/>
  <c r="J403" i="2"/>
  <c r="I403" i="2"/>
  <c r="H403" i="2"/>
  <c r="G403" i="2"/>
  <c r="J402" i="2"/>
  <c r="I402" i="2"/>
  <c r="H402" i="2"/>
  <c r="G402" i="2"/>
  <c r="J401" i="2"/>
  <c r="I401" i="2"/>
  <c r="H401" i="2"/>
  <c r="G401" i="2"/>
  <c r="J400" i="2"/>
  <c r="I400" i="2"/>
  <c r="H400" i="2"/>
  <c r="G400" i="2"/>
  <c r="J399" i="2"/>
  <c r="I399" i="2"/>
  <c r="H399" i="2"/>
  <c r="G399" i="2"/>
  <c r="J398" i="2"/>
  <c r="I398" i="2"/>
  <c r="H398" i="2"/>
  <c r="G398" i="2"/>
  <c r="J397" i="2"/>
  <c r="I397" i="2"/>
  <c r="H397" i="2"/>
  <c r="G397" i="2"/>
  <c r="J396" i="2"/>
  <c r="I396" i="2"/>
  <c r="H396" i="2"/>
  <c r="G396" i="2"/>
  <c r="J395" i="2"/>
  <c r="I395" i="2"/>
  <c r="H395" i="2"/>
  <c r="G395" i="2"/>
  <c r="J394" i="2"/>
  <c r="I394" i="2"/>
  <c r="H394" i="2"/>
  <c r="G394" i="2"/>
  <c r="J393" i="2"/>
  <c r="I393" i="2"/>
  <c r="H393" i="2"/>
  <c r="G393" i="2"/>
  <c r="J392" i="2"/>
  <c r="I392" i="2"/>
  <c r="H392" i="2"/>
  <c r="G392" i="2"/>
  <c r="J391" i="2"/>
  <c r="I391" i="2"/>
  <c r="H391" i="2"/>
  <c r="G391" i="2"/>
  <c r="J390" i="2"/>
  <c r="I390" i="2"/>
  <c r="H390" i="2"/>
  <c r="G390" i="2"/>
  <c r="J389" i="2"/>
  <c r="I389" i="2"/>
  <c r="H389" i="2"/>
  <c r="G389" i="2"/>
  <c r="J388" i="2"/>
  <c r="I388" i="2"/>
  <c r="H388" i="2"/>
  <c r="G388" i="2"/>
  <c r="J387" i="2"/>
  <c r="I387" i="2"/>
  <c r="H387" i="2"/>
  <c r="G387" i="2"/>
  <c r="J386" i="2"/>
  <c r="I386" i="2"/>
  <c r="H386" i="2"/>
  <c r="G386" i="2"/>
  <c r="J385" i="2"/>
  <c r="I385" i="2"/>
  <c r="H385" i="2"/>
  <c r="G385" i="2"/>
  <c r="J384" i="2"/>
  <c r="I384" i="2"/>
  <c r="H384" i="2"/>
  <c r="G384" i="2"/>
  <c r="J383" i="2"/>
  <c r="I383" i="2"/>
  <c r="H383" i="2"/>
  <c r="G383" i="2"/>
  <c r="J382" i="2"/>
  <c r="I382" i="2"/>
  <c r="H382" i="2"/>
  <c r="G382" i="2"/>
  <c r="J381" i="2"/>
  <c r="I381" i="2"/>
  <c r="H381" i="2"/>
  <c r="G381" i="2"/>
  <c r="J380" i="2"/>
  <c r="I380" i="2"/>
  <c r="H380" i="2"/>
  <c r="G380" i="2"/>
  <c r="J379" i="2"/>
  <c r="I379" i="2"/>
  <c r="H379" i="2"/>
  <c r="G379" i="2"/>
  <c r="J378" i="2"/>
  <c r="I378" i="2"/>
  <c r="H378" i="2"/>
  <c r="G378" i="2"/>
  <c r="J377" i="2"/>
  <c r="I377" i="2"/>
  <c r="H377" i="2"/>
  <c r="G377" i="2"/>
  <c r="J376" i="2"/>
  <c r="I376" i="2"/>
  <c r="H376" i="2"/>
  <c r="G376" i="2"/>
  <c r="J375" i="2"/>
  <c r="I375" i="2"/>
  <c r="H375" i="2"/>
  <c r="G375" i="2"/>
  <c r="J374" i="2"/>
  <c r="I374" i="2"/>
  <c r="H374" i="2"/>
  <c r="G374" i="2"/>
  <c r="J373" i="2"/>
  <c r="I373" i="2"/>
  <c r="H373" i="2"/>
  <c r="G373" i="2"/>
  <c r="J372" i="2"/>
  <c r="I372" i="2"/>
  <c r="H372" i="2"/>
  <c r="G372" i="2"/>
  <c r="J371" i="2"/>
  <c r="I371" i="2"/>
  <c r="H371" i="2"/>
  <c r="G371" i="2"/>
  <c r="J370" i="2"/>
  <c r="I370" i="2"/>
  <c r="H370" i="2"/>
  <c r="G370" i="2"/>
  <c r="J369" i="2"/>
  <c r="I369" i="2"/>
  <c r="H369" i="2"/>
  <c r="G369" i="2"/>
  <c r="J368" i="2"/>
  <c r="I368" i="2"/>
  <c r="H368" i="2"/>
  <c r="G368" i="2"/>
  <c r="J367" i="2"/>
  <c r="I367" i="2"/>
  <c r="H367" i="2"/>
  <c r="G367" i="2"/>
  <c r="J366" i="2"/>
  <c r="I366" i="2"/>
  <c r="H366" i="2"/>
  <c r="G366" i="2"/>
  <c r="J365" i="2"/>
  <c r="I365" i="2"/>
  <c r="H365" i="2"/>
  <c r="G365" i="2"/>
  <c r="J364" i="2"/>
  <c r="I364" i="2"/>
  <c r="H364" i="2"/>
  <c r="G364" i="2"/>
  <c r="J363" i="2"/>
  <c r="I363" i="2"/>
  <c r="H363" i="2"/>
  <c r="G363" i="2"/>
  <c r="J362" i="2"/>
  <c r="I362" i="2"/>
  <c r="H362" i="2"/>
  <c r="G362" i="2"/>
  <c r="J361" i="2"/>
  <c r="I361" i="2"/>
  <c r="H361" i="2"/>
  <c r="G361" i="2"/>
  <c r="J360" i="2"/>
  <c r="I360" i="2"/>
  <c r="H360" i="2"/>
  <c r="G360" i="2"/>
  <c r="J359" i="2"/>
  <c r="I359" i="2"/>
  <c r="H359" i="2"/>
  <c r="G359" i="2"/>
  <c r="J358" i="2"/>
  <c r="I358" i="2"/>
  <c r="H358" i="2"/>
  <c r="G358" i="2"/>
  <c r="J357" i="2"/>
  <c r="I357" i="2"/>
  <c r="H357" i="2"/>
  <c r="G357" i="2"/>
  <c r="J356" i="2"/>
  <c r="I356" i="2"/>
  <c r="H356" i="2"/>
  <c r="G356" i="2"/>
  <c r="J355" i="2"/>
  <c r="I355" i="2"/>
  <c r="H355" i="2"/>
  <c r="G355" i="2"/>
  <c r="J354" i="2"/>
  <c r="I354" i="2"/>
  <c r="H354" i="2"/>
  <c r="G354" i="2"/>
  <c r="J353" i="2"/>
  <c r="I353" i="2"/>
  <c r="H353" i="2"/>
  <c r="G353" i="2"/>
  <c r="J352" i="2"/>
  <c r="I352" i="2"/>
  <c r="H352" i="2"/>
  <c r="G352" i="2"/>
  <c r="J351" i="2"/>
  <c r="I351" i="2"/>
  <c r="H351" i="2"/>
  <c r="G351" i="2"/>
  <c r="J350" i="2"/>
  <c r="I350" i="2"/>
  <c r="H350" i="2"/>
  <c r="G350" i="2"/>
  <c r="J349" i="2"/>
  <c r="I349" i="2"/>
  <c r="H349" i="2"/>
  <c r="G349" i="2"/>
  <c r="J348" i="2"/>
  <c r="I348" i="2"/>
  <c r="H348" i="2"/>
  <c r="G348" i="2"/>
  <c r="J347" i="2"/>
  <c r="I347" i="2"/>
  <c r="H347" i="2"/>
  <c r="G347" i="2"/>
  <c r="J346" i="2"/>
  <c r="I346" i="2"/>
  <c r="H346" i="2"/>
  <c r="G346" i="2"/>
  <c r="J345" i="2"/>
  <c r="I345" i="2"/>
  <c r="H345" i="2"/>
  <c r="G345" i="2"/>
  <c r="J344" i="2"/>
  <c r="I344" i="2"/>
  <c r="H344" i="2"/>
  <c r="G344" i="2"/>
  <c r="J343" i="2"/>
  <c r="I343" i="2"/>
  <c r="H343" i="2"/>
  <c r="G343" i="2"/>
  <c r="J342" i="2"/>
  <c r="I342" i="2"/>
  <c r="H342" i="2"/>
  <c r="G342" i="2"/>
  <c r="J341" i="2"/>
  <c r="I341" i="2"/>
  <c r="H341" i="2"/>
  <c r="G341" i="2"/>
  <c r="J340" i="2"/>
  <c r="I340" i="2"/>
  <c r="H340" i="2"/>
  <c r="G340" i="2"/>
  <c r="J339" i="2"/>
  <c r="I339" i="2"/>
  <c r="H339" i="2"/>
  <c r="G339" i="2"/>
  <c r="J338" i="2"/>
  <c r="I338" i="2"/>
  <c r="H338" i="2"/>
  <c r="G338" i="2"/>
  <c r="J337" i="2"/>
  <c r="I337" i="2"/>
  <c r="H337" i="2"/>
  <c r="G337" i="2"/>
  <c r="J336" i="2"/>
  <c r="I336" i="2"/>
  <c r="H336" i="2"/>
  <c r="G336" i="2"/>
  <c r="J335" i="2"/>
  <c r="I335" i="2"/>
  <c r="H335" i="2"/>
  <c r="G335" i="2"/>
  <c r="J334" i="2"/>
  <c r="I334" i="2"/>
  <c r="H334" i="2"/>
  <c r="G334" i="2"/>
  <c r="J333" i="2"/>
  <c r="I333" i="2"/>
  <c r="H333" i="2"/>
  <c r="G333" i="2"/>
  <c r="J332" i="2"/>
  <c r="I332" i="2"/>
  <c r="H332" i="2"/>
  <c r="G332" i="2"/>
  <c r="J331" i="2"/>
  <c r="I331" i="2"/>
  <c r="H331" i="2"/>
  <c r="G331" i="2"/>
  <c r="J330" i="2"/>
  <c r="I330" i="2"/>
  <c r="H330" i="2"/>
  <c r="G330" i="2"/>
  <c r="J329" i="2"/>
  <c r="I329" i="2"/>
  <c r="H329" i="2"/>
  <c r="G329" i="2"/>
  <c r="J328" i="2"/>
  <c r="I328" i="2"/>
  <c r="H328" i="2"/>
  <c r="G328" i="2"/>
  <c r="J327" i="2"/>
  <c r="I327" i="2"/>
  <c r="H327" i="2"/>
  <c r="G327" i="2"/>
  <c r="J326" i="2"/>
  <c r="I326" i="2"/>
  <c r="H326" i="2"/>
  <c r="G326" i="2"/>
  <c r="J325" i="2"/>
  <c r="I325" i="2"/>
  <c r="H325" i="2"/>
  <c r="G325" i="2"/>
  <c r="J324" i="2"/>
  <c r="I324" i="2"/>
  <c r="H324" i="2"/>
  <c r="G324" i="2"/>
  <c r="J323" i="2"/>
  <c r="I323" i="2"/>
  <c r="H323" i="2"/>
  <c r="G323" i="2"/>
  <c r="J322" i="2"/>
  <c r="I322" i="2"/>
  <c r="H322" i="2"/>
  <c r="G322" i="2"/>
  <c r="J321" i="2"/>
  <c r="I321" i="2"/>
  <c r="H321" i="2"/>
  <c r="G321" i="2"/>
  <c r="J320" i="2"/>
  <c r="I320" i="2"/>
  <c r="H320" i="2"/>
  <c r="G320" i="2"/>
  <c r="J319" i="2"/>
  <c r="I319" i="2"/>
  <c r="H319" i="2"/>
  <c r="G319" i="2"/>
  <c r="J318" i="2"/>
  <c r="I318" i="2"/>
  <c r="H318" i="2"/>
  <c r="G318" i="2"/>
  <c r="J317" i="2"/>
  <c r="I317" i="2"/>
  <c r="H317" i="2"/>
  <c r="G317" i="2"/>
  <c r="J316" i="2"/>
  <c r="I316" i="2"/>
  <c r="H316" i="2"/>
  <c r="G316" i="2"/>
  <c r="J315" i="2"/>
  <c r="I315" i="2"/>
  <c r="H315" i="2"/>
  <c r="G315" i="2"/>
  <c r="I314" i="2"/>
  <c r="H314" i="2"/>
  <c r="G314" i="2"/>
  <c r="I313" i="2"/>
  <c r="H313" i="2"/>
  <c r="G313" i="2"/>
  <c r="I312" i="2"/>
  <c r="H312" i="2"/>
  <c r="G312" i="2"/>
  <c r="I311" i="2"/>
  <c r="H311" i="2"/>
  <c r="G311" i="2"/>
  <c r="I310" i="2"/>
  <c r="H310" i="2"/>
  <c r="G310" i="2"/>
  <c r="I309" i="2"/>
  <c r="H309" i="2"/>
  <c r="G309" i="2"/>
  <c r="I308" i="2"/>
  <c r="H308" i="2"/>
  <c r="G308" i="2"/>
  <c r="I307" i="2"/>
  <c r="H307" i="2"/>
  <c r="G307" i="2"/>
  <c r="I306" i="2"/>
  <c r="H306" i="2"/>
  <c r="G306" i="2"/>
  <c r="I305" i="2"/>
  <c r="H305" i="2"/>
  <c r="G305" i="2"/>
  <c r="I304" i="2"/>
  <c r="H304" i="2"/>
  <c r="G304" i="2"/>
  <c r="I303" i="2"/>
  <c r="H303" i="2"/>
  <c r="G303" i="2"/>
  <c r="I302" i="2"/>
  <c r="H302" i="2"/>
  <c r="G302" i="2"/>
  <c r="I301" i="2"/>
  <c r="H301" i="2"/>
  <c r="G301" i="2"/>
  <c r="I300" i="2"/>
  <c r="H300" i="2"/>
  <c r="G300" i="2"/>
  <c r="I299" i="2"/>
  <c r="H299" i="2"/>
  <c r="G299" i="2"/>
  <c r="I298" i="2"/>
  <c r="H298" i="2"/>
  <c r="G298" i="2"/>
  <c r="E298" i="2"/>
  <c r="J298" i="2" s="1"/>
  <c r="I297" i="2"/>
  <c r="H297" i="2"/>
  <c r="G297" i="2"/>
  <c r="I296" i="2"/>
  <c r="H296" i="2"/>
  <c r="G296" i="2"/>
  <c r="I295" i="2"/>
  <c r="H295" i="2"/>
  <c r="G295" i="2"/>
  <c r="I294" i="2"/>
  <c r="H294" i="2"/>
  <c r="G294" i="2"/>
  <c r="E294" i="2"/>
  <c r="I293" i="2"/>
  <c r="H293" i="2"/>
  <c r="G293" i="2"/>
  <c r="I292" i="2"/>
  <c r="H292" i="2"/>
  <c r="G292" i="2"/>
  <c r="I291" i="2"/>
  <c r="H291" i="2"/>
  <c r="G291" i="2"/>
  <c r="I290" i="2"/>
  <c r="H290" i="2"/>
  <c r="G290" i="2"/>
  <c r="I289" i="2"/>
  <c r="H289" i="2"/>
  <c r="G289" i="2"/>
  <c r="I288" i="2"/>
  <c r="H288" i="2"/>
  <c r="G288" i="2"/>
  <c r="E288" i="2"/>
  <c r="J288" i="2" s="1"/>
  <c r="I287" i="2"/>
  <c r="H287" i="2"/>
  <c r="G287" i="2"/>
  <c r="E287" i="2"/>
  <c r="I286" i="2"/>
  <c r="H286" i="2"/>
  <c r="G286" i="2"/>
  <c r="E286" i="2"/>
  <c r="I285" i="2"/>
  <c r="H285" i="2"/>
  <c r="G285" i="2"/>
  <c r="E285" i="2"/>
  <c r="J285" i="2" s="1"/>
  <c r="J284" i="2"/>
  <c r="I284" i="2"/>
  <c r="H284" i="2"/>
  <c r="G284" i="2"/>
  <c r="E284" i="2"/>
  <c r="E297" i="2" s="1"/>
  <c r="J297" i="2" s="1"/>
  <c r="I283" i="2"/>
  <c r="H283" i="2"/>
  <c r="G283" i="2"/>
  <c r="E283" i="2"/>
  <c r="E296" i="2" s="1"/>
  <c r="I282" i="2"/>
  <c r="H282" i="2"/>
  <c r="G282" i="2"/>
  <c r="E282" i="2"/>
  <c r="E295" i="2" s="1"/>
  <c r="I281" i="2"/>
  <c r="H281" i="2"/>
  <c r="G281" i="2"/>
  <c r="E281" i="2"/>
  <c r="J281" i="2" s="1"/>
  <c r="I280" i="2"/>
  <c r="H280" i="2"/>
  <c r="G280" i="2"/>
  <c r="E280" i="2"/>
  <c r="J280" i="2" s="1"/>
  <c r="I279" i="2"/>
  <c r="H279" i="2"/>
  <c r="G279" i="2"/>
  <c r="E279" i="2"/>
  <c r="I278" i="2"/>
  <c r="H278" i="2"/>
  <c r="G278" i="2"/>
  <c r="E278" i="2"/>
  <c r="I277" i="2"/>
  <c r="H277" i="2"/>
  <c r="G277" i="2"/>
  <c r="E277" i="2"/>
  <c r="J277" i="2" s="1"/>
  <c r="J276" i="2"/>
  <c r="I276" i="2"/>
  <c r="H276" i="2"/>
  <c r="G276" i="2"/>
  <c r="E276" i="2"/>
  <c r="E289" i="2" s="1"/>
  <c r="J275" i="2"/>
  <c r="I275" i="2"/>
  <c r="H275" i="2"/>
  <c r="G275" i="2"/>
  <c r="J274" i="2"/>
  <c r="I274" i="2"/>
  <c r="H274" i="2"/>
  <c r="G274" i="2"/>
  <c r="J273" i="2"/>
  <c r="I273" i="2"/>
  <c r="H273" i="2"/>
  <c r="G273" i="2"/>
  <c r="J272" i="2"/>
  <c r="I272" i="2"/>
  <c r="H272" i="2"/>
  <c r="G272" i="2"/>
  <c r="J271" i="2"/>
  <c r="I271" i="2"/>
  <c r="H271" i="2"/>
  <c r="G271" i="2"/>
  <c r="J270" i="2"/>
  <c r="I270" i="2"/>
  <c r="H270" i="2"/>
  <c r="G270" i="2"/>
  <c r="J269" i="2"/>
  <c r="I269" i="2"/>
  <c r="H269" i="2"/>
  <c r="G269" i="2"/>
  <c r="J268" i="2"/>
  <c r="I268" i="2"/>
  <c r="H268" i="2"/>
  <c r="G268" i="2"/>
  <c r="J267" i="2"/>
  <c r="I267" i="2"/>
  <c r="H267" i="2"/>
  <c r="G267" i="2"/>
  <c r="J266" i="2"/>
  <c r="I266" i="2"/>
  <c r="H266" i="2"/>
  <c r="G266" i="2"/>
  <c r="J265" i="2"/>
  <c r="I265" i="2"/>
  <c r="H265" i="2"/>
  <c r="G265" i="2"/>
  <c r="J264" i="2"/>
  <c r="I264" i="2"/>
  <c r="H264" i="2"/>
  <c r="G264" i="2"/>
  <c r="J263" i="2"/>
  <c r="I263" i="2"/>
  <c r="H263" i="2"/>
  <c r="G263" i="2"/>
  <c r="I262" i="2"/>
  <c r="H262" i="2"/>
  <c r="G262" i="2"/>
  <c r="I261" i="2"/>
  <c r="H261" i="2"/>
  <c r="G261" i="2"/>
  <c r="I260" i="2"/>
  <c r="H260" i="2"/>
  <c r="G260" i="2"/>
  <c r="I259" i="2"/>
  <c r="H259" i="2"/>
  <c r="G259" i="2"/>
  <c r="E259" i="2"/>
  <c r="J259" i="2" s="1"/>
  <c r="I258" i="2"/>
  <c r="H258" i="2"/>
  <c r="G258" i="2"/>
  <c r="I257" i="2"/>
  <c r="H257" i="2"/>
  <c r="G257" i="2"/>
  <c r="I256" i="2"/>
  <c r="H256" i="2"/>
  <c r="G256" i="2"/>
  <c r="I255" i="2"/>
  <c r="H255" i="2"/>
  <c r="G255" i="2"/>
  <c r="I254" i="2"/>
  <c r="H254" i="2"/>
  <c r="G254" i="2"/>
  <c r="I253" i="2"/>
  <c r="H253" i="2"/>
  <c r="G253" i="2"/>
  <c r="I252" i="2"/>
  <c r="H252" i="2"/>
  <c r="G252" i="2"/>
  <c r="I251" i="2"/>
  <c r="H251" i="2"/>
  <c r="G251" i="2"/>
  <c r="E251" i="2"/>
  <c r="J251" i="2" s="1"/>
  <c r="I250" i="2"/>
  <c r="H250" i="2"/>
  <c r="G250" i="2"/>
  <c r="I249" i="2"/>
  <c r="H249" i="2"/>
  <c r="G249" i="2"/>
  <c r="I248" i="2"/>
  <c r="H248" i="2"/>
  <c r="G248" i="2"/>
  <c r="I247" i="2"/>
  <c r="H247" i="2"/>
  <c r="G247" i="2"/>
  <c r="I246" i="2"/>
  <c r="H246" i="2"/>
  <c r="G246" i="2"/>
  <c r="I245" i="2"/>
  <c r="H245" i="2"/>
  <c r="G245" i="2"/>
  <c r="I244" i="2"/>
  <c r="H244" i="2"/>
  <c r="G244" i="2"/>
  <c r="I243" i="2"/>
  <c r="H243" i="2"/>
  <c r="G243" i="2"/>
  <c r="E243" i="2"/>
  <c r="I242" i="2"/>
  <c r="H242" i="2"/>
  <c r="G242" i="2"/>
  <c r="I241" i="2"/>
  <c r="H241" i="2"/>
  <c r="G241" i="2"/>
  <c r="I240" i="2"/>
  <c r="H240" i="2"/>
  <c r="G240" i="2"/>
  <c r="I239" i="2"/>
  <c r="H239" i="2"/>
  <c r="G239" i="2"/>
  <c r="I238" i="2"/>
  <c r="H238" i="2"/>
  <c r="G238" i="2"/>
  <c r="I237" i="2"/>
  <c r="H237" i="2"/>
  <c r="G237" i="2"/>
  <c r="I236" i="2"/>
  <c r="H236" i="2"/>
  <c r="G236" i="2"/>
  <c r="E236" i="2"/>
  <c r="I235" i="2"/>
  <c r="H235" i="2"/>
  <c r="G235" i="2"/>
  <c r="E235" i="2"/>
  <c r="I234" i="2"/>
  <c r="H234" i="2"/>
  <c r="G234" i="2"/>
  <c r="E234" i="2"/>
  <c r="J234" i="2" s="1"/>
  <c r="I233" i="2"/>
  <c r="H233" i="2"/>
  <c r="G233" i="2"/>
  <c r="E233" i="2"/>
  <c r="E246" i="2" s="1"/>
  <c r="J246" i="2" s="1"/>
  <c r="I232" i="2"/>
  <c r="H232" i="2"/>
  <c r="G232" i="2"/>
  <c r="E232" i="2"/>
  <c r="E245" i="2" s="1"/>
  <c r="I231" i="2"/>
  <c r="H231" i="2"/>
  <c r="G231" i="2"/>
  <c r="E231" i="2"/>
  <c r="J231" i="2" s="1"/>
  <c r="J230" i="2"/>
  <c r="I230" i="2"/>
  <c r="H230" i="2"/>
  <c r="G230" i="2"/>
  <c r="E230" i="2"/>
  <c r="I229" i="2"/>
  <c r="H229" i="2"/>
  <c r="G229" i="2"/>
  <c r="E229" i="2"/>
  <c r="J229" i="2" s="1"/>
  <c r="I228" i="2"/>
  <c r="H228" i="2"/>
  <c r="G228" i="2"/>
  <c r="E228" i="2"/>
  <c r="I227" i="2"/>
  <c r="H227" i="2"/>
  <c r="G227" i="2"/>
  <c r="E227" i="2"/>
  <c r="I226" i="2"/>
  <c r="H226" i="2"/>
  <c r="G226" i="2"/>
  <c r="E226" i="2"/>
  <c r="J226" i="2" s="1"/>
  <c r="J225" i="2"/>
  <c r="I225" i="2"/>
  <c r="H225" i="2"/>
  <c r="G225" i="2"/>
  <c r="E225" i="2"/>
  <c r="E238" i="2" s="1"/>
  <c r="J238" i="2" s="1"/>
  <c r="J224" i="2"/>
  <c r="I224" i="2"/>
  <c r="H224" i="2"/>
  <c r="G224" i="2"/>
  <c r="E224" i="2"/>
  <c r="E237" i="2" s="1"/>
  <c r="J223" i="2"/>
  <c r="I223" i="2"/>
  <c r="H223" i="2"/>
  <c r="G223" i="2"/>
  <c r="J222" i="2"/>
  <c r="I222" i="2"/>
  <c r="H222" i="2"/>
  <c r="G222" i="2"/>
  <c r="J221" i="2"/>
  <c r="I221" i="2"/>
  <c r="H221" i="2"/>
  <c r="G221" i="2"/>
  <c r="J220" i="2"/>
  <c r="I220" i="2"/>
  <c r="H220" i="2"/>
  <c r="G220" i="2"/>
  <c r="J219" i="2"/>
  <c r="I219" i="2"/>
  <c r="H219" i="2"/>
  <c r="G219" i="2"/>
  <c r="J218" i="2"/>
  <c r="I218" i="2"/>
  <c r="H218" i="2"/>
  <c r="G218" i="2"/>
  <c r="J217" i="2"/>
  <c r="I217" i="2"/>
  <c r="H217" i="2"/>
  <c r="G217" i="2"/>
  <c r="J216" i="2"/>
  <c r="I216" i="2"/>
  <c r="H216" i="2"/>
  <c r="G216" i="2"/>
  <c r="J215" i="2"/>
  <c r="I215" i="2"/>
  <c r="H215" i="2"/>
  <c r="G215" i="2"/>
  <c r="J214" i="2"/>
  <c r="I214" i="2"/>
  <c r="H214" i="2"/>
  <c r="G214" i="2"/>
  <c r="J213" i="2"/>
  <c r="I213" i="2"/>
  <c r="H213" i="2"/>
  <c r="G213" i="2"/>
  <c r="J212" i="2"/>
  <c r="I212" i="2"/>
  <c r="H212" i="2"/>
  <c r="G212" i="2"/>
  <c r="J211" i="2"/>
  <c r="I211" i="2"/>
  <c r="H211" i="2"/>
  <c r="G211" i="2"/>
  <c r="I210" i="2"/>
  <c r="H210" i="2"/>
  <c r="G210" i="2"/>
  <c r="I209" i="2"/>
  <c r="H209" i="2"/>
  <c r="G209" i="2"/>
  <c r="I208" i="2"/>
  <c r="H208" i="2"/>
  <c r="G208" i="2"/>
  <c r="I207" i="2"/>
  <c r="H207" i="2"/>
  <c r="G207" i="2"/>
  <c r="I206" i="2"/>
  <c r="H206" i="2"/>
  <c r="G206" i="2"/>
  <c r="I205" i="2"/>
  <c r="H205" i="2"/>
  <c r="G205" i="2"/>
  <c r="I204" i="2"/>
  <c r="H204" i="2"/>
  <c r="G204" i="2"/>
  <c r="I203" i="2"/>
  <c r="H203" i="2"/>
  <c r="G203" i="2"/>
  <c r="I202" i="2"/>
  <c r="H202" i="2"/>
  <c r="G202" i="2"/>
  <c r="I201" i="2"/>
  <c r="H201" i="2"/>
  <c r="G201" i="2"/>
  <c r="I200" i="2"/>
  <c r="H200" i="2"/>
  <c r="G200" i="2"/>
  <c r="I199" i="2"/>
  <c r="H199" i="2"/>
  <c r="G199" i="2"/>
  <c r="I198" i="2"/>
  <c r="H198" i="2"/>
  <c r="G198" i="2"/>
  <c r="I197" i="2"/>
  <c r="H197" i="2"/>
  <c r="G197" i="2"/>
  <c r="I196" i="2"/>
  <c r="H196" i="2"/>
  <c r="G196" i="2"/>
  <c r="I195" i="2"/>
  <c r="H195" i="2"/>
  <c r="G195" i="2"/>
  <c r="I194" i="2"/>
  <c r="H194" i="2"/>
  <c r="G194" i="2"/>
  <c r="I193" i="2"/>
  <c r="H193" i="2"/>
  <c r="G193" i="2"/>
  <c r="I192" i="2"/>
  <c r="H192" i="2"/>
  <c r="G192" i="2"/>
  <c r="I191" i="2"/>
  <c r="H191" i="2"/>
  <c r="G191" i="2"/>
  <c r="I190" i="2"/>
  <c r="H190" i="2"/>
  <c r="G190" i="2"/>
  <c r="I189" i="2"/>
  <c r="H189" i="2"/>
  <c r="G189" i="2"/>
  <c r="I188" i="2"/>
  <c r="H188" i="2"/>
  <c r="G188" i="2"/>
  <c r="I187" i="2"/>
  <c r="H187" i="2"/>
  <c r="G187" i="2"/>
  <c r="I186" i="2"/>
  <c r="H186" i="2"/>
  <c r="G186" i="2"/>
  <c r="I185" i="2"/>
  <c r="H185" i="2"/>
  <c r="G185" i="2"/>
  <c r="I184" i="2"/>
  <c r="H184" i="2"/>
  <c r="G184" i="2"/>
  <c r="E184" i="2"/>
  <c r="E197" i="2" s="1"/>
  <c r="E210" i="2" s="1"/>
  <c r="J210" i="2" s="1"/>
  <c r="I183" i="2"/>
  <c r="H183" i="2"/>
  <c r="G183" i="2"/>
  <c r="E183" i="2"/>
  <c r="I182" i="2"/>
  <c r="H182" i="2"/>
  <c r="G182" i="2"/>
  <c r="E182" i="2"/>
  <c r="I181" i="2"/>
  <c r="H181" i="2"/>
  <c r="G181" i="2"/>
  <c r="E181" i="2"/>
  <c r="E194" i="2" s="1"/>
  <c r="I180" i="2"/>
  <c r="H180" i="2"/>
  <c r="G180" i="2"/>
  <c r="E180" i="2"/>
  <c r="E193" i="2" s="1"/>
  <c r="I179" i="2"/>
  <c r="H179" i="2"/>
  <c r="G179" i="2"/>
  <c r="E179" i="2"/>
  <c r="E192" i="2" s="1"/>
  <c r="E205" i="2" s="1"/>
  <c r="J205" i="2" s="1"/>
  <c r="J178" i="2"/>
  <c r="I178" i="2"/>
  <c r="H178" i="2"/>
  <c r="G178" i="2"/>
  <c r="E178" i="2"/>
  <c r="E191" i="2" s="1"/>
  <c r="I177" i="2"/>
  <c r="H177" i="2"/>
  <c r="G177" i="2"/>
  <c r="E177" i="2"/>
  <c r="E190" i="2" s="1"/>
  <c r="I176" i="2"/>
  <c r="H176" i="2"/>
  <c r="G176" i="2"/>
  <c r="E176" i="2"/>
  <c r="E189" i="2" s="1"/>
  <c r="E202" i="2" s="1"/>
  <c r="J202" i="2" s="1"/>
  <c r="I175" i="2"/>
  <c r="H175" i="2"/>
  <c r="G175" i="2"/>
  <c r="E175" i="2"/>
  <c r="J175" i="2" s="1"/>
  <c r="I174" i="2"/>
  <c r="H174" i="2"/>
  <c r="G174" i="2"/>
  <c r="E174" i="2"/>
  <c r="J173" i="2"/>
  <c r="I173" i="2"/>
  <c r="H173" i="2"/>
  <c r="G173" i="2"/>
  <c r="E173" i="2"/>
  <c r="E186" i="2" s="1"/>
  <c r="J172" i="2"/>
  <c r="I172" i="2"/>
  <c r="H172" i="2"/>
  <c r="G172" i="2"/>
  <c r="E172" i="2"/>
  <c r="E185" i="2" s="1"/>
  <c r="J171" i="2"/>
  <c r="I171" i="2"/>
  <c r="H171" i="2"/>
  <c r="G171" i="2"/>
  <c r="J170" i="2"/>
  <c r="I170" i="2"/>
  <c r="H170" i="2"/>
  <c r="G170" i="2"/>
  <c r="J169" i="2"/>
  <c r="I169" i="2"/>
  <c r="H169" i="2"/>
  <c r="G169" i="2"/>
  <c r="J168" i="2"/>
  <c r="I168" i="2"/>
  <c r="H168" i="2"/>
  <c r="G168" i="2"/>
  <c r="J167" i="2"/>
  <c r="I167" i="2"/>
  <c r="H167" i="2"/>
  <c r="G167" i="2"/>
  <c r="J166" i="2"/>
  <c r="I166" i="2"/>
  <c r="H166" i="2"/>
  <c r="G166" i="2"/>
  <c r="J165" i="2"/>
  <c r="I165" i="2"/>
  <c r="H165" i="2"/>
  <c r="G165" i="2"/>
  <c r="J164" i="2"/>
  <c r="I164" i="2"/>
  <c r="H164" i="2"/>
  <c r="G164" i="2"/>
  <c r="J163" i="2"/>
  <c r="I163" i="2"/>
  <c r="H163" i="2"/>
  <c r="G163" i="2"/>
  <c r="J162" i="2"/>
  <c r="I162" i="2"/>
  <c r="H162" i="2"/>
  <c r="G162" i="2"/>
  <c r="J161" i="2"/>
  <c r="I161" i="2"/>
  <c r="H161" i="2"/>
  <c r="G161" i="2"/>
  <c r="J160" i="2"/>
  <c r="I160" i="2"/>
  <c r="H160" i="2"/>
  <c r="G160" i="2"/>
  <c r="A160" i="2"/>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J159" i="2"/>
  <c r="I159" i="2"/>
  <c r="H159" i="2"/>
  <c r="G159" i="2"/>
  <c r="B159" i="2"/>
  <c r="B160" i="2" s="1"/>
  <c r="B161" i="2" s="1"/>
  <c r="B162" i="2" s="1"/>
  <c r="B163" i="2" s="1"/>
  <c r="B164" i="2" s="1"/>
  <c r="B165" i="2" s="1"/>
  <c r="B166" i="2" s="1"/>
  <c r="B167" i="2" s="1"/>
  <c r="B168" i="2" s="1"/>
  <c r="B169" i="2" s="1"/>
  <c r="B170" i="2" s="1"/>
  <c r="B171" i="2" s="1"/>
  <c r="B172" i="2" s="1"/>
  <c r="B173" i="2" s="1"/>
  <c r="B174" i="2" s="1"/>
  <c r="B175" i="2" s="1"/>
  <c r="B176" i="2" s="1"/>
  <c r="B177" i="2" s="1"/>
  <c r="B178" i="2" s="1"/>
  <c r="B179" i="2" s="1"/>
  <c r="B180" i="2" s="1"/>
  <c r="B181" i="2" s="1"/>
  <c r="B182" i="2" s="1"/>
  <c r="B183" i="2" s="1"/>
  <c r="B184" i="2" s="1"/>
  <c r="B185" i="2" s="1"/>
  <c r="B186" i="2" s="1"/>
  <c r="B187" i="2" s="1"/>
  <c r="B188" i="2" s="1"/>
  <c r="B189" i="2" s="1"/>
  <c r="B190" i="2" s="1"/>
  <c r="B191" i="2" s="1"/>
  <c r="B192" i="2" s="1"/>
  <c r="B193" i="2" s="1"/>
  <c r="B194" i="2" s="1"/>
  <c r="B195" i="2" s="1"/>
  <c r="B196" i="2" s="1"/>
  <c r="B197" i="2" s="1"/>
  <c r="B198" i="2" s="1"/>
  <c r="B199" i="2" s="1"/>
  <c r="B200" i="2" s="1"/>
  <c r="B201" i="2" s="1"/>
  <c r="B202" i="2" s="1"/>
  <c r="B203" i="2" s="1"/>
  <c r="B204" i="2" s="1"/>
  <c r="B205" i="2" s="1"/>
  <c r="B206" i="2" s="1"/>
  <c r="B207" i="2" s="1"/>
  <c r="B208" i="2" s="1"/>
  <c r="B209" i="2" s="1"/>
  <c r="B210" i="2" s="1"/>
  <c r="B211" i="2" s="1"/>
  <c r="B212" i="2" s="1"/>
  <c r="B213" i="2" s="1"/>
  <c r="B214" i="2" s="1"/>
  <c r="B215" i="2" s="1"/>
  <c r="B216" i="2" s="1"/>
  <c r="B217" i="2" s="1"/>
  <c r="B218" i="2" s="1"/>
  <c r="B219" i="2" s="1"/>
  <c r="B220" i="2" s="1"/>
  <c r="B221" i="2" s="1"/>
  <c r="B222" i="2" s="1"/>
  <c r="B223" i="2" s="1"/>
  <c r="B224" i="2" s="1"/>
  <c r="B225" i="2" s="1"/>
  <c r="B226" i="2" s="1"/>
  <c r="B227" i="2" s="1"/>
  <c r="B228" i="2" s="1"/>
  <c r="B229" i="2" s="1"/>
  <c r="B230" i="2" s="1"/>
  <c r="B231" i="2" s="1"/>
  <c r="B232" i="2" s="1"/>
  <c r="B233" i="2" s="1"/>
  <c r="B234" i="2" s="1"/>
  <c r="B235" i="2" s="1"/>
  <c r="B236" i="2" s="1"/>
  <c r="B237" i="2" s="1"/>
  <c r="B238" i="2" s="1"/>
  <c r="B239" i="2" s="1"/>
  <c r="B240" i="2" s="1"/>
  <c r="B241" i="2" s="1"/>
  <c r="B242" i="2" s="1"/>
  <c r="B243" i="2" s="1"/>
  <c r="B244" i="2" s="1"/>
  <c r="B245" i="2" s="1"/>
  <c r="B246" i="2" s="1"/>
  <c r="B247" i="2" s="1"/>
  <c r="B248" i="2" s="1"/>
  <c r="B249" i="2" s="1"/>
  <c r="B250" i="2" s="1"/>
  <c r="B251" i="2" s="1"/>
  <c r="B252" i="2" s="1"/>
  <c r="B253" i="2" s="1"/>
  <c r="B254" i="2" s="1"/>
  <c r="B255" i="2" s="1"/>
  <c r="B256" i="2" s="1"/>
  <c r="B257" i="2" s="1"/>
  <c r="B258" i="2" s="1"/>
  <c r="B259" i="2" s="1"/>
  <c r="B260" i="2" s="1"/>
  <c r="B261" i="2" s="1"/>
  <c r="B262" i="2" s="1"/>
  <c r="B263" i="2" s="1"/>
  <c r="B264" i="2" s="1"/>
  <c r="B265" i="2" s="1"/>
  <c r="B266" i="2" s="1"/>
  <c r="B267" i="2" s="1"/>
  <c r="B268" i="2" s="1"/>
  <c r="B269" i="2" s="1"/>
  <c r="B270" i="2" s="1"/>
  <c r="B271" i="2" s="1"/>
  <c r="B272" i="2" s="1"/>
  <c r="B273" i="2" s="1"/>
  <c r="B274" i="2" s="1"/>
  <c r="B275" i="2" s="1"/>
  <c r="B276" i="2" s="1"/>
  <c r="B277" i="2" s="1"/>
  <c r="B278" i="2" s="1"/>
  <c r="B279" i="2" s="1"/>
  <c r="B280" i="2" s="1"/>
  <c r="B281" i="2" s="1"/>
  <c r="B282" i="2" s="1"/>
  <c r="B283" i="2" s="1"/>
  <c r="B284" i="2" s="1"/>
  <c r="B285" i="2" s="1"/>
  <c r="B286" i="2" s="1"/>
  <c r="B287" i="2" s="1"/>
  <c r="B288" i="2" s="1"/>
  <c r="B289" i="2" s="1"/>
  <c r="B290" i="2" s="1"/>
  <c r="B291" i="2" s="1"/>
  <c r="B292" i="2" s="1"/>
  <c r="B293" i="2" s="1"/>
  <c r="B294" i="2" s="1"/>
  <c r="B295" i="2" s="1"/>
  <c r="B296" i="2" s="1"/>
  <c r="B297" i="2" s="1"/>
  <c r="B298" i="2" s="1"/>
  <c r="B299" i="2" s="1"/>
  <c r="B300" i="2" s="1"/>
  <c r="B301" i="2" s="1"/>
  <c r="B302" i="2" s="1"/>
  <c r="B303" i="2" s="1"/>
  <c r="B304" i="2" s="1"/>
  <c r="B305" i="2" s="1"/>
  <c r="B306" i="2" s="1"/>
  <c r="B307" i="2" s="1"/>
  <c r="B308" i="2" s="1"/>
  <c r="B309" i="2" s="1"/>
  <c r="B310" i="2" s="1"/>
  <c r="B311" i="2" s="1"/>
  <c r="B312" i="2" s="1"/>
  <c r="B313" i="2" s="1"/>
  <c r="B314" i="2" s="1"/>
  <c r="B315" i="2" s="1"/>
  <c r="B316" i="2" s="1"/>
  <c r="B317" i="2" s="1"/>
  <c r="B318" i="2" s="1"/>
  <c r="B319" i="2" s="1"/>
  <c r="B320" i="2" s="1"/>
  <c r="B321" i="2" s="1"/>
  <c r="B322" i="2" s="1"/>
  <c r="B323" i="2" s="1"/>
  <c r="B324" i="2" s="1"/>
  <c r="B325" i="2" s="1"/>
  <c r="B326" i="2" s="1"/>
  <c r="B327" i="2" s="1"/>
  <c r="B328" i="2" s="1"/>
  <c r="B329" i="2" s="1"/>
  <c r="B330" i="2" s="1"/>
  <c r="B331" i="2" s="1"/>
  <c r="B332" i="2" s="1"/>
  <c r="B333" i="2" s="1"/>
  <c r="B334" i="2" s="1"/>
  <c r="B335" i="2" s="1"/>
  <c r="B336" i="2" s="1"/>
  <c r="B337" i="2" s="1"/>
  <c r="B338" i="2" s="1"/>
  <c r="B339" i="2" s="1"/>
  <c r="B340" i="2" s="1"/>
  <c r="B341" i="2" s="1"/>
  <c r="B342" i="2" s="1"/>
  <c r="B343" i="2" s="1"/>
  <c r="B344" i="2" s="1"/>
  <c r="B345" i="2" s="1"/>
  <c r="B346" i="2" s="1"/>
  <c r="B347" i="2" s="1"/>
  <c r="B348" i="2" s="1"/>
  <c r="B349" i="2" s="1"/>
  <c r="B350" i="2" s="1"/>
  <c r="B351" i="2" s="1"/>
  <c r="B352" i="2" s="1"/>
  <c r="B353" i="2" s="1"/>
  <c r="B354" i="2" s="1"/>
  <c r="B355" i="2" s="1"/>
  <c r="B356" i="2" s="1"/>
  <c r="B357" i="2" s="1"/>
  <c r="B358" i="2" s="1"/>
  <c r="B359" i="2" s="1"/>
  <c r="B360" i="2" s="1"/>
  <c r="B361" i="2" s="1"/>
  <c r="B362" i="2" s="1"/>
  <c r="B363" i="2" s="1"/>
  <c r="B364" i="2" s="1"/>
  <c r="B365" i="2" s="1"/>
  <c r="B366" i="2" s="1"/>
  <c r="B367" i="2" s="1"/>
  <c r="B368" i="2" s="1"/>
  <c r="B369" i="2" s="1"/>
  <c r="B370" i="2" s="1"/>
  <c r="B371" i="2" s="1"/>
  <c r="B372" i="2" s="1"/>
  <c r="B373" i="2" s="1"/>
  <c r="B374" i="2" s="1"/>
  <c r="B375" i="2" s="1"/>
  <c r="B376" i="2" s="1"/>
  <c r="B377" i="2" s="1"/>
  <c r="B378" i="2" s="1"/>
  <c r="B379" i="2" s="1"/>
  <c r="B380" i="2" s="1"/>
  <c r="B381" i="2" s="1"/>
  <c r="B382" i="2" s="1"/>
  <c r="B383" i="2" s="1"/>
  <c r="B384" i="2" s="1"/>
  <c r="B385" i="2" s="1"/>
  <c r="B386" i="2" s="1"/>
  <c r="B387" i="2" s="1"/>
  <c r="B388" i="2" s="1"/>
  <c r="B389" i="2" s="1"/>
  <c r="B390" i="2" s="1"/>
  <c r="B391" i="2" s="1"/>
  <c r="B392" i="2" s="1"/>
  <c r="B393" i="2" s="1"/>
  <c r="B394" i="2" s="1"/>
  <c r="B395" i="2" s="1"/>
  <c r="B396" i="2" s="1"/>
  <c r="B397" i="2" s="1"/>
  <c r="B398" i="2" s="1"/>
  <c r="B399" i="2" s="1"/>
  <c r="B400" i="2" s="1"/>
  <c r="B401" i="2" s="1"/>
  <c r="B402" i="2" s="1"/>
  <c r="B403" i="2" s="1"/>
  <c r="B404" i="2" s="1"/>
  <c r="B405" i="2" s="1"/>
  <c r="B406" i="2" s="1"/>
  <c r="B407" i="2" s="1"/>
  <c r="B408" i="2" s="1"/>
  <c r="B409" i="2" s="1"/>
  <c r="B410" i="2" s="1"/>
  <c r="B411" i="2" s="1"/>
  <c r="B412" i="2" s="1"/>
  <c r="B413" i="2" s="1"/>
  <c r="B414" i="2" s="1"/>
  <c r="B415" i="2" s="1"/>
  <c r="B416" i="2" s="1"/>
  <c r="B417" i="2" s="1"/>
  <c r="B418" i="2" s="1"/>
  <c r="B419" i="2" s="1"/>
  <c r="J158" i="2"/>
  <c r="I158" i="2"/>
  <c r="H158" i="2"/>
  <c r="G158" i="2"/>
  <c r="I157" i="2"/>
  <c r="H157" i="2"/>
  <c r="G157" i="2"/>
  <c r="I156" i="2"/>
  <c r="H156" i="2"/>
  <c r="G156" i="2"/>
  <c r="I155" i="2"/>
  <c r="H155" i="2"/>
  <c r="G155" i="2"/>
  <c r="I154" i="2"/>
  <c r="H154" i="2"/>
  <c r="G154" i="2"/>
  <c r="I153" i="2"/>
  <c r="H153" i="2"/>
  <c r="G153" i="2"/>
  <c r="I152" i="2"/>
  <c r="H152" i="2"/>
  <c r="G152" i="2"/>
  <c r="I151" i="2"/>
  <c r="H151" i="2"/>
  <c r="G151" i="2"/>
  <c r="I150" i="2"/>
  <c r="H150" i="2"/>
  <c r="G150" i="2"/>
  <c r="I149" i="2"/>
  <c r="H149" i="2"/>
  <c r="G149" i="2"/>
  <c r="I148" i="2"/>
  <c r="H148" i="2"/>
  <c r="G148" i="2"/>
  <c r="I147" i="2"/>
  <c r="H147" i="2"/>
  <c r="G147" i="2"/>
  <c r="I146" i="2"/>
  <c r="H146" i="2"/>
  <c r="G146" i="2"/>
  <c r="I145" i="2"/>
  <c r="H145" i="2"/>
  <c r="G145" i="2"/>
  <c r="I144" i="2"/>
  <c r="H144" i="2"/>
  <c r="G144" i="2"/>
  <c r="E144" i="2"/>
  <c r="J144" i="2" s="1"/>
  <c r="I143" i="2"/>
  <c r="H143" i="2"/>
  <c r="G143" i="2"/>
  <c r="E143" i="2"/>
  <c r="J143" i="2" s="1"/>
  <c r="I142" i="2"/>
  <c r="H142" i="2"/>
  <c r="G142" i="2"/>
  <c r="E142" i="2"/>
  <c r="I141" i="2"/>
  <c r="H141" i="2"/>
  <c r="G141" i="2"/>
  <c r="I140" i="2"/>
  <c r="H140" i="2"/>
  <c r="G140" i="2"/>
  <c r="I139" i="2"/>
  <c r="H139" i="2"/>
  <c r="G139" i="2"/>
  <c r="I138" i="2"/>
  <c r="H138" i="2"/>
  <c r="G138" i="2"/>
  <c r="I137" i="2"/>
  <c r="H137" i="2"/>
  <c r="G137" i="2"/>
  <c r="I136" i="2"/>
  <c r="H136" i="2"/>
  <c r="G136" i="2"/>
  <c r="I135" i="2"/>
  <c r="H135" i="2"/>
  <c r="G135" i="2"/>
  <c r="E135" i="2"/>
  <c r="J135" i="2" s="1"/>
  <c r="I134" i="2"/>
  <c r="H134" i="2"/>
  <c r="G134" i="2"/>
  <c r="I133" i="2"/>
  <c r="H133" i="2"/>
  <c r="G133" i="2"/>
  <c r="E133" i="2"/>
  <c r="J132" i="2"/>
  <c r="I132" i="2"/>
  <c r="H132" i="2"/>
  <c r="G132" i="2"/>
  <c r="E132" i="2"/>
  <c r="E145" i="2" s="1"/>
  <c r="J145" i="2" s="1"/>
  <c r="J131" i="2"/>
  <c r="I131" i="2"/>
  <c r="H131" i="2"/>
  <c r="G131" i="2"/>
  <c r="E131" i="2"/>
  <c r="J130" i="2"/>
  <c r="I130" i="2"/>
  <c r="H130" i="2"/>
  <c r="G130" i="2"/>
  <c r="E130" i="2"/>
  <c r="J129" i="2"/>
  <c r="I129" i="2"/>
  <c r="H129" i="2"/>
  <c r="G129" i="2"/>
  <c r="E129" i="2"/>
  <c r="I128" i="2"/>
  <c r="H128" i="2"/>
  <c r="G128" i="2"/>
  <c r="E128" i="2"/>
  <c r="J128" i="2" s="1"/>
  <c r="I127" i="2"/>
  <c r="H127" i="2"/>
  <c r="G127" i="2"/>
  <c r="E127" i="2"/>
  <c r="J127" i="2" s="1"/>
  <c r="I126" i="2"/>
  <c r="H126" i="2"/>
  <c r="G126" i="2"/>
  <c r="E126" i="2"/>
  <c r="I125" i="2"/>
  <c r="H125" i="2"/>
  <c r="G125" i="2"/>
  <c r="E125" i="2"/>
  <c r="I124" i="2"/>
  <c r="H124" i="2"/>
  <c r="G124" i="2"/>
  <c r="E124" i="2"/>
  <c r="E137" i="2" s="1"/>
  <c r="J137" i="2" s="1"/>
  <c r="I123" i="2"/>
  <c r="H123" i="2"/>
  <c r="G123" i="2"/>
  <c r="E123" i="2"/>
  <c r="J123" i="2" s="1"/>
  <c r="I122" i="2"/>
  <c r="H122" i="2"/>
  <c r="G122" i="2"/>
  <c r="E122" i="2"/>
  <c r="J122" i="2" s="1"/>
  <c r="I121" i="2"/>
  <c r="H121" i="2"/>
  <c r="G121" i="2"/>
  <c r="E121" i="2"/>
  <c r="E134" i="2" s="1"/>
  <c r="I120" i="2"/>
  <c r="H120" i="2"/>
  <c r="G120" i="2"/>
  <c r="E120" i="2"/>
  <c r="J120" i="2" s="1"/>
  <c r="J119" i="2"/>
  <c r="I119" i="2"/>
  <c r="H119" i="2"/>
  <c r="G119" i="2"/>
  <c r="J118" i="2"/>
  <c r="I118" i="2"/>
  <c r="H118" i="2"/>
  <c r="G118" i="2"/>
  <c r="J117" i="2"/>
  <c r="I117" i="2"/>
  <c r="H117" i="2"/>
  <c r="G117" i="2"/>
  <c r="J116" i="2"/>
  <c r="I116" i="2"/>
  <c r="H116" i="2"/>
  <c r="G116" i="2"/>
  <c r="J115" i="2"/>
  <c r="I115" i="2"/>
  <c r="H115" i="2"/>
  <c r="G115" i="2"/>
  <c r="J114" i="2"/>
  <c r="I114" i="2"/>
  <c r="H114" i="2"/>
  <c r="G114" i="2"/>
  <c r="J113" i="2"/>
  <c r="I113" i="2"/>
  <c r="H113" i="2"/>
  <c r="G113" i="2"/>
  <c r="J112" i="2"/>
  <c r="I112" i="2"/>
  <c r="H112" i="2"/>
  <c r="G112" i="2"/>
  <c r="J111" i="2"/>
  <c r="I111" i="2"/>
  <c r="H111" i="2"/>
  <c r="G111" i="2"/>
  <c r="J110" i="2"/>
  <c r="I110" i="2"/>
  <c r="H110" i="2"/>
  <c r="G110" i="2"/>
  <c r="J109" i="2"/>
  <c r="I109" i="2"/>
  <c r="H109" i="2"/>
  <c r="G109" i="2"/>
  <c r="J108" i="2"/>
  <c r="I108" i="2"/>
  <c r="H108" i="2"/>
  <c r="G108" i="2"/>
  <c r="J107" i="2"/>
  <c r="I107" i="2"/>
  <c r="H107" i="2"/>
  <c r="G107" i="2"/>
  <c r="J106" i="2"/>
  <c r="I106" i="2"/>
  <c r="H106" i="2"/>
  <c r="G106" i="2"/>
  <c r="I105" i="2"/>
  <c r="H105" i="2"/>
  <c r="G105" i="2"/>
  <c r="I104" i="2"/>
  <c r="H104" i="2"/>
  <c r="G104" i="2"/>
  <c r="I103" i="2"/>
  <c r="H103" i="2"/>
  <c r="G103" i="2"/>
  <c r="I102" i="2"/>
  <c r="H102" i="2"/>
  <c r="G102" i="2"/>
  <c r="I101" i="2"/>
  <c r="H101" i="2"/>
  <c r="G101" i="2"/>
  <c r="I100" i="2"/>
  <c r="H100" i="2"/>
  <c r="G100" i="2"/>
  <c r="I99" i="2"/>
  <c r="H99" i="2"/>
  <c r="G99" i="2"/>
  <c r="I98" i="2"/>
  <c r="H98" i="2"/>
  <c r="G98" i="2"/>
  <c r="I97" i="2"/>
  <c r="H97" i="2"/>
  <c r="G97" i="2"/>
  <c r="I96" i="2"/>
  <c r="H96" i="2"/>
  <c r="G96" i="2"/>
  <c r="I95" i="2"/>
  <c r="H95" i="2"/>
  <c r="G95" i="2"/>
  <c r="I94" i="2"/>
  <c r="H94" i="2"/>
  <c r="G94" i="2"/>
  <c r="J93" i="2"/>
  <c r="I93" i="2"/>
  <c r="H93" i="2"/>
  <c r="G93" i="2"/>
  <c r="I92" i="2"/>
  <c r="H92" i="2"/>
  <c r="G92" i="2"/>
  <c r="I91" i="2"/>
  <c r="H91" i="2"/>
  <c r="G91" i="2"/>
  <c r="I90" i="2"/>
  <c r="H90" i="2"/>
  <c r="G90" i="2"/>
  <c r="I89" i="2"/>
  <c r="H89" i="2"/>
  <c r="G89" i="2"/>
  <c r="I88" i="2"/>
  <c r="H88" i="2"/>
  <c r="G88" i="2"/>
  <c r="I87" i="2"/>
  <c r="H87" i="2"/>
  <c r="G87" i="2"/>
  <c r="E87" i="2"/>
  <c r="J87" i="2" s="1"/>
  <c r="I86" i="2"/>
  <c r="H86" i="2"/>
  <c r="G86" i="2"/>
  <c r="I85" i="2"/>
  <c r="H85" i="2"/>
  <c r="G85" i="2"/>
  <c r="I84" i="2"/>
  <c r="H84" i="2"/>
  <c r="G84" i="2"/>
  <c r="I83" i="2"/>
  <c r="H83" i="2"/>
  <c r="G83" i="2"/>
  <c r="I82" i="2"/>
  <c r="H82" i="2"/>
  <c r="G82" i="2"/>
  <c r="I81" i="2"/>
  <c r="H81" i="2"/>
  <c r="G81" i="2"/>
  <c r="J80" i="2"/>
  <c r="I80" i="2"/>
  <c r="H80" i="2"/>
  <c r="G80" i="2"/>
  <c r="I79" i="2"/>
  <c r="H79" i="2"/>
  <c r="G79" i="2"/>
  <c r="E79" i="2"/>
  <c r="J79" i="2" s="1"/>
  <c r="I78" i="2"/>
  <c r="H78" i="2"/>
  <c r="G78" i="2"/>
  <c r="E78" i="2"/>
  <c r="I77" i="2"/>
  <c r="H77" i="2"/>
  <c r="G77" i="2"/>
  <c r="E77" i="2"/>
  <c r="J76" i="2"/>
  <c r="I76" i="2"/>
  <c r="H76" i="2"/>
  <c r="G76" i="2"/>
  <c r="E76" i="2"/>
  <c r="E89" i="2" s="1"/>
  <c r="E102" i="2" s="1"/>
  <c r="J102" i="2" s="1"/>
  <c r="J75" i="2"/>
  <c r="I75" i="2"/>
  <c r="H75" i="2"/>
  <c r="G75" i="2"/>
  <c r="E75" i="2"/>
  <c r="E88" i="2" s="1"/>
  <c r="E101" i="2" s="1"/>
  <c r="J101" i="2" s="1"/>
  <c r="J74" i="2"/>
  <c r="I74" i="2"/>
  <c r="H74" i="2"/>
  <c r="G74" i="2"/>
  <c r="E74" i="2"/>
  <c r="J73" i="2"/>
  <c r="I73" i="2"/>
  <c r="H73" i="2"/>
  <c r="G73" i="2"/>
  <c r="E73" i="2"/>
  <c r="E86" i="2" s="1"/>
  <c r="I72" i="2"/>
  <c r="H72" i="2"/>
  <c r="G72" i="2"/>
  <c r="E72" i="2"/>
  <c r="J72" i="2" s="1"/>
  <c r="I71" i="2"/>
  <c r="H71" i="2"/>
  <c r="G71" i="2"/>
  <c r="E71" i="2"/>
  <c r="J71" i="2" s="1"/>
  <c r="I70" i="2"/>
  <c r="H70" i="2"/>
  <c r="G70" i="2"/>
  <c r="E70" i="2"/>
  <c r="I69" i="2"/>
  <c r="H69" i="2"/>
  <c r="G69" i="2"/>
  <c r="E69" i="2"/>
  <c r="I68" i="2"/>
  <c r="H68" i="2"/>
  <c r="G68" i="2"/>
  <c r="E68" i="2"/>
  <c r="E81" i="2" s="1"/>
  <c r="E94" i="2" s="1"/>
  <c r="J94" i="2" s="1"/>
  <c r="J67" i="2"/>
  <c r="I67" i="2"/>
  <c r="H67" i="2"/>
  <c r="G67" i="2"/>
  <c r="J66" i="2"/>
  <c r="I66" i="2"/>
  <c r="H66" i="2"/>
  <c r="G66" i="2"/>
  <c r="J65" i="2"/>
  <c r="I65" i="2"/>
  <c r="H65" i="2"/>
  <c r="G65" i="2"/>
  <c r="J64" i="2"/>
  <c r="I64" i="2"/>
  <c r="H64" i="2"/>
  <c r="G64" i="2"/>
  <c r="J63" i="2"/>
  <c r="I63" i="2"/>
  <c r="H63" i="2"/>
  <c r="G63" i="2"/>
  <c r="J62" i="2"/>
  <c r="I62" i="2"/>
  <c r="H62" i="2"/>
  <c r="G62" i="2"/>
  <c r="J61" i="2"/>
  <c r="I61" i="2"/>
  <c r="H61" i="2"/>
  <c r="G61" i="2"/>
  <c r="J60" i="2"/>
  <c r="I60" i="2"/>
  <c r="H60" i="2"/>
  <c r="G60" i="2"/>
  <c r="J59" i="2"/>
  <c r="I59" i="2"/>
  <c r="H59" i="2"/>
  <c r="G59" i="2"/>
  <c r="J58" i="2"/>
  <c r="I58" i="2"/>
  <c r="H58" i="2"/>
  <c r="G58" i="2"/>
  <c r="J57" i="2"/>
  <c r="I57" i="2"/>
  <c r="H57" i="2"/>
  <c r="G57" i="2"/>
  <c r="J56" i="2"/>
  <c r="I56" i="2"/>
  <c r="H56" i="2"/>
  <c r="G56" i="2"/>
  <c r="J55" i="2"/>
  <c r="I55" i="2"/>
  <c r="H55" i="2"/>
  <c r="G55" i="2"/>
  <c r="J54" i="2"/>
  <c r="I54" i="2"/>
  <c r="H54" i="2"/>
  <c r="G54" i="2"/>
  <c r="I53" i="2"/>
  <c r="H53" i="2"/>
  <c r="G53" i="2"/>
  <c r="I52" i="2"/>
  <c r="H52" i="2"/>
  <c r="G52" i="2"/>
  <c r="I51" i="2"/>
  <c r="H51" i="2"/>
  <c r="G51" i="2"/>
  <c r="I50" i="2"/>
  <c r="H50" i="2"/>
  <c r="G50" i="2"/>
  <c r="I49" i="2"/>
  <c r="H49" i="2"/>
  <c r="G49" i="2"/>
  <c r="I48" i="2"/>
  <c r="H48" i="2"/>
  <c r="G48" i="2"/>
  <c r="I47" i="2"/>
  <c r="H47" i="2"/>
  <c r="G47" i="2"/>
  <c r="I46" i="2"/>
  <c r="H46" i="2"/>
  <c r="G46" i="2"/>
  <c r="I45" i="2"/>
  <c r="H45" i="2"/>
  <c r="G45" i="2"/>
  <c r="I44" i="2"/>
  <c r="H44" i="2"/>
  <c r="G44" i="2"/>
  <c r="I43" i="2"/>
  <c r="H43" i="2"/>
  <c r="G43" i="2"/>
  <c r="I42" i="2"/>
  <c r="H42" i="2"/>
  <c r="G42" i="2"/>
  <c r="I41" i="2"/>
  <c r="H41" i="2"/>
  <c r="G41" i="2"/>
  <c r="I40" i="2"/>
  <c r="H40" i="2"/>
  <c r="G40" i="2"/>
  <c r="I39" i="2"/>
  <c r="H39" i="2"/>
  <c r="G39" i="2"/>
  <c r="I38" i="2"/>
  <c r="H38" i="2"/>
  <c r="G38" i="2"/>
  <c r="I37" i="2"/>
  <c r="H37" i="2"/>
  <c r="G37" i="2"/>
  <c r="I36" i="2"/>
  <c r="H36" i="2"/>
  <c r="G36" i="2"/>
  <c r="I35" i="2"/>
  <c r="H35" i="2"/>
  <c r="G35" i="2"/>
  <c r="I34" i="2"/>
  <c r="H34" i="2"/>
  <c r="G34" i="2"/>
  <c r="I33" i="2"/>
  <c r="H33" i="2"/>
  <c r="G33" i="2"/>
  <c r="I32" i="2"/>
  <c r="H32" i="2"/>
  <c r="G32" i="2"/>
  <c r="I31" i="2"/>
  <c r="H31" i="2"/>
  <c r="G31" i="2"/>
  <c r="I30" i="2"/>
  <c r="H30" i="2"/>
  <c r="G30" i="2"/>
  <c r="I29" i="2"/>
  <c r="H29" i="2"/>
  <c r="G29" i="2"/>
  <c r="I28" i="2"/>
  <c r="H28" i="2"/>
  <c r="G28" i="2"/>
  <c r="I27" i="2"/>
  <c r="H27" i="2"/>
  <c r="G27" i="2"/>
  <c r="E27" i="2"/>
  <c r="E40" i="2" s="1"/>
  <c r="E53" i="2" s="1"/>
  <c r="J53" i="2" s="1"/>
  <c r="I26" i="2"/>
  <c r="H26" i="2"/>
  <c r="G26" i="2"/>
  <c r="E26" i="2"/>
  <c r="E39" i="2" s="1"/>
  <c r="E52" i="2" s="1"/>
  <c r="J52" i="2" s="1"/>
  <c r="I25" i="2"/>
  <c r="H25" i="2"/>
  <c r="G25" i="2"/>
  <c r="E25" i="2"/>
  <c r="E38" i="2" s="1"/>
  <c r="I24" i="2"/>
  <c r="H24" i="2"/>
  <c r="G24" i="2"/>
  <c r="E24" i="2"/>
  <c r="J24" i="2" s="1"/>
  <c r="I23" i="2"/>
  <c r="H23" i="2"/>
  <c r="G23" i="2"/>
  <c r="E23" i="2"/>
  <c r="E36" i="2" s="1"/>
  <c r="I22" i="2"/>
  <c r="H22" i="2"/>
  <c r="G22" i="2"/>
  <c r="E22" i="2"/>
  <c r="J22" i="2" s="1"/>
  <c r="I21" i="2"/>
  <c r="H21" i="2"/>
  <c r="G21" i="2"/>
  <c r="E21" i="2"/>
  <c r="E34" i="2" s="1"/>
  <c r="E47" i="2" s="1"/>
  <c r="J47" i="2" s="1"/>
  <c r="I20" i="2"/>
  <c r="H20" i="2"/>
  <c r="G20" i="2"/>
  <c r="E20" i="2"/>
  <c r="E33" i="2" s="1"/>
  <c r="E46" i="2" s="1"/>
  <c r="J46" i="2" s="1"/>
  <c r="I19" i="2"/>
  <c r="H19" i="2"/>
  <c r="G19" i="2"/>
  <c r="E19" i="2"/>
  <c r="E32" i="2" s="1"/>
  <c r="E45" i="2" s="1"/>
  <c r="J45" i="2" s="1"/>
  <c r="J18" i="2"/>
  <c r="I18" i="2"/>
  <c r="H18" i="2"/>
  <c r="G18" i="2"/>
  <c r="E18" i="2"/>
  <c r="E31" i="2" s="1"/>
  <c r="E44" i="2" s="1"/>
  <c r="J44" i="2" s="1"/>
  <c r="I17" i="2"/>
  <c r="H17" i="2"/>
  <c r="G17" i="2"/>
  <c r="E17" i="2"/>
  <c r="E30" i="2" s="1"/>
  <c r="I16" i="2"/>
  <c r="H16" i="2"/>
  <c r="G16" i="2"/>
  <c r="E16" i="2"/>
  <c r="J16" i="2" s="1"/>
  <c r="I15" i="2"/>
  <c r="H15" i="2"/>
  <c r="G15" i="2"/>
  <c r="E15" i="2"/>
  <c r="J15" i="2" s="1"/>
  <c r="J14" i="2"/>
  <c r="I14" i="2"/>
  <c r="H14" i="2"/>
  <c r="G14" i="2"/>
  <c r="J13" i="2"/>
  <c r="I13" i="2"/>
  <c r="H13" i="2"/>
  <c r="G13" i="2"/>
  <c r="J12" i="2"/>
  <c r="I12" i="2"/>
  <c r="H12" i="2"/>
  <c r="G12" i="2"/>
  <c r="J11" i="2"/>
  <c r="I11" i="2"/>
  <c r="H11" i="2"/>
  <c r="G11" i="2"/>
  <c r="J10" i="2"/>
  <c r="I10" i="2"/>
  <c r="H10" i="2"/>
  <c r="G10" i="2"/>
  <c r="J9" i="2"/>
  <c r="I9" i="2"/>
  <c r="H9" i="2"/>
  <c r="G9" i="2"/>
  <c r="J8" i="2"/>
  <c r="I8" i="2"/>
  <c r="H8" i="2"/>
  <c r="G8" i="2"/>
  <c r="J7" i="2"/>
  <c r="I7" i="2"/>
  <c r="H7" i="2"/>
  <c r="G7" i="2"/>
  <c r="J6" i="2"/>
  <c r="I6" i="2"/>
  <c r="H6" i="2"/>
  <c r="G6" i="2"/>
  <c r="J5" i="2"/>
  <c r="I5" i="2"/>
  <c r="H5" i="2"/>
  <c r="G5" i="2"/>
  <c r="J4" i="2"/>
  <c r="I4" i="2"/>
  <c r="H4" i="2"/>
  <c r="G4" i="2"/>
  <c r="J3" i="2"/>
  <c r="I3" i="2"/>
  <c r="H3" i="2"/>
  <c r="G3" i="2"/>
  <c r="B3" i="2"/>
  <c r="B4" i="2" s="1"/>
  <c r="B5" i="2" s="1"/>
  <c r="B6" i="2" s="1"/>
  <c r="B7" i="2" s="1"/>
  <c r="B8" i="2" s="1"/>
  <c r="B9" i="2" s="1"/>
  <c r="B10" i="2" s="1"/>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s="1"/>
  <c r="B65" i="2" s="1"/>
  <c r="B66" i="2" s="1"/>
  <c r="B67" i="2" s="1"/>
  <c r="B68" i="2" s="1"/>
  <c r="B69" i="2" s="1"/>
  <c r="B70" i="2" s="1"/>
  <c r="B71" i="2" s="1"/>
  <c r="B72" i="2" s="1"/>
  <c r="B73" i="2" s="1"/>
  <c r="B74" i="2" s="1"/>
  <c r="B75" i="2" s="1"/>
  <c r="B76" i="2" s="1"/>
  <c r="B77" i="2" s="1"/>
  <c r="B78" i="2" s="1"/>
  <c r="B79" i="2" s="1"/>
  <c r="B80" i="2" s="1"/>
  <c r="B81" i="2" s="1"/>
  <c r="B82" i="2" s="1"/>
  <c r="B83" i="2" s="1"/>
  <c r="B84" i="2" s="1"/>
  <c r="B85" i="2" s="1"/>
  <c r="B86" i="2" s="1"/>
  <c r="B87" i="2" s="1"/>
  <c r="B88" i="2" s="1"/>
  <c r="B89" i="2" s="1"/>
  <c r="B90" i="2" s="1"/>
  <c r="B91" i="2" s="1"/>
  <c r="B92" i="2" s="1"/>
  <c r="B93" i="2" s="1"/>
  <c r="B94" i="2" s="1"/>
  <c r="B95" i="2" s="1"/>
  <c r="B96" i="2" s="1"/>
  <c r="B97" i="2" s="1"/>
  <c r="B98" i="2" s="1"/>
  <c r="B99" i="2" s="1"/>
  <c r="B100" i="2" s="1"/>
  <c r="B101" i="2" s="1"/>
  <c r="B102" i="2" s="1"/>
  <c r="B103" i="2" s="1"/>
  <c r="B104" i="2" s="1"/>
  <c r="B105" i="2" s="1"/>
  <c r="B106" i="2" s="1"/>
  <c r="B107" i="2" s="1"/>
  <c r="B108" i="2" s="1"/>
  <c r="B109" i="2" s="1"/>
  <c r="B110" i="2" s="1"/>
  <c r="B111" i="2" s="1"/>
  <c r="B112" i="2" s="1"/>
  <c r="B113" i="2" s="1"/>
  <c r="B114" i="2" s="1"/>
  <c r="B115" i="2" s="1"/>
  <c r="B116" i="2" s="1"/>
  <c r="B117" i="2" s="1"/>
  <c r="B118" i="2" s="1"/>
  <c r="B119" i="2" s="1"/>
  <c r="B120" i="2" s="1"/>
  <c r="B121" i="2" s="1"/>
  <c r="B122" i="2" s="1"/>
  <c r="B123" i="2" s="1"/>
  <c r="B124" i="2" s="1"/>
  <c r="B125" i="2" s="1"/>
  <c r="B126" i="2" s="1"/>
  <c r="B127" i="2" s="1"/>
  <c r="B128" i="2" s="1"/>
  <c r="B129" i="2" s="1"/>
  <c r="B130" i="2" s="1"/>
  <c r="B131" i="2" s="1"/>
  <c r="B132" i="2" s="1"/>
  <c r="B133" i="2" s="1"/>
  <c r="B134" i="2" s="1"/>
  <c r="B135" i="2" s="1"/>
  <c r="B136" i="2" s="1"/>
  <c r="B137" i="2" s="1"/>
  <c r="B138" i="2" s="1"/>
  <c r="B139" i="2" s="1"/>
  <c r="B140" i="2" s="1"/>
  <c r="B141" i="2" s="1"/>
  <c r="B142" i="2" s="1"/>
  <c r="B143" i="2" s="1"/>
  <c r="B144" i="2" s="1"/>
  <c r="B145" i="2" s="1"/>
  <c r="B146" i="2" s="1"/>
  <c r="B147" i="2" s="1"/>
  <c r="B148" i="2" s="1"/>
  <c r="B149" i="2" s="1"/>
  <c r="B150" i="2" s="1"/>
  <c r="B151" i="2" s="1"/>
  <c r="B152" i="2" s="1"/>
  <c r="B153" i="2" s="1"/>
  <c r="B154" i="2" s="1"/>
  <c r="B155" i="2" s="1"/>
  <c r="B156" i="2" s="1"/>
  <c r="B157" i="2" s="1"/>
  <c r="B158" i="2" s="1"/>
  <c r="A3" i="2"/>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J2" i="2"/>
  <c r="I2" i="2"/>
  <c r="H2" i="2"/>
  <c r="G2" i="2"/>
  <c r="B2" i="2"/>
  <c r="J9" i="12" a="1"/>
  <c r="J7" i="12" a="1"/>
  <c r="J8" i="12" a="1"/>
  <c r="L8" i="12" a="1"/>
  <c r="L7" i="12" a="1"/>
  <c r="AD6" i="15" l="1"/>
  <c r="D10" i="12"/>
  <c r="F10" i="12"/>
  <c r="H10" i="15"/>
  <c r="G10" i="15"/>
  <c r="F10" i="15"/>
  <c r="Q6" i="15"/>
  <c r="J9" i="12"/>
  <c r="AH6" i="15"/>
  <c r="M11" i="15"/>
  <c r="M10" i="15"/>
  <c r="Q6" i="11"/>
  <c r="E6" i="15"/>
  <c r="AF10" i="15"/>
  <c r="K11" i="15"/>
  <c r="X9" i="15"/>
  <c r="I11" i="15"/>
  <c r="G11" i="15"/>
  <c r="L11" i="15"/>
  <c r="H11" i="15"/>
  <c r="E9" i="15"/>
  <c r="J11" i="15"/>
  <c r="Z6" i="15"/>
  <c r="AD6" i="11"/>
  <c r="R3" i="15"/>
  <c r="R9" i="15" s="1"/>
  <c r="E11" i="15"/>
  <c r="AF9" i="15"/>
  <c r="V10" i="15"/>
  <c r="P9" i="15"/>
  <c r="G9" i="15"/>
  <c r="M6" i="11"/>
  <c r="AB10" i="15"/>
  <c r="AE9" i="15"/>
  <c r="AH11" i="15"/>
  <c r="I9" i="15"/>
  <c r="R4" i="15"/>
  <c r="M9" i="15"/>
  <c r="J10" i="15"/>
  <c r="N10" i="15"/>
  <c r="I6" i="15"/>
  <c r="AA10" i="15"/>
  <c r="J9" i="15"/>
  <c r="F9" i="15"/>
  <c r="AC10" i="15"/>
  <c r="O10" i="15"/>
  <c r="Z10" i="15"/>
  <c r="X10" i="15"/>
  <c r="H9" i="15"/>
  <c r="N9" i="15"/>
  <c r="AB11" i="15"/>
  <c r="V11" i="15"/>
  <c r="Z11" i="15"/>
  <c r="X11" i="15"/>
  <c r="AG11" i="15"/>
  <c r="AA11" i="15"/>
  <c r="AC11" i="15"/>
  <c r="AE11" i="15"/>
  <c r="AI5" i="15"/>
  <c r="AI11" i="15" s="1"/>
  <c r="AF11" i="15"/>
  <c r="Y11" i="15"/>
  <c r="K10" i="15"/>
  <c r="L10" i="15"/>
  <c r="Q10" i="15"/>
  <c r="AD11" i="15"/>
  <c r="P10" i="15"/>
  <c r="K9" i="15"/>
  <c r="O9" i="15"/>
  <c r="O11" i="15"/>
  <c r="R5" i="15"/>
  <c r="R11" i="15" s="1"/>
  <c r="N11" i="15"/>
  <c r="P11" i="15"/>
  <c r="Q11" i="15"/>
  <c r="AE10" i="15"/>
  <c r="AG10" i="15"/>
  <c r="AI4" i="15"/>
  <c r="AI10" i="15" s="1"/>
  <c r="W10" i="15"/>
  <c r="M6" i="15"/>
  <c r="Y10" i="15"/>
  <c r="I10" i="15"/>
  <c r="AH10" i="15"/>
  <c r="AD10" i="15"/>
  <c r="Q9" i="15"/>
  <c r="L9" i="15"/>
  <c r="V6" i="15"/>
  <c r="AC9" i="15"/>
  <c r="AB9" i="15"/>
  <c r="Z9" i="15"/>
  <c r="AD9" i="15"/>
  <c r="AH9" i="15"/>
  <c r="AA9" i="15"/>
  <c r="AI3" i="15"/>
  <c r="AI9" i="15" s="1"/>
  <c r="W9" i="15"/>
  <c r="Y9" i="15"/>
  <c r="AG9" i="15"/>
  <c r="L8" i="12"/>
  <c r="X10" i="11"/>
  <c r="AH6" i="11"/>
  <c r="L7" i="12"/>
  <c r="J8" i="12"/>
  <c r="J7" i="12"/>
  <c r="Z6" i="11"/>
  <c r="F9" i="11"/>
  <c r="E6" i="11"/>
  <c r="I6" i="11"/>
  <c r="V6" i="11"/>
  <c r="Y10" i="11"/>
  <c r="AI4" i="11"/>
  <c r="AI10" i="11" s="1"/>
  <c r="V10" i="11"/>
  <c r="AA10" i="11"/>
  <c r="AI3" i="11"/>
  <c r="Z10" i="11"/>
  <c r="AB10" i="11"/>
  <c r="AG10" i="11"/>
  <c r="Q10" i="11"/>
  <c r="R3" i="11"/>
  <c r="AE10" i="11"/>
  <c r="O9" i="11"/>
  <c r="R4" i="11"/>
  <c r="R10" i="11" s="1"/>
  <c r="N10" i="11"/>
  <c r="P10" i="11"/>
  <c r="J10" i="11"/>
  <c r="I9" i="11"/>
  <c r="K9" i="11"/>
  <c r="E10" i="11"/>
  <c r="J9" i="11"/>
  <c r="F10" i="11"/>
  <c r="H10" i="11"/>
  <c r="G10" i="11"/>
  <c r="E9" i="11"/>
  <c r="AA11" i="11"/>
  <c r="K10" i="11"/>
  <c r="I10" i="11"/>
  <c r="M9" i="11"/>
  <c r="N9" i="11"/>
  <c r="G9" i="11"/>
  <c r="V9" i="11"/>
  <c r="AA9" i="11"/>
  <c r="X11" i="11"/>
  <c r="Q9" i="11"/>
  <c r="P9" i="11"/>
  <c r="Y11" i="11"/>
  <c r="Y9" i="11"/>
  <c r="AB9" i="11"/>
  <c r="AE11" i="11"/>
  <c r="Z9" i="11"/>
  <c r="AD9" i="11"/>
  <c r="AC9" i="11"/>
  <c r="L9" i="11"/>
  <c r="W11" i="11"/>
  <c r="AG9" i="11"/>
  <c r="AE9" i="11"/>
  <c r="V11" i="11"/>
  <c r="AH9" i="11"/>
  <c r="AF9" i="11"/>
  <c r="N11" i="11"/>
  <c r="P11" i="11"/>
  <c r="O11" i="11"/>
  <c r="AD11" i="11"/>
  <c r="I11" i="11"/>
  <c r="Q11" i="11"/>
  <c r="AH11" i="11"/>
  <c r="AF11" i="11"/>
  <c r="AB11" i="11"/>
  <c r="AH10" i="11"/>
  <c r="E11" i="11"/>
  <c r="K11" i="11"/>
  <c r="Z11" i="11"/>
  <c r="AG11" i="11"/>
  <c r="L10" i="11"/>
  <c r="O10" i="11"/>
  <c r="M10" i="11"/>
  <c r="F11" i="11"/>
  <c r="H9" i="11"/>
  <c r="AC11" i="11"/>
  <c r="AI11" i="11"/>
  <c r="AC10" i="11"/>
  <c r="W9" i="11"/>
  <c r="AF10" i="11"/>
  <c r="M11" i="11"/>
  <c r="J11" i="11"/>
  <c r="L11" i="11"/>
  <c r="AD10" i="11"/>
  <c r="R5" i="11"/>
  <c r="R11" i="11" s="1"/>
  <c r="H11" i="11"/>
  <c r="J86" i="2"/>
  <c r="E99" i="2"/>
  <c r="J99" i="2" s="1"/>
  <c r="Q50" i="1"/>
  <c r="Q10" i="1"/>
  <c r="R26" i="1"/>
  <c r="Q42" i="1"/>
  <c r="R58" i="1"/>
  <c r="R34" i="1"/>
  <c r="Q65" i="1"/>
  <c r="Q57" i="1"/>
  <c r="Q49" i="1"/>
  <c r="Q41" i="1"/>
  <c r="Q33" i="1"/>
  <c r="Q25" i="1"/>
  <c r="Q17" i="1"/>
  <c r="Q9" i="1"/>
  <c r="R65" i="1"/>
  <c r="R57" i="1"/>
  <c r="R49" i="1"/>
  <c r="R41" i="1"/>
  <c r="R33" i="1"/>
  <c r="R25" i="1"/>
  <c r="R17" i="1"/>
  <c r="J20" i="2"/>
  <c r="E100" i="2"/>
  <c r="J100" i="2" s="1"/>
  <c r="J180" i="2"/>
  <c r="J232" i="2"/>
  <c r="E244" i="2"/>
  <c r="E257" i="2" s="1"/>
  <c r="J257" i="2" s="1"/>
  <c r="Q64" i="1"/>
  <c r="Q92" i="1"/>
  <c r="Q48" i="1"/>
  <c r="Q40" i="1"/>
  <c r="Q32" i="1"/>
  <c r="Q24" i="1"/>
  <c r="Q16" i="1"/>
  <c r="Q8" i="1"/>
  <c r="R64" i="1"/>
  <c r="R92" i="1"/>
  <c r="R48" i="1"/>
  <c r="R40" i="1"/>
  <c r="R32" i="1"/>
  <c r="R24" i="1"/>
  <c r="R16" i="1"/>
  <c r="R8" i="1"/>
  <c r="Q66" i="1"/>
  <c r="Q26" i="1"/>
  <c r="R66" i="1"/>
  <c r="R42" i="1"/>
  <c r="E311" i="2"/>
  <c r="J311" i="2" s="1"/>
  <c r="Q100" i="1"/>
  <c r="AF19" i="9" s="1"/>
  <c r="Q160" i="1"/>
  <c r="Q31" i="1"/>
  <c r="Q15" i="1"/>
  <c r="R100" i="1"/>
  <c r="R160" i="1"/>
  <c r="R39" i="1"/>
  <c r="R31" i="1"/>
  <c r="R23" i="1"/>
  <c r="R15" i="1"/>
  <c r="R7" i="1"/>
  <c r="J26" i="2"/>
  <c r="J68" i="2"/>
  <c r="J81" i="2"/>
  <c r="J124" i="2"/>
  <c r="J189" i="2"/>
  <c r="J283" i="2"/>
  <c r="Q62" i="1"/>
  <c r="Q54" i="1"/>
  <c r="Q46" i="1"/>
  <c r="Q38" i="1"/>
  <c r="Q30" i="1"/>
  <c r="Q22" i="1"/>
  <c r="Q14" i="1"/>
  <c r="Q6" i="1"/>
  <c r="R62" i="1"/>
  <c r="R54" i="1"/>
  <c r="R46" i="1"/>
  <c r="R38" i="1"/>
  <c r="R30" i="1"/>
  <c r="R22" i="1"/>
  <c r="R14" i="1"/>
  <c r="R6" i="1"/>
  <c r="Q58" i="1"/>
  <c r="Q18" i="1"/>
  <c r="R50" i="1"/>
  <c r="J88" i="2"/>
  <c r="J121" i="2"/>
  <c r="E136" i="2"/>
  <c r="E141" i="2"/>
  <c r="J141" i="2" s="1"/>
  <c r="E150" i="2"/>
  <c r="J150" i="2" s="1"/>
  <c r="J179" i="2"/>
  <c r="E290" i="2"/>
  <c r="Q69" i="1"/>
  <c r="Q61" i="1"/>
  <c r="Q53" i="1"/>
  <c r="Q120" i="1"/>
  <c r="Q37" i="1"/>
  <c r="Q29" i="1"/>
  <c r="Q21" i="1"/>
  <c r="Q13" i="1"/>
  <c r="Q5" i="1"/>
  <c r="R69" i="1"/>
  <c r="R61" i="1"/>
  <c r="R53" i="1"/>
  <c r="R120" i="1"/>
  <c r="R37" i="1"/>
  <c r="R29" i="1"/>
  <c r="R21" i="1"/>
  <c r="R13" i="1"/>
  <c r="Q34" i="1"/>
  <c r="R18" i="1"/>
  <c r="E157" i="2"/>
  <c r="J157" i="2" s="1"/>
  <c r="Q63" i="1"/>
  <c r="Q39" i="1"/>
  <c r="Q23" i="1"/>
  <c r="Q7" i="1"/>
  <c r="R63" i="1"/>
  <c r="E35" i="2"/>
  <c r="E85" i="2"/>
  <c r="J192" i="2"/>
  <c r="Q68" i="1"/>
  <c r="Q114" i="1"/>
  <c r="Q52" i="1"/>
  <c r="Q107" i="1"/>
  <c r="Q36" i="1"/>
  <c r="Q28" i="1"/>
  <c r="Q20" i="1"/>
  <c r="Q12" i="1"/>
  <c r="Q4" i="1"/>
  <c r="R68" i="1"/>
  <c r="R114" i="1"/>
  <c r="R52" i="1"/>
  <c r="R107" i="1"/>
  <c r="R36" i="1"/>
  <c r="R28" i="1"/>
  <c r="R20" i="1"/>
  <c r="R12" i="1"/>
  <c r="J21" i="2"/>
  <c r="E92" i="2"/>
  <c r="J181" i="2"/>
  <c r="J233" i="2"/>
  <c r="J282" i="2"/>
  <c r="Q116" i="1"/>
  <c r="Q59" i="1"/>
  <c r="Q51" i="1"/>
  <c r="Q43" i="1"/>
  <c r="Q199" i="1"/>
  <c r="Q27" i="1"/>
  <c r="P13" i="3" s="1"/>
  <c r="Q19" i="1"/>
  <c r="Q11" i="1"/>
  <c r="Q3" i="1"/>
  <c r="R116" i="1"/>
  <c r="R59" i="1"/>
  <c r="R51" i="1"/>
  <c r="R43" i="1"/>
  <c r="R199" i="1"/>
  <c r="R27" i="1"/>
  <c r="R19" i="1"/>
  <c r="R11" i="1"/>
  <c r="J38" i="2"/>
  <c r="E51" i="2"/>
  <c r="J51" i="2" s="1"/>
  <c r="J30" i="2"/>
  <c r="E43" i="2"/>
  <c r="J43" i="2" s="1"/>
  <c r="J36" i="2"/>
  <c r="E49" i="2"/>
  <c r="J49" i="2" s="1"/>
  <c r="J35" i="2"/>
  <c r="E48" i="2"/>
  <c r="J48" i="2" s="1"/>
  <c r="J19" i="2"/>
  <c r="J27" i="2"/>
  <c r="J32" i="2"/>
  <c r="J40" i="2"/>
  <c r="J70" i="2"/>
  <c r="E83" i="2"/>
  <c r="J125" i="2"/>
  <c r="E138" i="2"/>
  <c r="J133" i="2"/>
  <c r="E146" i="2"/>
  <c r="J146" i="2" s="1"/>
  <c r="J185" i="2"/>
  <c r="E198" i="2"/>
  <c r="J198" i="2" s="1"/>
  <c r="J279" i="2"/>
  <c r="E292" i="2"/>
  <c r="J142" i="2"/>
  <c r="E155" i="2"/>
  <c r="J155" i="2" s="1"/>
  <c r="E29" i="2"/>
  <c r="E37" i="2"/>
  <c r="J78" i="2"/>
  <c r="E91" i="2"/>
  <c r="J183" i="2"/>
  <c r="E196" i="2"/>
  <c r="J296" i="2"/>
  <c r="E309" i="2"/>
  <c r="J309" i="2" s="1"/>
  <c r="R5" i="1" s="1"/>
  <c r="J295" i="2"/>
  <c r="E308" i="2"/>
  <c r="J308" i="2" s="1"/>
  <c r="J17" i="2"/>
  <c r="J25" i="2"/>
  <c r="J69" i="2"/>
  <c r="E82" i="2"/>
  <c r="J89" i="2"/>
  <c r="E28" i="2"/>
  <c r="J34" i="2"/>
  <c r="E84" i="2"/>
  <c r="J289" i="2"/>
  <c r="E302" i="2"/>
  <c r="J302" i="2" s="1"/>
  <c r="J193" i="2"/>
  <c r="E206" i="2"/>
  <c r="J206" i="2" s="1"/>
  <c r="J85" i="2"/>
  <c r="E98" i="2"/>
  <c r="J98" i="2" s="1"/>
  <c r="J23" i="2"/>
  <c r="J31" i="2"/>
  <c r="J39" i="2"/>
  <c r="J126" i="2"/>
  <c r="E139" i="2"/>
  <c r="J134" i="2"/>
  <c r="E147" i="2"/>
  <c r="J147" i="2" s="1"/>
  <c r="E188" i="2"/>
  <c r="J33" i="2"/>
  <c r="J77" i="2"/>
  <c r="E90" i="2"/>
  <c r="J92" i="2"/>
  <c r="E105" i="2"/>
  <c r="J105" i="2" s="1"/>
  <c r="E187" i="2"/>
  <c r="J174" i="2"/>
  <c r="E195" i="2"/>
  <c r="J182" i="2"/>
  <c r="J186" i="2"/>
  <c r="E199" i="2"/>
  <c r="J199" i="2" s="1"/>
  <c r="E140" i="2"/>
  <c r="E148" i="2"/>
  <c r="J148" i="2" s="1"/>
  <c r="E156" i="2"/>
  <c r="J156" i="2" s="1"/>
  <c r="J177" i="2"/>
  <c r="J194" i="2"/>
  <c r="E207" i="2"/>
  <c r="J207" i="2" s="1"/>
  <c r="J184" i="2"/>
  <c r="J176" i="2"/>
  <c r="J228" i="2"/>
  <c r="E241" i="2"/>
  <c r="J236" i="2"/>
  <c r="E249" i="2"/>
  <c r="J244" i="2"/>
  <c r="J286" i="2"/>
  <c r="E299" i="2"/>
  <c r="J278" i="2"/>
  <c r="E291" i="2"/>
  <c r="J191" i="2"/>
  <c r="E204" i="2"/>
  <c r="J204" i="2" s="1"/>
  <c r="J197" i="2"/>
  <c r="J237" i="2"/>
  <c r="E250" i="2"/>
  <c r="J250" i="2" s="1"/>
  <c r="J245" i="2"/>
  <c r="E258" i="2"/>
  <c r="J258" i="2" s="1"/>
  <c r="J294" i="2"/>
  <c r="R3" i="1" s="1"/>
  <c r="E307" i="2"/>
  <c r="J307" i="2" s="1"/>
  <c r="R4" i="1" s="1"/>
  <c r="J190" i="2"/>
  <c r="E203" i="2"/>
  <c r="J203" i="2" s="1"/>
  <c r="E310" i="2"/>
  <c r="J310" i="2" s="1"/>
  <c r="J227" i="2"/>
  <c r="E240" i="2"/>
  <c r="J235" i="2"/>
  <c r="E248" i="2"/>
  <c r="J243" i="2"/>
  <c r="E256" i="2"/>
  <c r="J256" i="2" s="1"/>
  <c r="J287" i="2"/>
  <c r="E300" i="2"/>
  <c r="E242" i="2"/>
  <c r="E293" i="2"/>
  <c r="E301" i="2"/>
  <c r="E239" i="2"/>
  <c r="E247" i="2"/>
  <c r="E9" i="12" a="1"/>
  <c r="M7" i="12" a="1"/>
  <c r="M9" i="12" a="1"/>
  <c r="G8" i="12" a="1"/>
  <c r="M8" i="12" a="1"/>
  <c r="K7" i="12" a="1"/>
  <c r="E7" i="12" a="1"/>
  <c r="G9" i="12" a="1"/>
  <c r="G7" i="12" a="1"/>
  <c r="K9" i="12" a="1"/>
  <c r="K8" i="12" a="1"/>
  <c r="E8" i="12" a="1"/>
  <c r="L10" i="12" l="1"/>
  <c r="J10" i="12"/>
  <c r="R6" i="15"/>
  <c r="AH11" i="3"/>
  <c r="AC15" i="9"/>
  <c r="AD20" i="9"/>
  <c r="AC14" i="9"/>
  <c r="H19" i="9"/>
  <c r="AH9" i="9"/>
  <c r="AG19" i="9"/>
  <c r="Z19" i="9"/>
  <c r="T11" i="3"/>
  <c r="V14" i="9"/>
  <c r="D15" i="9"/>
  <c r="Z15" i="9"/>
  <c r="AC19" i="9"/>
  <c r="H8" i="9"/>
  <c r="D13" i="9"/>
  <c r="U18" i="9"/>
  <c r="I19" i="9"/>
  <c r="M19" i="9"/>
  <c r="P9" i="9"/>
  <c r="K14" i="9"/>
  <c r="AH13" i="9"/>
  <c r="Y8" i="9"/>
  <c r="D9" i="9"/>
  <c r="AF8" i="9"/>
  <c r="K18" i="9"/>
  <c r="AD9" i="9"/>
  <c r="M15" i="9"/>
  <c r="C9" i="9"/>
  <c r="AH15" i="9"/>
  <c r="Q15" i="9"/>
  <c r="C15" i="9"/>
  <c r="C32" i="9" s="1"/>
  <c r="V15" i="9"/>
  <c r="Y13" i="9"/>
  <c r="Q13" i="9"/>
  <c r="AG15" i="9"/>
  <c r="E18" i="9"/>
  <c r="E14" i="9"/>
  <c r="AD15" i="9"/>
  <c r="AD19" i="9"/>
  <c r="O14" i="9"/>
  <c r="O8" i="9"/>
  <c r="D12" i="3"/>
  <c r="I9" i="3"/>
  <c r="Z14" i="9"/>
  <c r="AB13" i="9"/>
  <c r="E13" i="3"/>
  <c r="AB14" i="9"/>
  <c r="Y15" i="9"/>
  <c r="Q19" i="9"/>
  <c r="L15" i="9"/>
  <c r="M9" i="9"/>
  <c r="I14" i="9"/>
  <c r="AH19" i="9"/>
  <c r="AI19" i="9" s="1"/>
  <c r="P10" i="9"/>
  <c r="M20" i="9"/>
  <c r="AF10" i="3"/>
  <c r="O10" i="9"/>
  <c r="E13" i="9"/>
  <c r="H18" i="9"/>
  <c r="U9" i="9"/>
  <c r="Q14" i="9"/>
  <c r="AB19" i="9"/>
  <c r="K19" i="9"/>
  <c r="M9" i="3"/>
  <c r="M10" i="9"/>
  <c r="AH8" i="9"/>
  <c r="Z10" i="9"/>
  <c r="Y9" i="9"/>
  <c r="U20" i="9"/>
  <c r="AH18" i="9"/>
  <c r="X19" i="9"/>
  <c r="X10" i="9"/>
  <c r="O18" i="9"/>
  <c r="AC20" i="9"/>
  <c r="C18" i="9"/>
  <c r="M8" i="9"/>
  <c r="D8" i="9"/>
  <c r="P20" i="9"/>
  <c r="I8" i="9"/>
  <c r="L19" i="9"/>
  <c r="V9" i="9"/>
  <c r="V10" i="9"/>
  <c r="G8" i="9"/>
  <c r="O19" i="9"/>
  <c r="P15" i="9"/>
  <c r="Y18" i="9"/>
  <c r="AC9" i="9"/>
  <c r="Z8" i="9"/>
  <c r="AC10" i="9"/>
  <c r="C20" i="9"/>
  <c r="Q10" i="9"/>
  <c r="I10" i="9"/>
  <c r="D10" i="9"/>
  <c r="AD13" i="9"/>
  <c r="AF18" i="9"/>
  <c r="AF9" i="3"/>
  <c r="U13" i="9"/>
  <c r="X15" i="9"/>
  <c r="D20" i="9"/>
  <c r="AD14" i="9"/>
  <c r="AE14" i="9" s="1"/>
  <c r="AF15" i="9"/>
  <c r="K10" i="9"/>
  <c r="G20" i="9"/>
  <c r="V8" i="9"/>
  <c r="E12" i="3"/>
  <c r="T9" i="3"/>
  <c r="L9" i="9"/>
  <c r="O13" i="9"/>
  <c r="AG9" i="9"/>
  <c r="Q18" i="9"/>
  <c r="Z20" i="9"/>
  <c r="C10" i="9"/>
  <c r="G9" i="9"/>
  <c r="AD8" i="9"/>
  <c r="AB20" i="9"/>
  <c r="AD10" i="9"/>
  <c r="E9" i="3"/>
  <c r="Z9" i="9"/>
  <c r="D19" i="9"/>
  <c r="G19" i="9"/>
  <c r="E8" i="9"/>
  <c r="K20" i="9"/>
  <c r="AF9" i="9"/>
  <c r="D18" i="9"/>
  <c r="V19" i="9"/>
  <c r="X18" i="9"/>
  <c r="E19" i="9"/>
  <c r="I15" i="9"/>
  <c r="T15" i="9"/>
  <c r="H14" i="9"/>
  <c r="I9" i="9"/>
  <c r="T9" i="9"/>
  <c r="C19" i="9"/>
  <c r="C34" i="9" s="1"/>
  <c r="Z18" i="9"/>
  <c r="AG13" i="9"/>
  <c r="Y10" i="9"/>
  <c r="H13" i="9"/>
  <c r="O9" i="9"/>
  <c r="Y19" i="9"/>
  <c r="AC18" i="9"/>
  <c r="V18" i="9"/>
  <c r="L14" i="9"/>
  <c r="T19" i="9"/>
  <c r="AG18" i="9"/>
  <c r="K13" i="9"/>
  <c r="L13" i="9"/>
  <c r="AG20" i="9"/>
  <c r="AG8" i="9"/>
  <c r="I13" i="9"/>
  <c r="L18" i="9"/>
  <c r="P13" i="9"/>
  <c r="AH14" i="9"/>
  <c r="AH16" i="9" s="1"/>
  <c r="H9" i="9"/>
  <c r="L10" i="9"/>
  <c r="Q8" i="9"/>
  <c r="AH10" i="9"/>
  <c r="M18" i="9"/>
  <c r="M21" i="9" s="1"/>
  <c r="Q9" i="9"/>
  <c r="AB15" i="9"/>
  <c r="X14" i="9"/>
  <c r="Q20" i="9"/>
  <c r="Q21" i="9" s="1"/>
  <c r="AB9" i="9"/>
  <c r="AE9" i="9" s="1"/>
  <c r="K9" i="9"/>
  <c r="N9" i="9" s="1"/>
  <c r="H15" i="9"/>
  <c r="G10" i="9"/>
  <c r="E20" i="9"/>
  <c r="X13" i="9"/>
  <c r="T8" i="9"/>
  <c r="AG10" i="9"/>
  <c r="AC8" i="9"/>
  <c r="AC11" i="9" s="1"/>
  <c r="L8" i="9"/>
  <c r="T20" i="9"/>
  <c r="P19" i="9"/>
  <c r="AD18" i="9"/>
  <c r="AD21" i="9" s="1"/>
  <c r="C8" i="9"/>
  <c r="L20" i="9"/>
  <c r="E15" i="9"/>
  <c r="F15" i="9" s="1"/>
  <c r="F32" i="9" s="1"/>
  <c r="D14" i="9"/>
  <c r="T18" i="9"/>
  <c r="U33" i="9" s="1"/>
  <c r="AF13" i="9"/>
  <c r="P14" i="9"/>
  <c r="R14" i="9" s="1"/>
  <c r="P18" i="9"/>
  <c r="T10" i="9"/>
  <c r="H20" i="9"/>
  <c r="H21" i="9" s="1"/>
  <c r="C14" i="9"/>
  <c r="C31" i="9" s="1"/>
  <c r="U10" i="9"/>
  <c r="Y20" i="9"/>
  <c r="E10" i="9"/>
  <c r="E9" i="9"/>
  <c r="E28" i="9" s="1"/>
  <c r="Y14" i="9"/>
  <c r="AB8" i="9"/>
  <c r="C13" i="9"/>
  <c r="V13" i="9"/>
  <c r="V16" i="9" s="1"/>
  <c r="O15" i="9"/>
  <c r="U19" i="9"/>
  <c r="U21" i="9" s="1"/>
  <c r="P8" i="9"/>
  <c r="K15" i="9"/>
  <c r="N15" i="9" s="1"/>
  <c r="G15" i="9"/>
  <c r="V20" i="9"/>
  <c r="U8" i="9"/>
  <c r="U27" i="9" s="1"/>
  <c r="M13" i="9"/>
  <c r="U15" i="9"/>
  <c r="D32" i="9"/>
  <c r="AF20" i="9"/>
  <c r="I20" i="9"/>
  <c r="T13" i="9"/>
  <c r="X8" i="9"/>
  <c r="AB6" i="3"/>
  <c r="M12" i="3"/>
  <c r="G9" i="3"/>
  <c r="I18" i="9"/>
  <c r="AH20" i="9"/>
  <c r="AH21" i="9" s="1"/>
  <c r="AB18" i="9"/>
  <c r="AF10" i="9"/>
  <c r="AF14" i="9"/>
  <c r="G13" i="9"/>
  <c r="AB10" i="9"/>
  <c r="AE10" i="9" s="1"/>
  <c r="X20" i="9"/>
  <c r="X21" i="9" s="1"/>
  <c r="K8" i="9"/>
  <c r="T14" i="9"/>
  <c r="AG14" i="9"/>
  <c r="AG16" i="9" s="1"/>
  <c r="U14" i="9"/>
  <c r="G18" i="9"/>
  <c r="G21" i="9" s="1"/>
  <c r="M14" i="9"/>
  <c r="N14" i="9" s="1"/>
  <c r="X9" i="9"/>
  <c r="AA9" i="9" s="1"/>
  <c r="AC13" i="9"/>
  <c r="AC16" i="9" s="1"/>
  <c r="Z13" i="9"/>
  <c r="Z16" i="9" s="1"/>
  <c r="H10" i="9"/>
  <c r="O20" i="9"/>
  <c r="G14" i="9"/>
  <c r="J14" i="9" s="1"/>
  <c r="G5" i="9"/>
  <c r="C5" i="9"/>
  <c r="P5" i="9"/>
  <c r="AB5" i="9"/>
  <c r="X5" i="9"/>
  <c r="D5" i="9"/>
  <c r="M5" i="9"/>
  <c r="AG5" i="9"/>
  <c r="Q5" i="9"/>
  <c r="K5" i="9"/>
  <c r="AF5" i="9"/>
  <c r="I5" i="9"/>
  <c r="T5" i="9"/>
  <c r="U5" i="9"/>
  <c r="L5" i="9"/>
  <c r="Y5" i="9"/>
  <c r="V5" i="9"/>
  <c r="AD5" i="9"/>
  <c r="H5" i="9"/>
  <c r="AC5" i="9"/>
  <c r="E5" i="9"/>
  <c r="Z5" i="9"/>
  <c r="O5" i="9"/>
  <c r="AH5" i="9"/>
  <c r="L6" i="3"/>
  <c r="AB3" i="9"/>
  <c r="E3" i="9"/>
  <c r="C3" i="9"/>
  <c r="Q3" i="9"/>
  <c r="AC3" i="9"/>
  <c r="X3" i="9"/>
  <c r="L3" i="9"/>
  <c r="Y3" i="9"/>
  <c r="AF3" i="9"/>
  <c r="T3" i="9"/>
  <c r="AG3" i="9"/>
  <c r="AD3" i="9"/>
  <c r="M3" i="9"/>
  <c r="U3" i="9"/>
  <c r="D3" i="9"/>
  <c r="G3" i="9"/>
  <c r="O3" i="9"/>
  <c r="H3" i="9"/>
  <c r="AH3" i="9"/>
  <c r="V3" i="9"/>
  <c r="K3" i="9"/>
  <c r="P3" i="9"/>
  <c r="Z3" i="9"/>
  <c r="I3" i="9"/>
  <c r="Z11" i="9"/>
  <c r="Q4" i="9"/>
  <c r="AB4" i="9"/>
  <c r="AG4" i="9"/>
  <c r="AD4" i="9"/>
  <c r="Y4" i="9"/>
  <c r="M4" i="9"/>
  <c r="Z4" i="9"/>
  <c r="E4" i="9"/>
  <c r="I4" i="9"/>
  <c r="X4" i="9"/>
  <c r="D4" i="9"/>
  <c r="U4" i="9"/>
  <c r="C4" i="9"/>
  <c r="G4" i="9"/>
  <c r="AC4" i="9"/>
  <c r="K4" i="9"/>
  <c r="P4" i="9"/>
  <c r="O4" i="9"/>
  <c r="L4" i="9"/>
  <c r="V4" i="9"/>
  <c r="T4" i="9"/>
  <c r="H4" i="9"/>
  <c r="AF4" i="9"/>
  <c r="AH4" i="9"/>
  <c r="N10" i="9"/>
  <c r="AH11" i="9"/>
  <c r="J19" i="9"/>
  <c r="AF11" i="9"/>
  <c r="F18" i="9"/>
  <c r="AG11" i="9"/>
  <c r="AA14" i="9"/>
  <c r="AE15" i="9"/>
  <c r="D31" i="9"/>
  <c r="T33" i="9"/>
  <c r="D33" i="9"/>
  <c r="E33" i="9"/>
  <c r="E16" i="9"/>
  <c r="AI8" i="9"/>
  <c r="K21" i="9"/>
  <c r="E27" i="9"/>
  <c r="L21" i="9"/>
  <c r="E32" i="9"/>
  <c r="F8" i="9"/>
  <c r="R13" i="9"/>
  <c r="F13" i="9"/>
  <c r="H16" i="9"/>
  <c r="F19" i="9"/>
  <c r="H34" i="9" s="1"/>
  <c r="D21" i="9"/>
  <c r="X16" i="9"/>
  <c r="T27" i="9"/>
  <c r="D34" i="9"/>
  <c r="T31" i="9"/>
  <c r="F9" i="9"/>
  <c r="H28" i="9" s="1"/>
  <c r="D28" i="9"/>
  <c r="C28" i="9"/>
  <c r="P11" i="9"/>
  <c r="J15" i="9"/>
  <c r="AB16" i="9"/>
  <c r="O11" i="9"/>
  <c r="D11" i="9"/>
  <c r="Y16" i="9"/>
  <c r="D29" i="9"/>
  <c r="C11" i="9"/>
  <c r="AI9" i="9"/>
  <c r="I16" i="9"/>
  <c r="AA15" i="9"/>
  <c r="AI15" i="9"/>
  <c r="R10" i="15"/>
  <c r="AI6" i="15"/>
  <c r="G8" i="12"/>
  <c r="E9" i="12"/>
  <c r="K9" i="12"/>
  <c r="K8" i="12"/>
  <c r="M9" i="12"/>
  <c r="G7" i="12"/>
  <c r="M8" i="12"/>
  <c r="G9" i="12"/>
  <c r="E8" i="12"/>
  <c r="E7" i="12"/>
  <c r="K7" i="12"/>
  <c r="M7" i="12"/>
  <c r="AI9" i="11"/>
  <c r="AI6" i="11"/>
  <c r="R9" i="11"/>
  <c r="R6" i="11"/>
  <c r="G32" i="9"/>
  <c r="I32" i="9"/>
  <c r="H32" i="9"/>
  <c r="Q12" i="3"/>
  <c r="O4" i="3"/>
  <c r="K13" i="3"/>
  <c r="C12" i="3"/>
  <c r="U11" i="3"/>
  <c r="Q14" i="3"/>
  <c r="K12" i="3"/>
  <c r="AD3" i="3"/>
  <c r="AB12" i="3"/>
  <c r="U12" i="3"/>
  <c r="O10" i="3"/>
  <c r="AH14" i="3"/>
  <c r="U3" i="3"/>
  <c r="AC14" i="3"/>
  <c r="O6" i="3"/>
  <c r="Q3" i="3"/>
  <c r="U6" i="3"/>
  <c r="L10" i="3"/>
  <c r="M13" i="3"/>
  <c r="AF6" i="3"/>
  <c r="G11" i="3"/>
  <c r="M14" i="3"/>
  <c r="V9" i="3"/>
  <c r="AC3" i="3"/>
  <c r="G6" i="3"/>
  <c r="G8" i="3"/>
  <c r="K3" i="3"/>
  <c r="H6" i="3"/>
  <c r="AD11" i="3"/>
  <c r="Y10" i="3"/>
  <c r="AH3" i="3"/>
  <c r="D3" i="3"/>
  <c r="AH5" i="3"/>
  <c r="AH13" i="3"/>
  <c r="U13" i="3"/>
  <c r="AB3" i="3"/>
  <c r="Y6" i="3"/>
  <c r="Q9" i="3"/>
  <c r="H10" i="3"/>
  <c r="AC9" i="3"/>
  <c r="AB13" i="3"/>
  <c r="Y9" i="3"/>
  <c r="G14" i="3"/>
  <c r="T8" i="3"/>
  <c r="V7" i="3"/>
  <c r="K11" i="3"/>
  <c r="AB11" i="3"/>
  <c r="T3" i="3"/>
  <c r="C6" i="3"/>
  <c r="D10" i="3"/>
  <c r="X13" i="3"/>
  <c r="AB10" i="3"/>
  <c r="Y11" i="3"/>
  <c r="AF13" i="3"/>
  <c r="D11" i="3"/>
  <c r="AF12" i="3"/>
  <c r="AC13" i="3"/>
  <c r="G12" i="3"/>
  <c r="U14" i="3"/>
  <c r="G10" i="3"/>
  <c r="X12" i="3"/>
  <c r="Q10" i="3"/>
  <c r="I4" i="3"/>
  <c r="C4" i="3"/>
  <c r="U4" i="3"/>
  <c r="AG5" i="3"/>
  <c r="C8" i="3"/>
  <c r="Z8" i="3"/>
  <c r="V6" i="3"/>
  <c r="AB14" i="3"/>
  <c r="V8" i="3"/>
  <c r="M5" i="3"/>
  <c r="E8" i="3"/>
  <c r="Y4" i="3"/>
  <c r="Q5" i="3"/>
  <c r="O5" i="3"/>
  <c r="G7" i="3"/>
  <c r="E7" i="3"/>
  <c r="T7" i="3"/>
  <c r="Z4" i="3"/>
  <c r="Q4" i="3"/>
  <c r="AC5" i="3"/>
  <c r="M7" i="3"/>
  <c r="AH7" i="3"/>
  <c r="AH8" i="3"/>
  <c r="Z7" i="3"/>
  <c r="AG4" i="3"/>
  <c r="E5" i="3"/>
  <c r="AG8" i="3"/>
  <c r="Y13" i="3"/>
  <c r="T4" i="3"/>
  <c r="U5" i="3"/>
  <c r="Y7" i="3"/>
  <c r="H8" i="3"/>
  <c r="AD8" i="3"/>
  <c r="AF5" i="3"/>
  <c r="AD7" i="3"/>
  <c r="O3" i="3"/>
  <c r="AF3" i="3"/>
  <c r="L3" i="3"/>
  <c r="AC4" i="3"/>
  <c r="AH4" i="3"/>
  <c r="L4" i="3"/>
  <c r="M6" i="3"/>
  <c r="T6" i="3"/>
  <c r="X6" i="3"/>
  <c r="G5" i="3"/>
  <c r="L5" i="3"/>
  <c r="Z5" i="3"/>
  <c r="D13" i="3"/>
  <c r="O9" i="3"/>
  <c r="O11" i="3"/>
  <c r="M11" i="3"/>
  <c r="L12" i="3"/>
  <c r="V13" i="3"/>
  <c r="P14" i="3"/>
  <c r="K7" i="3"/>
  <c r="I8" i="3"/>
  <c r="J8" i="3" s="1"/>
  <c r="I12" i="3"/>
  <c r="X10" i="3"/>
  <c r="AD9" i="3"/>
  <c r="AC7" i="3"/>
  <c r="P9" i="3"/>
  <c r="AD12" i="3"/>
  <c r="AH9" i="3"/>
  <c r="M10" i="3"/>
  <c r="X14" i="3"/>
  <c r="AC8" i="3"/>
  <c r="P10" i="3"/>
  <c r="AD13" i="3"/>
  <c r="E11" i="3"/>
  <c r="T10" i="3"/>
  <c r="T25" i="3" s="1"/>
  <c r="AG13" i="3"/>
  <c r="E303" i="2"/>
  <c r="J303" i="2" s="1"/>
  <c r="J290" i="2"/>
  <c r="C14" i="3"/>
  <c r="AH10" i="3"/>
  <c r="E154" i="2"/>
  <c r="J154" i="2" s="1"/>
  <c r="C5" i="3"/>
  <c r="H3" i="3"/>
  <c r="C3" i="3"/>
  <c r="X3" i="3"/>
  <c r="G4" i="3"/>
  <c r="AD4" i="3"/>
  <c r="AB4" i="3"/>
  <c r="D6" i="3"/>
  <c r="I6" i="3"/>
  <c r="AH6" i="3"/>
  <c r="I5" i="3"/>
  <c r="X5" i="3"/>
  <c r="Q7" i="3"/>
  <c r="K9" i="3"/>
  <c r="Y12" i="3"/>
  <c r="V11" i="3"/>
  <c r="V26" i="3" s="1"/>
  <c r="AF11" i="3"/>
  <c r="Q13" i="3"/>
  <c r="D7" i="3"/>
  <c r="Z9" i="3"/>
  <c r="U8" i="3"/>
  <c r="W8" i="3" s="1"/>
  <c r="P7" i="3"/>
  <c r="L9" i="3"/>
  <c r="Z12" i="3"/>
  <c r="AC12" i="3"/>
  <c r="AF8" i="3"/>
  <c r="O12" i="3"/>
  <c r="AG9" i="3"/>
  <c r="AG12" i="3"/>
  <c r="L13" i="3"/>
  <c r="AD10" i="3"/>
  <c r="C13" i="3"/>
  <c r="O13" i="3"/>
  <c r="AG10" i="3"/>
  <c r="H9" i="3"/>
  <c r="J9" i="3" s="1"/>
  <c r="V12" i="3"/>
  <c r="I14" i="3"/>
  <c r="Z3" i="3"/>
  <c r="Y3" i="3"/>
  <c r="V3" i="3"/>
  <c r="E4" i="3"/>
  <c r="X4" i="3"/>
  <c r="AA4" i="3" s="1"/>
  <c r="M4" i="3"/>
  <c r="Z6" i="3"/>
  <c r="Q6" i="3"/>
  <c r="AG6" i="3"/>
  <c r="H5" i="3"/>
  <c r="K5" i="3"/>
  <c r="N5" i="3" s="1"/>
  <c r="P5" i="3"/>
  <c r="I13" i="3"/>
  <c r="AB9" i="3"/>
  <c r="O7" i="3"/>
  <c r="AB7" i="3"/>
  <c r="Q8" i="3"/>
  <c r="H7" i="3"/>
  <c r="AF7" i="3"/>
  <c r="I7" i="3"/>
  <c r="G13" i="3"/>
  <c r="AG7" i="3"/>
  <c r="P11" i="3"/>
  <c r="AD14" i="3"/>
  <c r="AE14" i="3" s="1"/>
  <c r="AG14" i="3"/>
  <c r="I10" i="3"/>
  <c r="J10" i="3" s="1"/>
  <c r="T14" i="3"/>
  <c r="U29" i="3" s="1"/>
  <c r="X11" i="3"/>
  <c r="E10" i="3"/>
  <c r="U9" i="3"/>
  <c r="U24" i="3" s="1"/>
  <c r="AH12" i="3"/>
  <c r="I11" i="3"/>
  <c r="X9" i="3"/>
  <c r="U7" i="3"/>
  <c r="U22" i="3" s="1"/>
  <c r="L11" i="3"/>
  <c r="Z14" i="3"/>
  <c r="J136" i="2"/>
  <c r="E149" i="2"/>
  <c r="J149" i="2" s="1"/>
  <c r="E3" i="3"/>
  <c r="G3" i="3"/>
  <c r="AG3" i="3"/>
  <c r="AI3" i="3" s="1"/>
  <c r="P4" i="3"/>
  <c r="R4" i="3" s="1"/>
  <c r="D4" i="3"/>
  <c r="D19" i="3" s="1"/>
  <c r="K4" i="3"/>
  <c r="E6" i="3"/>
  <c r="AC6" i="3"/>
  <c r="K6" i="3"/>
  <c r="N6" i="3" s="1"/>
  <c r="T5" i="3"/>
  <c r="U20" i="3" s="1"/>
  <c r="AB5" i="3"/>
  <c r="Y5" i="3"/>
  <c r="U10" i="3"/>
  <c r="D8" i="3"/>
  <c r="F8" i="3" s="1"/>
  <c r="Y8" i="3"/>
  <c r="Q11" i="3"/>
  <c r="AB8" i="3"/>
  <c r="AE8" i="3" s="1"/>
  <c r="T13" i="3"/>
  <c r="U28" i="3" s="1"/>
  <c r="D9" i="3"/>
  <c r="C9" i="3"/>
  <c r="C24" i="3" s="1"/>
  <c r="L14" i="3"/>
  <c r="C11" i="3"/>
  <c r="D26" i="3" s="1"/>
  <c r="O14" i="3"/>
  <c r="R14" i="3" s="1"/>
  <c r="AG11" i="3"/>
  <c r="L7" i="3"/>
  <c r="N7" i="3" s="1"/>
  <c r="H13" i="3"/>
  <c r="Z10" i="3"/>
  <c r="Z13" i="3"/>
  <c r="AA13" i="3" s="1"/>
  <c r="E14" i="3"/>
  <c r="T12" i="3"/>
  <c r="L8" i="3"/>
  <c r="H14" i="3"/>
  <c r="Z11" i="3"/>
  <c r="X8" i="3"/>
  <c r="K14" i="3"/>
  <c r="AC11" i="3"/>
  <c r="AE11" i="3" s="1"/>
  <c r="M8" i="3"/>
  <c r="P3" i="3"/>
  <c r="R3" i="3" s="1"/>
  <c r="I3" i="3"/>
  <c r="M3" i="3"/>
  <c r="AF4" i="3"/>
  <c r="AI4" i="3" s="1"/>
  <c r="H4" i="3"/>
  <c r="J4" i="3" s="1"/>
  <c r="V4" i="3"/>
  <c r="V19" i="3" s="1"/>
  <c r="P6" i="3"/>
  <c r="AD6" i="3"/>
  <c r="AD5" i="3"/>
  <c r="V5" i="3"/>
  <c r="D5" i="3"/>
  <c r="F5" i="3" s="1"/>
  <c r="K8" i="3"/>
  <c r="X7" i="3"/>
  <c r="AA7" i="3" s="1"/>
  <c r="D14" i="3"/>
  <c r="C7" i="3"/>
  <c r="C10" i="3"/>
  <c r="D25" i="3" s="1"/>
  <c r="P8" i="3"/>
  <c r="H12" i="3"/>
  <c r="J12" i="3" s="1"/>
  <c r="P12" i="3"/>
  <c r="R12" i="3" s="1"/>
  <c r="V10" i="3"/>
  <c r="AF14" i="3"/>
  <c r="O8" i="3"/>
  <c r="K10" i="3"/>
  <c r="N10" i="3" s="1"/>
  <c r="AC10" i="3"/>
  <c r="AE10" i="3" s="1"/>
  <c r="H11" i="3"/>
  <c r="V14" i="3"/>
  <c r="Y14" i="3"/>
  <c r="R9" i="3"/>
  <c r="AI9" i="3"/>
  <c r="D28" i="3"/>
  <c r="F13" i="3"/>
  <c r="D18" i="3"/>
  <c r="C18" i="3"/>
  <c r="C19" i="3"/>
  <c r="V18" i="3"/>
  <c r="T18" i="3"/>
  <c r="U18" i="3"/>
  <c r="D21" i="3"/>
  <c r="C21" i="3"/>
  <c r="C23" i="3"/>
  <c r="T23" i="3"/>
  <c r="V23" i="3"/>
  <c r="N12" i="3"/>
  <c r="AI13" i="3"/>
  <c r="C20" i="3"/>
  <c r="J6" i="3"/>
  <c r="W11" i="3"/>
  <c r="T26" i="3"/>
  <c r="U26" i="3"/>
  <c r="D27" i="3"/>
  <c r="F12" i="3"/>
  <c r="G27" i="3" s="1"/>
  <c r="C27" i="3"/>
  <c r="E27" i="3"/>
  <c r="T24" i="3"/>
  <c r="T22" i="3"/>
  <c r="U19" i="3"/>
  <c r="T19" i="3"/>
  <c r="C29" i="3"/>
  <c r="T21" i="3"/>
  <c r="V21" i="3"/>
  <c r="U21" i="3"/>
  <c r="W6" i="3"/>
  <c r="AE3" i="3"/>
  <c r="W3" i="3"/>
  <c r="E260" i="2"/>
  <c r="J260" i="2" s="1"/>
  <c r="J247" i="2"/>
  <c r="J187" i="2"/>
  <c r="E200" i="2"/>
  <c r="J200" i="2" s="1"/>
  <c r="E151" i="2"/>
  <c r="J151" i="2" s="1"/>
  <c r="J138" i="2"/>
  <c r="J241" i="2"/>
  <c r="E254" i="2"/>
  <c r="J254" i="2" s="1"/>
  <c r="J301" i="2"/>
  <c r="E314" i="2"/>
  <c r="J314" i="2" s="1"/>
  <c r="J140" i="2"/>
  <c r="E153" i="2"/>
  <c r="J153" i="2" s="1"/>
  <c r="J293" i="2"/>
  <c r="E306" i="2"/>
  <c r="J306" i="2" s="1"/>
  <c r="E253" i="2"/>
  <c r="J253" i="2" s="1"/>
  <c r="J240" i="2"/>
  <c r="E312" i="2"/>
  <c r="J312" i="2" s="1"/>
  <c r="R9" i="1" s="1"/>
  <c r="J299" i="2"/>
  <c r="J90" i="2"/>
  <c r="E103" i="2"/>
  <c r="J103" i="2" s="1"/>
  <c r="E261" i="2"/>
  <c r="J261" i="2" s="1"/>
  <c r="J248" i="2"/>
  <c r="E304" i="2"/>
  <c r="J304" i="2" s="1"/>
  <c r="J291" i="2"/>
  <c r="J139" i="2"/>
  <c r="E152" i="2"/>
  <c r="J152" i="2" s="1"/>
  <c r="J82" i="2"/>
  <c r="E95" i="2"/>
  <c r="J95" i="2" s="1"/>
  <c r="E209" i="2"/>
  <c r="J209" i="2" s="1"/>
  <c r="J196" i="2"/>
  <c r="J83" i="2"/>
  <c r="E96" i="2"/>
  <c r="J96" i="2" s="1"/>
  <c r="J242" i="2"/>
  <c r="E255" i="2"/>
  <c r="J255" i="2" s="1"/>
  <c r="J84" i="2"/>
  <c r="E97" i="2"/>
  <c r="J97" i="2" s="1"/>
  <c r="J91" i="2"/>
  <c r="E104" i="2"/>
  <c r="J104" i="2" s="1"/>
  <c r="J292" i="2"/>
  <c r="E305" i="2"/>
  <c r="J305" i="2" s="1"/>
  <c r="J300" i="2"/>
  <c r="E313" i="2"/>
  <c r="J313" i="2" s="1"/>
  <c r="R10" i="1" s="1"/>
  <c r="J195" i="2"/>
  <c r="E208" i="2"/>
  <c r="J208" i="2" s="1"/>
  <c r="J188" i="2"/>
  <c r="E201" i="2"/>
  <c r="J201" i="2" s="1"/>
  <c r="E41" i="2"/>
  <c r="J41" i="2" s="1"/>
  <c r="J28" i="2"/>
  <c r="J37" i="2"/>
  <c r="E50" i="2"/>
  <c r="J50" i="2" s="1"/>
  <c r="E252" i="2"/>
  <c r="J252" i="2" s="1"/>
  <c r="J239" i="2"/>
  <c r="J249" i="2"/>
  <c r="E262" i="2"/>
  <c r="J262" i="2" s="1"/>
  <c r="J29" i="2"/>
  <c r="E42" i="2"/>
  <c r="J42" i="2" s="1"/>
  <c r="F29" i="5" a="1"/>
  <c r="F18" i="5" a="1"/>
  <c r="D17" i="5" a="1"/>
  <c r="F37" i="5" a="1"/>
  <c r="F7" i="5" a="1"/>
  <c r="F17" i="5" a="1"/>
  <c r="F9" i="5" a="1"/>
  <c r="D18" i="5" a="1"/>
  <c r="D29" i="5" a="1"/>
  <c r="F27" i="5" a="1"/>
  <c r="D37" i="5" a="1"/>
  <c r="D28" i="5" a="1"/>
  <c r="D38" i="5" a="1"/>
  <c r="F28" i="5" a="1"/>
  <c r="D27" i="5" a="1"/>
  <c r="F8" i="5" a="1"/>
  <c r="F19" i="5" a="1"/>
  <c r="D7" i="5" a="1"/>
  <c r="J37" i="5" a="1"/>
  <c r="F39" i="5" a="1"/>
  <c r="D19" i="5" a="1"/>
  <c r="D8" i="5" a="1"/>
  <c r="J17" i="5" a="1"/>
  <c r="J28" i="5" a="1"/>
  <c r="D9" i="5" a="1"/>
  <c r="F38" i="5" a="1"/>
  <c r="D39" i="5" a="1"/>
  <c r="AI20" i="9" l="1"/>
  <c r="E10" i="12"/>
  <c r="K10" i="12"/>
  <c r="M10" i="12"/>
  <c r="G10" i="12"/>
  <c r="AE20" i="9"/>
  <c r="AI8" i="3"/>
  <c r="N11" i="3"/>
  <c r="AE13" i="3"/>
  <c r="U23" i="3"/>
  <c r="N3" i="3"/>
  <c r="R5" i="3"/>
  <c r="J10" i="9"/>
  <c r="R15" i="9"/>
  <c r="R32" i="9" s="1"/>
  <c r="R6" i="3"/>
  <c r="W14" i="3"/>
  <c r="W29" i="3" s="1"/>
  <c r="F6" i="3"/>
  <c r="P21" i="3" s="1"/>
  <c r="AA6" i="3"/>
  <c r="AC21" i="3" s="1"/>
  <c r="AE19" i="9"/>
  <c r="E18" i="3"/>
  <c r="R7" i="3"/>
  <c r="F14" i="9"/>
  <c r="M31" i="9" s="1"/>
  <c r="C16" i="9"/>
  <c r="R20" i="9"/>
  <c r="AA5" i="3"/>
  <c r="J5" i="3"/>
  <c r="P20" i="3" s="1"/>
  <c r="AC21" i="9"/>
  <c r="V31" i="9"/>
  <c r="T16" i="9"/>
  <c r="R13" i="3"/>
  <c r="AE12" i="3"/>
  <c r="I30" i="9"/>
  <c r="V27" i="9"/>
  <c r="J18" i="9"/>
  <c r="J33" i="9" s="1"/>
  <c r="W19" i="9"/>
  <c r="W34" i="9" s="1"/>
  <c r="V34" i="9"/>
  <c r="T21" i="9"/>
  <c r="H11" i="9"/>
  <c r="I21" i="9"/>
  <c r="U25" i="3"/>
  <c r="AI10" i="9"/>
  <c r="AI11" i="9" s="1"/>
  <c r="W12" i="3"/>
  <c r="Y27" i="3" s="1"/>
  <c r="E28" i="3"/>
  <c r="AA12" i="3"/>
  <c r="AA3" i="3"/>
  <c r="AC18" i="3" s="1"/>
  <c r="U31" i="9"/>
  <c r="Q11" i="9"/>
  <c r="AA9" i="3"/>
  <c r="F3" i="3"/>
  <c r="H18" i="3" s="1"/>
  <c r="E21" i="3"/>
  <c r="AA8" i="3"/>
  <c r="J13" i="3"/>
  <c r="M28" i="3" s="1"/>
  <c r="AI5" i="3"/>
  <c r="Z18" i="3"/>
  <c r="C28" i="3"/>
  <c r="V33" i="9"/>
  <c r="I20" i="3"/>
  <c r="K16" i="9"/>
  <c r="P21" i="9"/>
  <c r="N4" i="3"/>
  <c r="R8" i="9"/>
  <c r="G30" i="9"/>
  <c r="AA20" i="9"/>
  <c r="V22" i="3"/>
  <c r="W7" i="3"/>
  <c r="Y22" i="3" s="1"/>
  <c r="AI12" i="3"/>
  <c r="W18" i="9"/>
  <c r="AE7" i="3"/>
  <c r="R9" i="9"/>
  <c r="AI10" i="3"/>
  <c r="R10" i="9"/>
  <c r="T29" i="3"/>
  <c r="Q16" i="9"/>
  <c r="N19" i="9"/>
  <c r="N34" i="9" s="1"/>
  <c r="L16" i="9"/>
  <c r="V11" i="9"/>
  <c r="L34" i="9"/>
  <c r="N18" i="9"/>
  <c r="Y11" i="9"/>
  <c r="AD11" i="9"/>
  <c r="M16" i="9"/>
  <c r="R5" i="9"/>
  <c r="E21" i="9"/>
  <c r="W14" i="9"/>
  <c r="AF31" i="9" s="1"/>
  <c r="AI13" i="9"/>
  <c r="AF16" i="9"/>
  <c r="V35" i="9"/>
  <c r="T35" i="9"/>
  <c r="W20" i="9"/>
  <c r="U35" i="9"/>
  <c r="V21" i="9"/>
  <c r="AD16" i="9"/>
  <c r="AA19" i="9"/>
  <c r="J7" i="3"/>
  <c r="K11" i="9"/>
  <c r="N8" i="9"/>
  <c r="N11" i="9" s="1"/>
  <c r="T28" i="9"/>
  <c r="W9" i="9"/>
  <c r="AJ9" i="9" s="1"/>
  <c r="AJ28" i="9" s="1"/>
  <c r="V28" i="9"/>
  <c r="U28" i="9"/>
  <c r="O16" i="9"/>
  <c r="Y21" i="9"/>
  <c r="AE13" i="9"/>
  <c r="AE16" i="9" s="1"/>
  <c r="E31" i="9"/>
  <c r="L11" i="9"/>
  <c r="I11" i="9"/>
  <c r="N13" i="9"/>
  <c r="N16" i="9" s="1"/>
  <c r="N20" i="9"/>
  <c r="R19" i="9"/>
  <c r="N4" i="9"/>
  <c r="G16" i="9"/>
  <c r="U11" i="9"/>
  <c r="E30" i="9"/>
  <c r="C30" i="9"/>
  <c r="D30" i="9"/>
  <c r="W8" i="9"/>
  <c r="T11" i="9"/>
  <c r="V32" i="9"/>
  <c r="U32" i="9"/>
  <c r="W15" i="9"/>
  <c r="AC32" i="9" s="1"/>
  <c r="T32" i="9"/>
  <c r="E11" i="9"/>
  <c r="J9" i="9"/>
  <c r="F20" i="9"/>
  <c r="F21" i="9" s="1"/>
  <c r="D35" i="9"/>
  <c r="E35" i="9"/>
  <c r="C35" i="9"/>
  <c r="J8" i="9"/>
  <c r="G11" i="9"/>
  <c r="C33" i="9"/>
  <c r="C21" i="9"/>
  <c r="AA10" i="9"/>
  <c r="AA4" i="9"/>
  <c r="AI14" i="9"/>
  <c r="X11" i="9"/>
  <c r="AA8" i="9"/>
  <c r="AB11" i="9"/>
  <c r="AE8" i="9"/>
  <c r="AE11" i="9" s="1"/>
  <c r="U29" i="9"/>
  <c r="W10" i="9"/>
  <c r="V29" i="9"/>
  <c r="T29" i="9"/>
  <c r="D27" i="9"/>
  <c r="C27" i="9"/>
  <c r="AA13" i="9"/>
  <c r="AA16" i="9" s="1"/>
  <c r="P16" i="9"/>
  <c r="AG21" i="9"/>
  <c r="C29" i="9"/>
  <c r="E29" i="9"/>
  <c r="F10" i="9"/>
  <c r="U16" i="9"/>
  <c r="W13" i="9"/>
  <c r="U30" i="9"/>
  <c r="V30" i="9"/>
  <c r="T30" i="9"/>
  <c r="U34" i="9"/>
  <c r="T34" i="9"/>
  <c r="E34" i="9"/>
  <c r="Z21" i="9"/>
  <c r="J20" i="9"/>
  <c r="O21" i="9"/>
  <c r="M11" i="9"/>
  <c r="AE18" i="9"/>
  <c r="AB21" i="9"/>
  <c r="J13" i="9"/>
  <c r="K30" i="9" s="1"/>
  <c r="AA18" i="9"/>
  <c r="R18" i="9"/>
  <c r="AF21" i="9"/>
  <c r="AI18" i="9"/>
  <c r="AI21" i="9" s="1"/>
  <c r="D16" i="9"/>
  <c r="I33" i="9"/>
  <c r="F30" i="9"/>
  <c r="F27" i="9"/>
  <c r="G33" i="9"/>
  <c r="H27" i="9"/>
  <c r="F33" i="9"/>
  <c r="H33" i="9"/>
  <c r="Q32" i="9"/>
  <c r="N32" i="9"/>
  <c r="AI4" i="9"/>
  <c r="M6" i="9"/>
  <c r="AC6" i="9"/>
  <c r="E19" i="3"/>
  <c r="G34" i="9"/>
  <c r="R4" i="9"/>
  <c r="AE4" i="9"/>
  <c r="D17" i="5"/>
  <c r="U27" i="3"/>
  <c r="D23" i="3"/>
  <c r="C26" i="3"/>
  <c r="M34" i="9"/>
  <c r="M32" i="9"/>
  <c r="U25" i="9"/>
  <c r="T25" i="9"/>
  <c r="V25" i="9"/>
  <c r="W4" i="9"/>
  <c r="C25" i="9"/>
  <c r="F4" i="9"/>
  <c r="H25" i="9" s="1"/>
  <c r="D25" i="9"/>
  <c r="E25" i="9"/>
  <c r="Z6" i="9"/>
  <c r="D6" i="9"/>
  <c r="L6" i="9"/>
  <c r="E26" i="3"/>
  <c r="F11" i="3"/>
  <c r="G26" i="3" s="1"/>
  <c r="P32" i="9"/>
  <c r="H30" i="9"/>
  <c r="P6" i="9"/>
  <c r="U24" i="9"/>
  <c r="U6" i="9"/>
  <c r="X6" i="9"/>
  <c r="AA3" i="9"/>
  <c r="N3" i="9"/>
  <c r="K6" i="9"/>
  <c r="V6" i="9"/>
  <c r="AD6" i="9"/>
  <c r="Q6" i="9"/>
  <c r="U26" i="9"/>
  <c r="V26" i="9"/>
  <c r="T26" i="9"/>
  <c r="W5" i="9"/>
  <c r="AA5" i="9"/>
  <c r="O32" i="9"/>
  <c r="G27" i="9"/>
  <c r="I34" i="9"/>
  <c r="K32" i="9"/>
  <c r="AH6" i="9"/>
  <c r="AG6" i="9"/>
  <c r="C6" i="9"/>
  <c r="E24" i="9"/>
  <c r="C24" i="9"/>
  <c r="F3" i="9"/>
  <c r="G24" i="9" s="1"/>
  <c r="D24" i="9"/>
  <c r="J5" i="9"/>
  <c r="AE5" i="9"/>
  <c r="T27" i="3"/>
  <c r="AI6" i="3"/>
  <c r="J34" i="9"/>
  <c r="K34" i="9"/>
  <c r="F34" i="9"/>
  <c r="H6" i="9"/>
  <c r="T24" i="9"/>
  <c r="T6" i="9"/>
  <c r="W3" i="9"/>
  <c r="V24" i="9"/>
  <c r="E6" i="9"/>
  <c r="AI5" i="9"/>
  <c r="E23" i="3"/>
  <c r="R10" i="3"/>
  <c r="L32" i="9"/>
  <c r="I27" i="9"/>
  <c r="R3" i="9"/>
  <c r="O6" i="9"/>
  <c r="AF6" i="9"/>
  <c r="AI3" i="9"/>
  <c r="AB6" i="9"/>
  <c r="AE3" i="9"/>
  <c r="N5" i="9"/>
  <c r="C26" i="9"/>
  <c r="E26" i="9"/>
  <c r="F5" i="9"/>
  <c r="D26" i="9"/>
  <c r="AE4" i="3"/>
  <c r="J32" i="9"/>
  <c r="J4" i="9"/>
  <c r="I6" i="9"/>
  <c r="G6" i="9"/>
  <c r="J3" i="9"/>
  <c r="Y6" i="9"/>
  <c r="G28" i="9"/>
  <c r="I28" i="9"/>
  <c r="F28" i="9"/>
  <c r="N8" i="12"/>
  <c r="N9" i="12"/>
  <c r="N7" i="12"/>
  <c r="H9" i="12"/>
  <c r="H7" i="12"/>
  <c r="H8" i="12"/>
  <c r="V27" i="3"/>
  <c r="W13" i="3"/>
  <c r="Y28" i="3" s="1"/>
  <c r="T20" i="3"/>
  <c r="W5" i="3"/>
  <c r="Y20" i="3" s="1"/>
  <c r="T28" i="3"/>
  <c r="AA10" i="3"/>
  <c r="E24" i="3"/>
  <c r="D28" i="5"/>
  <c r="F27" i="5"/>
  <c r="F7" i="5"/>
  <c r="F39" i="5"/>
  <c r="D24" i="3"/>
  <c r="E29" i="3"/>
  <c r="AI14" i="3"/>
  <c r="J3" i="3"/>
  <c r="W4" i="3"/>
  <c r="AD19" i="3" s="1"/>
  <c r="F38" i="5"/>
  <c r="E25" i="3"/>
  <c r="C25" i="3"/>
  <c r="V28" i="3"/>
  <c r="F10" i="3"/>
  <c r="I25" i="3" s="1"/>
  <c r="F14" i="3"/>
  <c r="N14" i="3"/>
  <c r="AE5" i="3"/>
  <c r="V25" i="3"/>
  <c r="J14" i="3"/>
  <c r="R11" i="3"/>
  <c r="AE6" i="3"/>
  <c r="AE9" i="3"/>
  <c r="V20" i="3"/>
  <c r="F4" i="3"/>
  <c r="H28" i="3"/>
  <c r="J11" i="3"/>
  <c r="F9" i="5"/>
  <c r="W9" i="3"/>
  <c r="Y24" i="3" s="1"/>
  <c r="F9" i="3"/>
  <c r="G24" i="3" s="1"/>
  <c r="M27" i="3"/>
  <c r="R8" i="3"/>
  <c r="D29" i="3"/>
  <c r="C22" i="3"/>
  <c r="D22" i="3"/>
  <c r="E22" i="3"/>
  <c r="F7" i="3"/>
  <c r="H22" i="3" s="1"/>
  <c r="V29" i="3"/>
  <c r="N8" i="3"/>
  <c r="V24" i="3"/>
  <c r="F29" i="5"/>
  <c r="F19" i="5"/>
  <c r="D8" i="5"/>
  <c r="J28" i="5"/>
  <c r="J17" i="5"/>
  <c r="F37" i="5"/>
  <c r="D18" i="5"/>
  <c r="F8" i="5"/>
  <c r="F17" i="5"/>
  <c r="D27" i="5"/>
  <c r="D9" i="5"/>
  <c r="D7" i="5"/>
  <c r="D19" i="5"/>
  <c r="D38" i="5"/>
  <c r="J37" i="5"/>
  <c r="F18" i="5"/>
  <c r="D37" i="5"/>
  <c r="F28" i="5"/>
  <c r="D39" i="5"/>
  <c r="D29" i="5"/>
  <c r="Z26" i="3"/>
  <c r="AA14" i="3"/>
  <c r="AI11" i="3"/>
  <c r="W10" i="3"/>
  <c r="Y25" i="3" s="1"/>
  <c r="E20" i="3"/>
  <c r="N9" i="3"/>
  <c r="D20" i="3"/>
  <c r="J27" i="3"/>
  <c r="K23" i="3"/>
  <c r="AA11" i="3"/>
  <c r="AG26" i="3" s="1"/>
  <c r="AI7" i="3"/>
  <c r="N13" i="3"/>
  <c r="P27" i="3"/>
  <c r="S12" i="3"/>
  <c r="S27" i="3" s="1"/>
  <c r="F27" i="3"/>
  <c r="N27" i="3"/>
  <c r="L27" i="3"/>
  <c r="O27" i="3"/>
  <c r="H27" i="3"/>
  <c r="I27" i="3"/>
  <c r="Q27" i="3"/>
  <c r="F20" i="3"/>
  <c r="W21" i="3"/>
  <c r="R27" i="3"/>
  <c r="Y21" i="3"/>
  <c r="F28" i="3"/>
  <c r="W26" i="3"/>
  <c r="G28" i="3"/>
  <c r="M23" i="3"/>
  <c r="Y18" i="3"/>
  <c r="X21" i="3"/>
  <c r="X26" i="3"/>
  <c r="G20" i="3"/>
  <c r="W23" i="3"/>
  <c r="Z23" i="3"/>
  <c r="I23" i="3"/>
  <c r="L23" i="3"/>
  <c r="K27" i="3"/>
  <c r="X18" i="3"/>
  <c r="H20" i="3"/>
  <c r="F23" i="3"/>
  <c r="H23" i="3"/>
  <c r="X23" i="3"/>
  <c r="J23" i="3"/>
  <c r="W18" i="3"/>
  <c r="Z21" i="3"/>
  <c r="Y26" i="3"/>
  <c r="G23" i="3"/>
  <c r="I28" i="3"/>
  <c r="Y23" i="3"/>
  <c r="L9" i="5" a="1"/>
  <c r="L38" i="5" a="1"/>
  <c r="L39" i="5" a="1"/>
  <c r="J7" i="5" a="1"/>
  <c r="L17" i="5" a="1"/>
  <c r="E37" i="5" a="1"/>
  <c r="J18" i="5" a="1"/>
  <c r="L28" i="5" a="1"/>
  <c r="L19" i="5" a="1"/>
  <c r="J9" i="5" a="1"/>
  <c r="J8" i="5" a="1"/>
  <c r="L27" i="5" a="1"/>
  <c r="L29" i="5" a="1"/>
  <c r="L7" i="5" a="1"/>
  <c r="L18" i="5" a="1"/>
  <c r="L37" i="5" a="1"/>
  <c r="L8" i="5" a="1"/>
  <c r="J38" i="5" a="1"/>
  <c r="J27" i="5" a="1"/>
  <c r="J39" i="5" a="1"/>
  <c r="K37" i="5" a="1"/>
  <c r="J29" i="5" a="1"/>
  <c r="J19" i="5" a="1"/>
  <c r="H10" i="12" l="1"/>
  <c r="N10" i="12"/>
  <c r="F20" i="5"/>
  <c r="D40" i="5"/>
  <c r="F40" i="5"/>
  <c r="D30" i="5"/>
  <c r="D10" i="5"/>
  <c r="F30" i="5"/>
  <c r="D20" i="5"/>
  <c r="F10" i="5"/>
  <c r="Y29" i="3"/>
  <c r="Z29" i="3"/>
  <c r="H21" i="3"/>
  <c r="J21" i="3"/>
  <c r="F21" i="3"/>
  <c r="Q31" i="9"/>
  <c r="M21" i="3"/>
  <c r="K21" i="3"/>
  <c r="S14" i="9"/>
  <c r="S31" i="9" s="1"/>
  <c r="I21" i="3"/>
  <c r="R21" i="3"/>
  <c r="J31" i="9"/>
  <c r="AJ8" i="3"/>
  <c r="AJ23" i="3" s="1"/>
  <c r="L38" i="5"/>
  <c r="R16" i="9"/>
  <c r="M29" i="9"/>
  <c r="S15" i="9"/>
  <c r="S32" i="9" s="1"/>
  <c r="AC29" i="3"/>
  <c r="AB21" i="3"/>
  <c r="X29" i="3"/>
  <c r="N21" i="3"/>
  <c r="AA21" i="3"/>
  <c r="AD21" i="3"/>
  <c r="AA18" i="3"/>
  <c r="S6" i="3"/>
  <c r="S21" i="3" s="1"/>
  <c r="L21" i="3"/>
  <c r="Q21" i="3"/>
  <c r="G21" i="3"/>
  <c r="O21" i="3"/>
  <c r="AE18" i="3"/>
  <c r="AE21" i="9"/>
  <c r="I31" i="9"/>
  <c r="AG18" i="3"/>
  <c r="Q20" i="3"/>
  <c r="M20" i="3"/>
  <c r="J19" i="5"/>
  <c r="L17" i="5"/>
  <c r="L18" i="5"/>
  <c r="J27" i="5"/>
  <c r="L8" i="5"/>
  <c r="J8" i="5"/>
  <c r="P23" i="3"/>
  <c r="AH21" i="3"/>
  <c r="AI18" i="3"/>
  <c r="K31" i="9"/>
  <c r="H31" i="9"/>
  <c r="F16" i="9"/>
  <c r="R31" i="9"/>
  <c r="G31" i="9"/>
  <c r="L31" i="9"/>
  <c r="AJ3" i="3"/>
  <c r="AJ18" i="3" s="1"/>
  <c r="F31" i="9"/>
  <c r="O31" i="9"/>
  <c r="N31" i="9"/>
  <c r="S5" i="3"/>
  <c r="S20" i="3" s="1"/>
  <c r="P31" i="9"/>
  <c r="L9" i="5"/>
  <c r="N20" i="3"/>
  <c r="K20" i="3"/>
  <c r="O20" i="3"/>
  <c r="R20" i="3"/>
  <c r="J20" i="3"/>
  <c r="L20" i="3"/>
  <c r="J9" i="5"/>
  <c r="AB18" i="3"/>
  <c r="AH18" i="3"/>
  <c r="I18" i="3"/>
  <c r="W27" i="3"/>
  <c r="K33" i="9"/>
  <c r="AD18" i="3"/>
  <c r="F18" i="3"/>
  <c r="AF18" i="3"/>
  <c r="J28" i="3"/>
  <c r="M33" i="9"/>
  <c r="L33" i="9"/>
  <c r="AF27" i="3"/>
  <c r="AF23" i="3"/>
  <c r="AC31" i="9"/>
  <c r="X34" i="9"/>
  <c r="X27" i="3"/>
  <c r="AI23" i="3"/>
  <c r="N33" i="9"/>
  <c r="Z27" i="3"/>
  <c r="AC23" i="3"/>
  <c r="Z34" i="9"/>
  <c r="Y34" i="9"/>
  <c r="AG27" i="3"/>
  <c r="J21" i="9"/>
  <c r="AG34" i="9"/>
  <c r="AA27" i="3"/>
  <c r="AE27" i="3"/>
  <c r="AC27" i="3"/>
  <c r="L28" i="3"/>
  <c r="AG23" i="3"/>
  <c r="AB23" i="3"/>
  <c r="AH27" i="3"/>
  <c r="K28" i="3"/>
  <c r="AB27" i="3"/>
  <c r="AD27" i="3"/>
  <c r="N28" i="3"/>
  <c r="AI27" i="3"/>
  <c r="L7" i="5"/>
  <c r="L37" i="5"/>
  <c r="X22" i="3"/>
  <c r="AH23" i="3"/>
  <c r="AD23" i="3"/>
  <c r="AA23" i="3"/>
  <c r="AE23" i="3"/>
  <c r="Z22" i="3"/>
  <c r="R28" i="9"/>
  <c r="G18" i="3"/>
  <c r="S3" i="3"/>
  <c r="S18" i="3" s="1"/>
  <c r="L27" i="5"/>
  <c r="J38" i="5"/>
  <c r="L19" i="5"/>
  <c r="R11" i="9"/>
  <c r="R25" i="3"/>
  <c r="AD22" i="3"/>
  <c r="AA22" i="3"/>
  <c r="AB22" i="3"/>
  <c r="AG31" i="9"/>
  <c r="AC34" i="9"/>
  <c r="AJ12" i="3"/>
  <c r="AJ27" i="3" s="1"/>
  <c r="AC22" i="3"/>
  <c r="W21" i="9"/>
  <c r="W22" i="3"/>
  <c r="N19" i="3"/>
  <c r="AG22" i="3"/>
  <c r="F26" i="3"/>
  <c r="AE22" i="3"/>
  <c r="M26" i="3"/>
  <c r="J30" i="9"/>
  <c r="X33" i="9"/>
  <c r="Z33" i="9"/>
  <c r="Y33" i="9"/>
  <c r="W33" i="9"/>
  <c r="AF22" i="3"/>
  <c r="AI22" i="3"/>
  <c r="N30" i="9"/>
  <c r="AH22" i="3"/>
  <c r="K28" i="9"/>
  <c r="AF34" i="9"/>
  <c r="O28" i="9"/>
  <c r="L30" i="9"/>
  <c r="AB31" i="9"/>
  <c r="AI34" i="9"/>
  <c r="AE34" i="9"/>
  <c r="M28" i="9"/>
  <c r="Q33" i="9"/>
  <c r="O33" i="9"/>
  <c r="S18" i="9"/>
  <c r="S33" i="9" s="1"/>
  <c r="P33" i="9"/>
  <c r="Q30" i="9"/>
  <c r="AD24" i="9"/>
  <c r="AF28" i="9"/>
  <c r="X20" i="3"/>
  <c r="AB28" i="9"/>
  <c r="J26" i="3"/>
  <c r="AF25" i="9"/>
  <c r="AG28" i="9"/>
  <c r="F11" i="9"/>
  <c r="AA28" i="9"/>
  <c r="R34" i="9"/>
  <c r="P34" i="9"/>
  <c r="O34" i="9"/>
  <c r="J11" i="9"/>
  <c r="R6" i="9"/>
  <c r="S19" i="9"/>
  <c r="S34" i="9" s="1"/>
  <c r="Q34" i="9"/>
  <c r="AJ4" i="3"/>
  <c r="AJ19" i="3" s="1"/>
  <c r="AI16" i="9"/>
  <c r="AB32" i="9"/>
  <c r="AJ20" i="9"/>
  <c r="AJ35" i="9" s="1"/>
  <c r="AA32" i="9"/>
  <c r="AF32" i="9"/>
  <c r="L25" i="9"/>
  <c r="AI35" i="9"/>
  <c r="AB34" i="9"/>
  <c r="N27" i="9"/>
  <c r="H26" i="3"/>
  <c r="S9" i="9"/>
  <c r="S28" i="9" s="1"/>
  <c r="Q29" i="9"/>
  <c r="AI32" i="9"/>
  <c r="K27" i="9"/>
  <c r="S8" i="9"/>
  <c r="S27" i="9" s="1"/>
  <c r="O27" i="9"/>
  <c r="AA34" i="9"/>
  <c r="S8" i="3"/>
  <c r="S23" i="3" s="1"/>
  <c r="K26" i="3"/>
  <c r="R29" i="9"/>
  <c r="R27" i="9"/>
  <c r="O29" i="9"/>
  <c r="AD28" i="9"/>
  <c r="M27" i="9"/>
  <c r="I26" i="3"/>
  <c r="AE32" i="9"/>
  <c r="AH28" i="9"/>
  <c r="L28" i="9"/>
  <c r="AG32" i="9"/>
  <c r="AH32" i="9"/>
  <c r="AE28" i="9"/>
  <c r="Q28" i="9"/>
  <c r="AC28" i="3"/>
  <c r="N21" i="9"/>
  <c r="AI21" i="3"/>
  <c r="AI27" i="9"/>
  <c r="S13" i="9"/>
  <c r="Q27" i="9"/>
  <c r="AD20" i="3"/>
  <c r="J18" i="5"/>
  <c r="M26" i="9"/>
  <c r="P29" i="9"/>
  <c r="S10" i="9"/>
  <c r="S29" i="9" s="1"/>
  <c r="X31" i="9"/>
  <c r="AI31" i="9"/>
  <c r="AE31" i="9"/>
  <c r="W31" i="9"/>
  <c r="AD31" i="9"/>
  <c r="AH31" i="9"/>
  <c r="Z31" i="9"/>
  <c r="AJ14" i="9"/>
  <c r="AJ31" i="9" s="1"/>
  <c r="Y31" i="9"/>
  <c r="AA31" i="9"/>
  <c r="AI25" i="9"/>
  <c r="Y25" i="9"/>
  <c r="R33" i="9"/>
  <c r="R21" i="9"/>
  <c r="I35" i="9"/>
  <c r="P35" i="9"/>
  <c r="H35" i="9"/>
  <c r="R35" i="9"/>
  <c r="F35" i="9"/>
  <c r="J35" i="9"/>
  <c r="S20" i="9"/>
  <c r="N35" i="9"/>
  <c r="M35" i="9"/>
  <c r="Q35" i="9"/>
  <c r="G35" i="9"/>
  <c r="K35" i="9"/>
  <c r="O35" i="9"/>
  <c r="L35" i="9"/>
  <c r="Y27" i="9"/>
  <c r="W27" i="9"/>
  <c r="X27" i="9"/>
  <c r="Z27" i="9"/>
  <c r="W11" i="9"/>
  <c r="AA27" i="9"/>
  <c r="AB27" i="9"/>
  <c r="AG27" i="9"/>
  <c r="AJ8" i="9"/>
  <c r="AD27" i="9"/>
  <c r="AE27" i="9"/>
  <c r="AH27" i="9"/>
  <c r="AF27" i="9"/>
  <c r="AC27" i="9"/>
  <c r="Y28" i="9"/>
  <c r="X28" i="9"/>
  <c r="Z28" i="9"/>
  <c r="AI28" i="9"/>
  <c r="W28" i="9"/>
  <c r="AC28" i="9"/>
  <c r="AD33" i="9"/>
  <c r="AA21" i="9"/>
  <c r="AJ18" i="9"/>
  <c r="AJ33" i="9" s="1"/>
  <c r="AH33" i="9"/>
  <c r="AE33" i="9"/>
  <c r="AF33" i="9"/>
  <c r="AI33" i="9"/>
  <c r="AB33" i="9"/>
  <c r="AG33" i="9"/>
  <c r="AC33" i="9"/>
  <c r="AA33" i="9"/>
  <c r="N28" i="9"/>
  <c r="P28" i="9"/>
  <c r="AJ15" i="9"/>
  <c r="AJ32" i="9" s="1"/>
  <c r="O30" i="9"/>
  <c r="M30" i="9"/>
  <c r="P30" i="9"/>
  <c r="AA11" i="9"/>
  <c r="Z35" i="9"/>
  <c r="AE35" i="9"/>
  <c r="AH35" i="9"/>
  <c r="AC35" i="9"/>
  <c r="AG35" i="9"/>
  <c r="X35" i="9"/>
  <c r="W35" i="9"/>
  <c r="AD35" i="9"/>
  <c r="Y35" i="9"/>
  <c r="AF35" i="9"/>
  <c r="AA35" i="9"/>
  <c r="AB35" i="9"/>
  <c r="L27" i="9"/>
  <c r="AC24" i="3"/>
  <c r="AE6" i="9"/>
  <c r="J27" i="9"/>
  <c r="P27" i="9"/>
  <c r="R30" i="9"/>
  <c r="J28" i="9"/>
  <c r="J16" i="9"/>
  <c r="I29" i="9"/>
  <c r="K29" i="9"/>
  <c r="F29" i="9"/>
  <c r="H29" i="9"/>
  <c r="L29" i="9"/>
  <c r="G29" i="9"/>
  <c r="W32" i="9"/>
  <c r="Z32" i="9"/>
  <c r="Y32" i="9"/>
  <c r="X32" i="9"/>
  <c r="AC30" i="9"/>
  <c r="X30" i="9"/>
  <c r="AA30" i="9"/>
  <c r="AJ13" i="9"/>
  <c r="AE30" i="9"/>
  <c r="AB30" i="9"/>
  <c r="AI30" i="9"/>
  <c r="Z30" i="9"/>
  <c r="AH30" i="9"/>
  <c r="W16" i="9"/>
  <c r="AG30" i="9"/>
  <c r="Y30" i="9"/>
  <c r="W30" i="9"/>
  <c r="AF30" i="9"/>
  <c r="AD30" i="9"/>
  <c r="J29" i="9"/>
  <c r="N29" i="9"/>
  <c r="AD32" i="9"/>
  <c r="W29" i="9"/>
  <c r="X29" i="9"/>
  <c r="AA29" i="9"/>
  <c r="AJ10" i="9"/>
  <c r="AJ29" i="9" s="1"/>
  <c r="AI29" i="9"/>
  <c r="AH29" i="9"/>
  <c r="AF29" i="9"/>
  <c r="AE29" i="9"/>
  <c r="AC29" i="9"/>
  <c r="Y29" i="9"/>
  <c r="Z29" i="9"/>
  <c r="AG29" i="9"/>
  <c r="AD29" i="9"/>
  <c r="AB29" i="9"/>
  <c r="AJ19" i="9"/>
  <c r="AJ34" i="9" s="1"/>
  <c r="AH34" i="9"/>
  <c r="AD34" i="9"/>
  <c r="O23" i="3"/>
  <c r="M18" i="3"/>
  <c r="R19" i="3"/>
  <c r="I24" i="9"/>
  <c r="Q25" i="9"/>
  <c r="Q28" i="3"/>
  <c r="H24" i="9"/>
  <c r="O25" i="9"/>
  <c r="O19" i="3"/>
  <c r="Q23" i="3"/>
  <c r="W24" i="3"/>
  <c r="F24" i="9"/>
  <c r="N23" i="3"/>
  <c r="P22" i="3"/>
  <c r="N6" i="9"/>
  <c r="R23" i="3"/>
  <c r="AH28" i="3"/>
  <c r="J25" i="9"/>
  <c r="I25" i="9"/>
  <c r="S4" i="9"/>
  <c r="S25" i="9" s="1"/>
  <c r="W6" i="9"/>
  <c r="AI24" i="9"/>
  <c r="AF24" i="9"/>
  <c r="W24" i="9"/>
  <c r="Z24" i="9"/>
  <c r="AC24" i="9"/>
  <c r="AE24" i="9"/>
  <c r="AB24" i="9"/>
  <c r="AG24" i="9"/>
  <c r="AH24" i="9"/>
  <c r="AJ3" i="9"/>
  <c r="AA24" i="9"/>
  <c r="P25" i="9"/>
  <c r="K25" i="9"/>
  <c r="Y24" i="9"/>
  <c r="R25" i="9"/>
  <c r="J6" i="9"/>
  <c r="Z25" i="9"/>
  <c r="X25" i="9"/>
  <c r="AD25" i="9"/>
  <c r="W25" i="9"/>
  <c r="AE25" i="9"/>
  <c r="AG25" i="9"/>
  <c r="AA25" i="9"/>
  <c r="AJ4" i="9"/>
  <c r="AJ25" i="9" s="1"/>
  <c r="AB25" i="9"/>
  <c r="M25" i="9"/>
  <c r="N25" i="9"/>
  <c r="AI6" i="9"/>
  <c r="G25" i="9"/>
  <c r="X24" i="9"/>
  <c r="P24" i="9"/>
  <c r="M24" i="9"/>
  <c r="F6" i="9"/>
  <c r="J24" i="9"/>
  <c r="N24" i="9"/>
  <c r="L24" i="9"/>
  <c r="Q24" i="9"/>
  <c r="K24" i="9"/>
  <c r="R24" i="9"/>
  <c r="O24" i="9"/>
  <c r="S3" i="9"/>
  <c r="S24" i="9" s="1"/>
  <c r="AH25" i="9"/>
  <c r="F26" i="9"/>
  <c r="N26" i="9"/>
  <c r="Q26" i="9"/>
  <c r="I26" i="9"/>
  <c r="P26" i="9"/>
  <c r="R26" i="9"/>
  <c r="G26" i="9"/>
  <c r="L26" i="9"/>
  <c r="O26" i="9"/>
  <c r="H26" i="9"/>
  <c r="S5" i="9"/>
  <c r="S26" i="9" s="1"/>
  <c r="J26" i="9"/>
  <c r="K26" i="9"/>
  <c r="AJ5" i="9"/>
  <c r="AJ26" i="9" s="1"/>
  <c r="X26" i="9"/>
  <c r="Z26" i="9"/>
  <c r="AI26" i="9"/>
  <c r="AD26" i="9"/>
  <c r="AB26" i="9"/>
  <c r="AF26" i="9"/>
  <c r="W26" i="9"/>
  <c r="AH26" i="9"/>
  <c r="AG26" i="9"/>
  <c r="AC26" i="9"/>
  <c r="AA26" i="9"/>
  <c r="Y26" i="9"/>
  <c r="AE26" i="9"/>
  <c r="F25" i="9"/>
  <c r="AA6" i="9"/>
  <c r="AC25" i="9"/>
  <c r="AJ7" i="3"/>
  <c r="AJ22" i="3" s="1"/>
  <c r="AA19" i="3"/>
  <c r="AE28" i="3"/>
  <c r="AI26" i="3"/>
  <c r="AJ11" i="3"/>
  <c r="AJ26" i="3" s="1"/>
  <c r="Z28" i="3"/>
  <c r="M29" i="3"/>
  <c r="R26" i="3"/>
  <c r="AE26" i="3"/>
  <c r="G22" i="3"/>
  <c r="W28" i="3"/>
  <c r="N26" i="3"/>
  <c r="AE21" i="3"/>
  <c r="AA26" i="3"/>
  <c r="AH20" i="3"/>
  <c r="Q26" i="3"/>
  <c r="AG21" i="3"/>
  <c r="AC20" i="3"/>
  <c r="S11" i="3"/>
  <c r="S26" i="3" s="1"/>
  <c r="X28" i="3"/>
  <c r="AA28" i="3"/>
  <c r="AF26" i="3"/>
  <c r="AI28" i="3"/>
  <c r="P28" i="3"/>
  <c r="X24" i="3"/>
  <c r="AJ6" i="3"/>
  <c r="AJ21" i="3" s="1"/>
  <c r="O28" i="3"/>
  <c r="AG28" i="3"/>
  <c r="AF21" i="3"/>
  <c r="Z20" i="3"/>
  <c r="R28" i="3"/>
  <c r="O26" i="3"/>
  <c r="AB20" i="3"/>
  <c r="K29" i="3"/>
  <c r="AD28" i="3"/>
  <c r="AJ13" i="3"/>
  <c r="AJ28" i="3" s="1"/>
  <c r="L26" i="3"/>
  <c r="AF28" i="3"/>
  <c r="AB26" i="3"/>
  <c r="S13" i="3"/>
  <c r="S28" i="3" s="1"/>
  <c r="P26" i="3"/>
  <c r="AB28" i="3"/>
  <c r="AC26" i="3"/>
  <c r="AJ9" i="3"/>
  <c r="AJ24" i="3" s="1"/>
  <c r="AD24" i="3"/>
  <c r="AD26" i="3"/>
  <c r="AA20" i="3"/>
  <c r="AB24" i="3"/>
  <c r="W20" i="3"/>
  <c r="AA24" i="3"/>
  <c r="AH26" i="3"/>
  <c r="Z24" i="3"/>
  <c r="L28" i="5"/>
  <c r="X19" i="3"/>
  <c r="W19" i="3"/>
  <c r="AI20" i="3"/>
  <c r="R29" i="3"/>
  <c r="AC19" i="3"/>
  <c r="AG20" i="3"/>
  <c r="AB19" i="3"/>
  <c r="AI19" i="3"/>
  <c r="Z19" i="3"/>
  <c r="AG19" i="3"/>
  <c r="AF19" i="3"/>
  <c r="AB25" i="3"/>
  <c r="AE19" i="3"/>
  <c r="AH19" i="3"/>
  <c r="Y19" i="3"/>
  <c r="AE20" i="3"/>
  <c r="AJ5" i="3"/>
  <c r="AJ20" i="3" s="1"/>
  <c r="AF20" i="3"/>
  <c r="J7" i="5"/>
  <c r="X25" i="3"/>
  <c r="K19" i="3"/>
  <c r="G19" i="3"/>
  <c r="F25" i="3"/>
  <c r="L22" i="3"/>
  <c r="I22" i="3"/>
  <c r="S4" i="3"/>
  <c r="S19" i="3" s="1"/>
  <c r="H19" i="3"/>
  <c r="Q18" i="3"/>
  <c r="Q22" i="3"/>
  <c r="S7" i="3"/>
  <c r="S22" i="3" s="1"/>
  <c r="O18" i="3"/>
  <c r="Q19" i="3"/>
  <c r="M25" i="3"/>
  <c r="L19" i="3"/>
  <c r="AA25" i="3"/>
  <c r="M19" i="3"/>
  <c r="F19" i="3"/>
  <c r="P19" i="3"/>
  <c r="K18" i="3"/>
  <c r="O22" i="3"/>
  <c r="P18" i="3"/>
  <c r="L18" i="3"/>
  <c r="AF25" i="3"/>
  <c r="R22" i="3"/>
  <c r="R18" i="3"/>
  <c r="J19" i="3"/>
  <c r="K22" i="3"/>
  <c r="J22" i="3"/>
  <c r="I19" i="3"/>
  <c r="N22" i="3"/>
  <c r="J18" i="3"/>
  <c r="N18" i="3"/>
  <c r="AE25" i="3"/>
  <c r="P25" i="3"/>
  <c r="M22" i="3"/>
  <c r="J39" i="5"/>
  <c r="J29" i="5"/>
  <c r="J29" i="3"/>
  <c r="K25" i="3"/>
  <c r="AI24" i="3"/>
  <c r="G29" i="3"/>
  <c r="H25" i="3"/>
  <c r="H29" i="3"/>
  <c r="AE29" i="3"/>
  <c r="AE24" i="3"/>
  <c r="Q29" i="3"/>
  <c r="AG29" i="3"/>
  <c r="AG24" i="3"/>
  <c r="N25" i="3"/>
  <c r="L25" i="3"/>
  <c r="F29" i="3"/>
  <c r="G25" i="3"/>
  <c r="AF24" i="3"/>
  <c r="AH24" i="3"/>
  <c r="Q25" i="3"/>
  <c r="S14" i="3"/>
  <c r="S29" i="3" s="1"/>
  <c r="F24" i="3"/>
  <c r="N29" i="3"/>
  <c r="J25" i="3"/>
  <c r="L29" i="3"/>
  <c r="O29" i="3"/>
  <c r="I29" i="3"/>
  <c r="P29" i="3"/>
  <c r="O25" i="3"/>
  <c r="S10" i="3"/>
  <c r="S25" i="3" s="1"/>
  <c r="AH29" i="3"/>
  <c r="AJ14" i="3"/>
  <c r="AJ29" i="3" s="1"/>
  <c r="O24" i="3"/>
  <c r="AI29" i="3"/>
  <c r="S9" i="3"/>
  <c r="S24" i="3" s="1"/>
  <c r="P24" i="3"/>
  <c r="Q24" i="3"/>
  <c r="L24" i="3"/>
  <c r="AD29" i="3"/>
  <c r="J24" i="3"/>
  <c r="I24" i="3"/>
  <c r="AB29" i="3"/>
  <c r="M24" i="3"/>
  <c r="AA29" i="3"/>
  <c r="K24" i="3"/>
  <c r="N24" i="3"/>
  <c r="F22" i="3"/>
  <c r="AF29" i="3"/>
  <c r="H24" i="3"/>
  <c r="K37" i="5"/>
  <c r="L39" i="5"/>
  <c r="L29" i="5"/>
  <c r="E37" i="5"/>
  <c r="AH25" i="3"/>
  <c r="AD25" i="3"/>
  <c r="R24" i="3"/>
  <c r="AG25" i="3"/>
  <c r="AC25" i="3"/>
  <c r="AI25" i="3"/>
  <c r="W25" i="3"/>
  <c r="AJ10" i="3"/>
  <c r="AJ25" i="3" s="1"/>
  <c r="Z25" i="3"/>
  <c r="K19" i="5" a="1"/>
  <c r="G39" i="5" a="1"/>
  <c r="M28" i="5" a="1"/>
  <c r="G29" i="5" a="1"/>
  <c r="M29" i="5" a="1"/>
  <c r="K28" i="5" a="1"/>
  <c r="E28" i="5" a="1"/>
  <c r="K38" i="5" a="1"/>
  <c r="G9" i="5" a="1"/>
  <c r="G28" i="5" a="1"/>
  <c r="G37" i="5" a="1"/>
  <c r="K8" i="5" a="1"/>
  <c r="E27" i="5" a="1"/>
  <c r="M7" i="5" a="1"/>
  <c r="E29" i="5" a="1"/>
  <c r="M38" i="5" a="1"/>
  <c r="M39" i="5" a="1"/>
  <c r="E18" i="5" a="1"/>
  <c r="G18" i="5" a="1"/>
  <c r="G27" i="5" a="1"/>
  <c r="G8" i="5" a="1"/>
  <c r="E19" i="5" a="1"/>
  <c r="K7" i="5" a="1"/>
  <c r="E7" i="5" a="1"/>
  <c r="M8" i="5" a="1"/>
  <c r="M18" i="5" a="1"/>
  <c r="K29" i="5" a="1"/>
  <c r="G19" i="5" a="1"/>
  <c r="E17" i="5" a="1"/>
  <c r="G7" i="5" a="1"/>
  <c r="M37" i="5" a="1"/>
  <c r="K17" i="5" a="1"/>
  <c r="K27" i="5" a="1"/>
  <c r="K18" i="5" a="1"/>
  <c r="G17" i="5" a="1"/>
  <c r="M19" i="5" a="1"/>
  <c r="G38" i="5" a="1"/>
  <c r="K9" i="5" a="1"/>
  <c r="M17" i="5" a="1"/>
  <c r="E9" i="5" a="1"/>
  <c r="E38" i="5" a="1"/>
  <c r="M9" i="5" a="1"/>
  <c r="K39" i="5" a="1"/>
  <c r="M27" i="5" a="1"/>
  <c r="E39" i="5" a="1"/>
  <c r="E8" i="5" a="1"/>
  <c r="J40" i="5" l="1"/>
  <c r="L40" i="5"/>
  <c r="J20" i="5"/>
  <c r="L30" i="5"/>
  <c r="J30" i="5"/>
  <c r="L20" i="5"/>
  <c r="J10" i="5"/>
  <c r="L10" i="5"/>
  <c r="S16" i="9"/>
  <c r="E17" i="5"/>
  <c r="K17" i="5"/>
  <c r="M7" i="5"/>
  <c r="G17" i="5"/>
  <c r="M17" i="5"/>
  <c r="E19" i="5"/>
  <c r="G39" i="5"/>
  <c r="G7" i="5"/>
  <c r="K19" i="5"/>
  <c r="E9" i="5"/>
  <c r="K9" i="5"/>
  <c r="K38" i="5"/>
  <c r="G19" i="5"/>
  <c r="E38" i="5"/>
  <c r="G37" i="5"/>
  <c r="M37" i="5"/>
  <c r="M19" i="5"/>
  <c r="M18" i="5"/>
  <c r="G18" i="5"/>
  <c r="S30" i="9"/>
  <c r="K29" i="5"/>
  <c r="S11" i="9"/>
  <c r="AJ21" i="9"/>
  <c r="G38" i="5"/>
  <c r="G27" i="5"/>
  <c r="AJ27" i="9"/>
  <c r="AJ11" i="9"/>
  <c r="S35" i="9"/>
  <c r="S21" i="9"/>
  <c r="AJ30" i="9"/>
  <c r="AJ16" i="9"/>
  <c r="S6" i="9"/>
  <c r="AJ6" i="9"/>
  <c r="AJ24" i="9"/>
  <c r="M8" i="5"/>
  <c r="E29" i="5"/>
  <c r="M38" i="5"/>
  <c r="M29" i="5"/>
  <c r="G29" i="5"/>
  <c r="M27" i="5"/>
  <c r="G9" i="5"/>
  <c r="M9" i="5"/>
  <c r="G8" i="5"/>
  <c r="E7" i="5"/>
  <c r="E8" i="5"/>
  <c r="E18" i="5"/>
  <c r="K8" i="5"/>
  <c r="K18" i="5"/>
  <c r="K7" i="5"/>
  <c r="M28" i="5"/>
  <c r="E28" i="5"/>
  <c r="K39" i="5"/>
  <c r="E39" i="5"/>
  <c r="K28" i="5"/>
  <c r="M39" i="5"/>
  <c r="K27" i="5"/>
  <c r="E27" i="5"/>
  <c r="G28" i="5"/>
  <c r="E40" i="5" l="1"/>
  <c r="K40" i="5"/>
  <c r="E30" i="5"/>
  <c r="E20" i="5"/>
  <c r="G30" i="5"/>
  <c r="K30" i="5"/>
  <c r="M30" i="5"/>
  <c r="N37" i="5"/>
  <c r="M40" i="5"/>
  <c r="H37" i="5"/>
  <c r="G40" i="5"/>
  <c r="M20" i="5"/>
  <c r="G20" i="5"/>
  <c r="M10" i="5"/>
  <c r="K20" i="5"/>
  <c r="K10" i="5"/>
  <c r="E10" i="5"/>
  <c r="G10" i="5"/>
  <c r="N7" i="5"/>
  <c r="N17" i="5"/>
  <c r="H17" i="5"/>
  <c r="N19" i="5"/>
  <c r="H7" i="5"/>
  <c r="H19" i="5"/>
  <c r="H39" i="5"/>
  <c r="N9" i="5"/>
  <c r="H9" i="5"/>
  <c r="N38" i="5"/>
  <c r="H38" i="5"/>
  <c r="N18" i="5"/>
  <c r="H18" i="5"/>
  <c r="N29" i="5"/>
  <c r="H27" i="5"/>
  <c r="N8" i="5"/>
  <c r="N27" i="5"/>
  <c r="H29" i="5"/>
  <c r="H8" i="5"/>
  <c r="N28" i="5"/>
  <c r="H28" i="5"/>
  <c r="N39" i="5"/>
  <c r="H20" i="5" l="1"/>
  <c r="H30" i="5"/>
  <c r="H40" i="5"/>
  <c r="N40" i="5"/>
  <c r="N10" i="5"/>
  <c r="N30" i="5"/>
  <c r="N20" i="5"/>
  <c r="H10"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Luan Nguyen</author>
  </authors>
  <commentList>
    <comment ref="O1" authorId="0" shapeId="0" xr:uid="{CB05CF28-36EE-4843-997A-406F173F8BA1}">
      <text>
        <r>
          <rPr>
            <b/>
            <sz val="9"/>
            <color indexed="81"/>
            <rFont val="Tahoma"/>
            <family val="2"/>
          </rPr>
          <t>Luan Nguyen:</t>
        </r>
        <r>
          <rPr>
            <sz val="9"/>
            <color indexed="81"/>
            <rFont val="Tahoma"/>
            <family val="2"/>
          </rPr>
          <t xml:space="preserve">
Run solv report to obtain this data</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<sst xmlns="http://schemas.openxmlformats.org/spreadsheetml/2006/main" count="4811" uniqueCount="1074">
  <si>
    <t>Uniq ID</t>
  </si>
  <si>
    <t>Created At</t>
  </si>
  <si>
    <t>Date and Time of the Incident:</t>
  </si>
  <si>
    <t>Created By</t>
  </si>
  <si>
    <t>Record Location</t>
  </si>
  <si>
    <t>Incident Type:</t>
  </si>
  <si>
    <t>[HIDDEN Incident Classification]</t>
  </si>
  <si>
    <t>Incident Description:</t>
  </si>
  <si>
    <t>HS2057 SUNSHINE DC</t>
  </si>
  <si>
    <t>Safety Near Miss</t>
  </si>
  <si>
    <t>INC5290</t>
  </si>
  <si>
    <t>VINCENZO D'ALESSANDRO</t>
  </si>
  <si>
    <t>S811 Spotlight DC</t>
  </si>
  <si>
    <t>Team Member Injury</t>
  </si>
  <si>
    <t>Medical Treatment</t>
  </si>
  <si>
    <t>Team member was loading WA truck and suddenly the hydraulic hose burst and oil spread into eyes</t>
  </si>
  <si>
    <t>INC6426</t>
  </si>
  <si>
    <t>FABIO D'ALESSANDRO</t>
  </si>
  <si>
    <t>Customer / Contractor</t>
  </si>
  <si>
    <t>Crown Tugger hit rack leg and dented it. Could not brake as wheels locked. Rear wheels locked up on the floor plastic and crown tugger slide sideway.</t>
  </si>
  <si>
    <t>INC6670</t>
  </si>
  <si>
    <t xml:space="preserve">Tugger Driver Hit the forklift with a pallet </t>
  </si>
  <si>
    <t>INC6873</t>
  </si>
  <si>
    <t>Reversing to pick a Pallet and the machine got stuck at the other side Pallet.</t>
  </si>
  <si>
    <t>INC6906</t>
  </si>
  <si>
    <t>MARK BOYD</t>
  </si>
  <si>
    <t>S812  Harris Scarfe DC</t>
  </si>
  <si>
    <t>First Aid Treatment</t>
  </si>
  <si>
    <t xml:space="preserve">Team member was in warehouse 2 getting the black hand wrap to send to the store, and when the team member was opening the walkway safety gate with the hand wrap. the wrap started to slip from the team members left hand a then jammed the right-hand middle finger in the gate  </t>
  </si>
  <si>
    <t>INC6910</t>
  </si>
  <si>
    <t xml:space="preserve">Pallet was incorrectly stacked fell on to a wrapping worker . The pallet it was incorrectly made.  </t>
  </si>
  <si>
    <t>INC6967</t>
  </si>
  <si>
    <t>Forklift was unloading the freight and damaged the truck Curtain.</t>
  </si>
  <si>
    <t>INC7102</t>
  </si>
  <si>
    <t>BRADLEE FEILO-HASINI</t>
  </si>
  <si>
    <t>S810 Anaconda DC</t>
  </si>
  <si>
    <t>Potential LTI</t>
  </si>
  <si>
    <t>Abdul Raoof was team-lifting stock with Dawit into store A092. Dawit was lifting the bottom of the carton while Abdul grabbed the strap on the top as this box was awkward and heavy. The strap broke and Abdul whipped himself in the face, catching the left eye area. Abdul had a sore eye and an icepack was given. He was icing his eye and flushing it out for around 20 minutes before going on break. Earl and I (team leaders for allocation) have checked his eye and did not see anything out of the ordinary. He had informed us he was fine, although there was some general soreness/discomfort around the eye.</t>
  </si>
  <si>
    <t>INC7313</t>
  </si>
  <si>
    <t>A truck was reversing into the bay 8 ( super B Double) the driver couldn`t see the yellow markings through his rear view mirrors and he back into the pallets damaging the freight.</t>
  </si>
  <si>
    <t>INC7429</t>
  </si>
  <si>
    <t>DOMENICO MARTELLO</t>
  </si>
  <si>
    <t>Tri Nguyen (Reach Driver) working in afternoon shift was working in aisle 27 while lowering the mask after soring a pallet from a higher level the battery cable got caught between the mask and body of machine, causing electrical spark from the force of the cable getting cut. Reach was stopped, emergency button was activated to stop all power.</t>
  </si>
  <si>
    <t>INC7630</t>
  </si>
  <si>
    <t>RAJANKUMAR VINODKUMAR BHAVSAR</t>
  </si>
  <si>
    <t>I fall don on the ground on my knees; There was the plastic so my leg was pulled from the plastic and tripped.</t>
  </si>
  <si>
    <t>INC7651</t>
  </si>
  <si>
    <t>EVANS DZADEY</t>
  </si>
  <si>
    <t>Team member sprained his right wrist whilst attempting to stack boxes onto pallet.</t>
  </si>
  <si>
    <t>INC7792</t>
  </si>
  <si>
    <t>JOSEPH JEFFERY</t>
  </si>
  <si>
    <t>S813 HS Dark Store</t>
  </si>
  <si>
    <t>Sprain/Strain</t>
  </si>
  <si>
    <t>Manual handling</t>
  </si>
  <si>
    <t>Jyoti was picking dinner set 20kg from 3c-68-01 as per her she lifts the dinner set not in correct posture due to rushing to pick orders from that she felt irritation in her lower back .</t>
  </si>
  <si>
    <t>INC7804</t>
  </si>
  <si>
    <t>In Containers PA area while taking pallet for PA one of the FL driver push the pallet from back.</t>
  </si>
  <si>
    <t>INC7806</t>
  </si>
  <si>
    <t>I WASEVERSING THE LO MACHINE AND HIT THE SAFETY BARRIGATE</t>
  </si>
  <si>
    <t>INC7843</t>
  </si>
  <si>
    <t xml:space="preserve">While unloading cartons in the sorter system a stack of 3 pallets were uneven and i tried to straighten them up for the forklift driver and then pinched my skin on the right-side of the leg </t>
  </si>
  <si>
    <t>INC7869</t>
  </si>
  <si>
    <t>RAHUL NAIK AMGOTH</t>
  </si>
  <si>
    <t xml:space="preserve">Toilet cubical assistance bar dislocated from the wall mount and hit the head </t>
  </si>
  <si>
    <t>INC7898</t>
  </si>
  <si>
    <t>TUAN MAI</t>
  </si>
  <si>
    <t xml:space="preserve">Employee was transporting pallets from the yard to the workshop in reverse and hit a wall. </t>
  </si>
  <si>
    <t>INC8032</t>
  </si>
  <si>
    <t xml:space="preserve">Ozstaff employee car (Muddasir Hussain X-DOCK) was hit from behind on the right side of the car by Truck with rego: XV78IT While waiting for the stop sign at the main road as you come out of spotlight carpark lot. </t>
  </si>
  <si>
    <t>INC8071</t>
  </si>
  <si>
    <t>SREEKANTH SARIKONDA</t>
  </si>
  <si>
    <t xml:space="preserve">As the team member Jaymark was loading a B-double trailer, the curtains on the trailers  flapped and came into contact with the forklift pallets being loaded causing damage to the curtain rod rendering it unsafe to close the curtain for good transportation.. </t>
  </si>
  <si>
    <t>INC8074</t>
  </si>
  <si>
    <t>VEERAPPA KATHIRVELU</t>
  </si>
  <si>
    <t>Solomon was working with Moditha and when he was moving a palletjack infront of him, the picker Moditha was coming behind Solomon and he got hit with the pallet at the back of his ankle.</t>
  </si>
  <si>
    <t>INC8076</t>
  </si>
  <si>
    <t>A pallet from GNS wholesale came in and tipped over in the truck prior to arrival. The stock was then transferred to another pallet and was on the way to the pallet wrapper when a box came off and got ran over. That pallet had 132 small boxes when it fell over.</t>
  </si>
  <si>
    <t>INC9043</t>
  </si>
  <si>
    <t>Ahmed Mohammed attempted to lift a heavy carton whilst holding a scanner in his right hand.</t>
  </si>
  <si>
    <t>INC9053</t>
  </si>
  <si>
    <t>Pallet with stock was pushed in the lane and overlapped another pallet</t>
  </si>
  <si>
    <t>INC9067</t>
  </si>
  <si>
    <t>MICHELLE SLOVIK</t>
  </si>
  <si>
    <t>I was placing a pallet in the regional load zones and withdrawing back out of the pallet into the roadway/loading zone. I was 2 pallets spaces in, placing a pallet in the 3rd space in from the roadway. I had pallets to my left but no pallets to my right. As I withdrew from placing the pallet down I reversed back out towards the roadway as is required however once clear of the pallets to my left i saw a white ford ute moving at approximately 10km an hour towards me on the roadway. I braked immediately in order to avoid reversing into this vehicle, and instinctively drove forward away from the potential danger back into the placed pallets. At the same time the white ute also braked hard, i noticed its load shifted slightly. There were no receivals this day so this vehicle was not delivering  or visiting sunshine DC for any reason other than a mistake on the drivers part or taking a short cut.</t>
  </si>
  <si>
    <t>INC9073</t>
  </si>
  <si>
    <t xml:space="preserve">Truck was leaking Diesel </t>
  </si>
  <si>
    <t>INC9074</t>
  </si>
  <si>
    <t>Reversing B-Double Truck and hit one staging Pallet.</t>
  </si>
  <si>
    <t>INC9211</t>
  </si>
  <si>
    <t>Daniel (Forklift Driver) was preparing to unload a truck when suddenly smoke was coming out of the battery bay followed with sparks and a small fire which turn into smoke. Forklift was observed which had wires from the connector to the battery that they where loose and live.</t>
  </si>
  <si>
    <t>INC9401</t>
  </si>
  <si>
    <t>I was picking full pallet and having problem while picking so I go to the leading hand to describe him. there is some stock in front of the desk and by mistake my feet stuck on rack only pallet and twist little bit.</t>
  </si>
  <si>
    <t>INC9429</t>
  </si>
  <si>
    <t xml:space="preserve">A B- Double which was leaving the site after loading pallets obstructed the closing of the boom gate by stopping midway. The gate got stuck and stopped working for a while. </t>
  </si>
  <si>
    <t>INC9762</t>
  </si>
  <si>
    <t>Team member's left middle finger got stuck between the Euro bin and the carton he attempted to place at the bottom of the bin.</t>
  </si>
  <si>
    <t>INC9879</t>
  </si>
  <si>
    <t>Was picking up the Pallets in Victoria area and hit a pillar.</t>
  </si>
  <si>
    <t>EARL DAVID</t>
  </si>
  <si>
    <t>INC9908</t>
  </si>
  <si>
    <t xml:space="preserve">while pushing and dropping a wooden pallet dust or unknown particle went into Daniel Garcia right eye from cornerstone, he felt irritation in hi right eye and reported the incident, we gave him first aid by repeatedly washing his eye with eye wash, he felt better when the irritation stopped and he returned back to his normal duties. The incident was reported to Tom Williams and Sreekanth.  </t>
  </si>
  <si>
    <t>INC9950</t>
  </si>
  <si>
    <t xml:space="preserve">Box fall on head while restacking full pallet. </t>
  </si>
  <si>
    <t>INC10081</t>
  </si>
  <si>
    <t>Jaskaranjit from the container unloading team was coming back from break getting the paper work from the work station and walking across to the container dock to unloading. He was not aware that a forklift was reversing back. Contact was made on his foot which First Aid was attended. Ravi who was operating the forklift did not use the horn or check surrounding.</t>
  </si>
  <si>
    <t>INC10136</t>
  </si>
  <si>
    <t>The forklift operator reversing to put his machine on charge, accidently the forklift slipped fell down.</t>
  </si>
  <si>
    <t>INC10137</t>
  </si>
  <si>
    <t>The forklift operator was reversing his machine to charge, Did not brake on time causing the forklift to drop off the  small single step at the dock leveler near door 16</t>
  </si>
  <si>
    <t>INC10209</t>
  </si>
  <si>
    <t>AJAYPAL SINGH</t>
  </si>
  <si>
    <t>The team member was putting stock on a pallet when the boxes from the next pallet fell on him due to bad stacking.</t>
  </si>
  <si>
    <t>INC10249</t>
  </si>
  <si>
    <t>While reversing, reach driver Christopher Vaz reversed into the racking A24.64.</t>
  </si>
  <si>
    <t>INC10278</t>
  </si>
  <si>
    <t>Dennis was unloading a truck from its right hand side due to its load configuration. Andrew was organising pallets next to a container being unpacked. As Dennis was positioning with the long tyne forklift to lift the pallet he was somewhat stationary. Andrew was reversing slightly to the right to drive forwards with the pallets and position them for unpack. Dennis and Andrew sounded horn, Andrew to reverse, Dennis to alert. Andrew applied his brakes but due to the limited space the two forklifts  touched. There was no damage sustained. This area of operations is tight with vehicles including forklifts and trucks operating in close proximity.</t>
  </si>
  <si>
    <t>INC10285</t>
  </si>
  <si>
    <t>Forklift driver hit the pedestrian walkway gate at intersection of driveway and walkway.</t>
  </si>
  <si>
    <t>INC10357</t>
  </si>
  <si>
    <t>Nikunj Patel was trying to fix the pallet and the wooden chip went under his nail.</t>
  </si>
  <si>
    <t>INC10378</t>
  </si>
  <si>
    <t xml:space="preserve">FORKLIFT DRIVER WAS UNLOADING THE MHU OFF THE TRUCK AT DOOR 20. HE HAD 2 STACKS OF TIMBER PALLETS ON THE FRONT AND BEHIND THERE WAS A STILLAGE WHICH HE DIDN`T SEE IT AND WITH THE TYNES HE HIT THE STILLAGE AND THE STILLAGE SLIDE OFF TO THE OTHER SIDE OF THE TRUCK DAMAGING THE CURTAIN AND CAUSING A CUT. </t>
  </si>
  <si>
    <t>INC10407</t>
  </si>
  <si>
    <t>AJAYKUMAR HIRAPARA</t>
  </si>
  <si>
    <t>While getting empty pallet box from the pallet of stacked boxes picker didn't realise that empty wooden pallet and pallet jack was too close behind him. he picked the pallet box, turn around and tripped on pallet behind him.</t>
  </si>
  <si>
    <t>INC10423</t>
  </si>
  <si>
    <t>DRIVING FORKLIFT AND COLLIDED WITH ANOTHER FORKLIFT</t>
  </si>
  <si>
    <t>INC10429</t>
  </si>
  <si>
    <t>Ansh from the container team (forklift driver) was taking pallets from the unloading area to the put way bays and thought the drive way, there was a reach parked and didn't look both ways and hit the parked reach.</t>
  </si>
  <si>
    <t>INC10430</t>
  </si>
  <si>
    <t>A team member was working the 2nd decline around pallet site 2048. Another team member was using the walkie stacker to retrieve completed pallets. The 2048  pallet was fully packed and 1.8 metres tall creating a blind spot between it and the decline. A new team member with limited experience working the controls on the walkie stacker did not sound the horn before inserting the tynes and lifting the 2048 pallet. The pallet moved forward slightly as it was elevated. Subsequently the team member working the decline who was in the blind spot was touched by the pallet being retrieved.</t>
  </si>
  <si>
    <t>INC10582</t>
  </si>
  <si>
    <t>Leaving TOP Logistics reversing out of the gate, Michael Wedding was doing a 3-point turn to drive forwards out of the main driveway. While doing the last part of the 3- point turn i Accidently hit the yellow bollard that protect the main gate for the Harris Scarfe Sunshine DC.</t>
  </si>
  <si>
    <t>INC10639</t>
  </si>
  <si>
    <t>Worker was repairing broken board on pallet with hammer and nail. Worker was holding the nail and striking when they missed and impacted there index finger. Worker was wearing gloves.</t>
  </si>
  <si>
    <t>INC10642</t>
  </si>
  <si>
    <t>Worker was doing a team lift to move a broken pallet to the corresponding broken pallet stack. Worker had a splinter lodge in there finger whilst doing so. Worker was not wearing gloves.</t>
  </si>
  <si>
    <t>INC10671</t>
  </si>
  <si>
    <t xml:space="preserve">Team member injured her back (twisted) whilst attempting to lift a relatively heavy carton (approx. 10.2kg). </t>
  </si>
  <si>
    <t>INC10686</t>
  </si>
  <si>
    <t>Hazar truck had diesel leakage, spill kit is used to contain the diesel on the floor. Hazar removed the truck from the site as he could not fix the issue.</t>
  </si>
  <si>
    <t>INC10753</t>
  </si>
  <si>
    <t>several cartons fell on from a full pallet on her</t>
  </si>
  <si>
    <t>INC10991</t>
  </si>
  <si>
    <t>The driver Keith was reversing the B-double in the despatch yard then he hit the bollards.</t>
  </si>
  <si>
    <t>INC11052</t>
  </si>
  <si>
    <t>Ayush Parikh parked his tugger close to safety railing near despatch tugger charging area and went to his break by jumping over the safety rail barrier. After break, he was trying to climb back on the tugger by jumping from the walkway to the tugger over the railing barrier and he got hurt under his knees.</t>
  </si>
  <si>
    <t>INC11154</t>
  </si>
  <si>
    <t>Forklift driver Naresh was going to load the truck when he slightly struck Linga Reddy in the leg. Linga Reddy was giving paperwork to the driver when this happened. The fork driver did not see him when he was going to load the truck (he had a double tines forklift with 2 pallets front loading).Linga Reddy and the truck driver were not in the driver safe zone as  well.</t>
  </si>
  <si>
    <t>INC11165</t>
  </si>
  <si>
    <t>One of the morning shift staff rejected the load of United Living as the pallet quantity didn't match with our paper work, he advised the driver drive around and wait at the back so that he can contact his company and sort things out, as there were other trucks waiting to be unloaded. As i walked in at 2:30pm unaware of the situation and the driver comes in and starts swearing and cursing the morning shift in a very loud voice, he had an argument with Mohammad as well and was not willing to listen what we have to say. He said he was upset because he had been waiting for a long time to unload and then you reject me then send me around, had to wait again and later you are ready to accept the load (instructed by Jill to accept the load).Few minutes later, I got a call from Manish (dispatch) saying, when the driver was coming around, he had an argument with another driver(GEBS) on   door 19. So, there was a B-double already reversing in door-19 and this driver tried to cut in and nearly hit the B-double and they had an argument. So, I spoke to Jill and informed about both the incidents and Jill advised me to reject the load, when we informed the driver he said this wrong brother, you guys are doing wrong with me, but we explained to him the matter and the procedure and then sat back in his truck, he was on the phone for about 10mins and later left the premises.</t>
  </si>
  <si>
    <t>INC11261</t>
  </si>
  <si>
    <t>SHAYINA SHARMA</t>
  </si>
  <si>
    <t>reach operator was driving past the distro area, another forklift operator pushed a line of euro bins towards the reach that was driving past and narrowly missed the reach driver. forklift operator didn't have line of sight</t>
  </si>
  <si>
    <t>INC11262</t>
  </si>
  <si>
    <t xml:space="preserve">Reach truck driver was placing on top level (level 7) a pallet full of goods (ceramic ware) weighing up to 450kg. As he removed the tines from the pallet- after placing the pallet on the rack, a nearby reach driver noticed that along with the tines the goods had moved off the placed pallet onto the tines. The reach driver then tried to push the goods back to position, in doing so the goods dropped down to ground. </t>
  </si>
  <si>
    <t>INC11266</t>
  </si>
  <si>
    <t>Team member was standing next to conveyor when forklift driver went to place a euro bin adjacent to the conveyor so articles can be loaded onto conveyor. While doing this he hit the conveyor with the euro bin causing the first section of the conveyor to move out of place, followed by the second section to topple over. Team member in the vicinity tried to move away quickly and in doing so she sprained her left thigh. Although team member is much better, she took today off to have an X-ray for investigative purposes.</t>
  </si>
  <si>
    <t>INC11275</t>
  </si>
  <si>
    <t>When Noah was moving Pallets to the receiving area ( reversing backward ) he collided with a stationary High reach ( Shaun ) who was waiting to line up is double stack pallets in the allocation feeding area. unfortunately Noah did not see or ear Shaun shout out and  he collided  at the right corner of the high reach MHE .</t>
  </si>
  <si>
    <t>INC11354</t>
  </si>
  <si>
    <t>While moving kayaks from stillage to stillage, the kayak slipped out of Jeffery's hand which grazed his right shin.</t>
  </si>
  <si>
    <t>INC11545</t>
  </si>
  <si>
    <t>John the forklift driver was grabbing pallets (14 pallets) from a truck and continually going up and down through the warehouse to place the pallets in their correct spots. on the 3rd or 4th trip John was going back towards the truck as a team member (Sowjanya) started to walk across hiss path towards one of the bins.  John was continually beeping his horn as he was heading back to the truck. Around 10-11m away from the team member John had increased the amount of beeping of the horn as he noticed he would come into contact with this team member because they weren't paying attention. The team member had continued to walk across the path and around 6m away John had switched to holding the horn and had to come to a full stop closing in to 3m away from the team member.  I (Joseph) had a brief conversation with this team member about why they had continued to walk across the pathway. "I thought this was a truck horn and I did notice John but he was aware of where I was" was the comment I got back. Sowji had just recently come back from A/L and I had a catch up with her about safety the day before this happened and in this safety talk we went over the safety around forklifts and traffic management.</t>
  </si>
  <si>
    <t>INC11566</t>
  </si>
  <si>
    <t xml:space="preserve">The first shuttle truck was being loaded by mark, while they were putting the pallets in the wind picked up and moved the curtain which then was touched by the forklift operator. There is a slight bend in the pole Rana (truck driver) is aware of the issue. I then rang harry to inform him of the issue and asked what the safe work practice is he replied the curtains are to be secured to the truck by the driver before loading is to start". I informed him that this was not   done and resulted in minor damage to the pole   Driver name: Rana Rego: XN802Y  Forklift operator: Mark Boyd </t>
  </si>
  <si>
    <t>INC12025</t>
  </si>
  <si>
    <t>A gust of wind blew dust and grit from the warehouse floor, resulting in team member getting some grit in their eye.</t>
  </si>
  <si>
    <t>INC12028</t>
  </si>
  <si>
    <t>Truck driver from Butler Freight Service was reversing out of Top logistics Australia (TLA) warehouse and hit bollard protecting  Harris Scarfe receivals gate.</t>
  </si>
  <si>
    <t>What body part was affected?</t>
  </si>
  <si>
    <t>Start</t>
  </si>
  <si>
    <t>End</t>
  </si>
  <si>
    <t>Week</t>
  </si>
  <si>
    <t>Month</t>
  </si>
  <si>
    <t>QTR</t>
  </si>
  <si>
    <t>FY</t>
  </si>
  <si>
    <t>Month Year Comb</t>
  </si>
  <si>
    <t>Week Month Year Comb</t>
  </si>
  <si>
    <t>Month Year Comb2</t>
  </si>
  <si>
    <t>Qtr Year Comb22</t>
  </si>
  <si>
    <t>Week 1</t>
  </si>
  <si>
    <t>JUL</t>
  </si>
  <si>
    <t>FY19</t>
  </si>
  <si>
    <t>Week 2</t>
  </si>
  <si>
    <t>Week 3</t>
  </si>
  <si>
    <t>Week 4</t>
  </si>
  <si>
    <t>Week 5</t>
  </si>
  <si>
    <t>AUG</t>
  </si>
  <si>
    <t>Week 6</t>
  </si>
  <si>
    <t>Week 7</t>
  </si>
  <si>
    <t>Week 8</t>
  </si>
  <si>
    <t>Week 9</t>
  </si>
  <si>
    <t>Week 10</t>
  </si>
  <si>
    <t>SEP</t>
  </si>
  <si>
    <t>Week 11</t>
  </si>
  <si>
    <t>Week 12</t>
  </si>
  <si>
    <t>Week 13</t>
  </si>
  <si>
    <t>Week 14</t>
  </si>
  <si>
    <t>OCT</t>
  </si>
  <si>
    <t>Week 15</t>
  </si>
  <si>
    <t>Week 16</t>
  </si>
  <si>
    <t>Week 17</t>
  </si>
  <si>
    <t>Week 18</t>
  </si>
  <si>
    <t>NOV</t>
  </si>
  <si>
    <t>Week 19</t>
  </si>
  <si>
    <t>Week 20</t>
  </si>
  <si>
    <t>Week 21</t>
  </si>
  <si>
    <t>Week 22</t>
  </si>
  <si>
    <t>Week 23</t>
  </si>
  <si>
    <t>DEC</t>
  </si>
  <si>
    <t>Week 24</t>
  </si>
  <si>
    <t>Week 25</t>
  </si>
  <si>
    <t>Week 26</t>
  </si>
  <si>
    <t>Week 27</t>
  </si>
  <si>
    <t>JAN</t>
  </si>
  <si>
    <t>Week 28</t>
  </si>
  <si>
    <t>Week 29</t>
  </si>
  <si>
    <t>Week 30</t>
  </si>
  <si>
    <t>Week 31</t>
  </si>
  <si>
    <t>FEB</t>
  </si>
  <si>
    <t>Week 32</t>
  </si>
  <si>
    <t>Week 33</t>
  </si>
  <si>
    <t>Week 34</t>
  </si>
  <si>
    <t>Week 35</t>
  </si>
  <si>
    <t>Week 36</t>
  </si>
  <si>
    <t>MAR</t>
  </si>
  <si>
    <t>Week 37</t>
  </si>
  <si>
    <t>Week 38</t>
  </si>
  <si>
    <t>Week 39</t>
  </si>
  <si>
    <t>Week 40</t>
  </si>
  <si>
    <t>APR</t>
  </si>
  <si>
    <t>Week 41</t>
  </si>
  <si>
    <t>Week 42</t>
  </si>
  <si>
    <t>Week 43</t>
  </si>
  <si>
    <t>Week 44</t>
  </si>
  <si>
    <t>MAY</t>
  </si>
  <si>
    <t>Week 45</t>
  </si>
  <si>
    <t>Week 46</t>
  </si>
  <si>
    <t>Week 47</t>
  </si>
  <si>
    <t>Week 48</t>
  </si>
  <si>
    <t>Week 49</t>
  </si>
  <si>
    <t>JUN</t>
  </si>
  <si>
    <t>Week 50</t>
  </si>
  <si>
    <t>Week 51</t>
  </si>
  <si>
    <t>Week 52</t>
  </si>
  <si>
    <t>Week 53</t>
  </si>
  <si>
    <t>FY20</t>
  </si>
  <si>
    <t>FY21</t>
  </si>
  <si>
    <t>FY22</t>
  </si>
  <si>
    <t>FY23</t>
  </si>
  <si>
    <t>FY24</t>
  </si>
  <si>
    <t>FY25</t>
  </si>
  <si>
    <t>FY26</t>
  </si>
  <si>
    <t>Fiscal Month</t>
  </si>
  <si>
    <t>Company</t>
  </si>
  <si>
    <t>Agency of Injury</t>
  </si>
  <si>
    <t>Human agencies</t>
  </si>
  <si>
    <t>Fiscal Quarter</t>
  </si>
  <si>
    <t>Incident Types</t>
  </si>
  <si>
    <t>Mechanism of Injury</t>
  </si>
  <si>
    <t>Nature of Injury</t>
  </si>
  <si>
    <t>Body Parts</t>
  </si>
  <si>
    <t>Spotlight DC</t>
  </si>
  <si>
    <t>Anaconda DC</t>
  </si>
  <si>
    <t>Harris Scarfe DC</t>
  </si>
  <si>
    <t>All Incident Types</t>
  </si>
  <si>
    <t>YTD Incident Types</t>
  </si>
  <si>
    <t>YTD Team Member Injury</t>
  </si>
  <si>
    <t>YTD Safety Near Miss</t>
  </si>
  <si>
    <t>YTD Customer / Contractor</t>
  </si>
  <si>
    <t>Row Labels</t>
  </si>
  <si>
    <t>Grand Total</t>
  </si>
  <si>
    <t>Column Labels</t>
  </si>
  <si>
    <t>Count of Mechanism of Injury</t>
  </si>
  <si>
    <t>Count of Nature of Injury</t>
  </si>
  <si>
    <t>Count of Body Parts</t>
  </si>
  <si>
    <t>Count of Agency of Injury</t>
  </si>
  <si>
    <t>Team Member of Injury Only</t>
  </si>
  <si>
    <t>YTD</t>
  </si>
  <si>
    <t>VAR</t>
  </si>
  <si>
    <t>IT FEED</t>
  </si>
  <si>
    <t>Spotlight DC Incident Types - Month</t>
  </si>
  <si>
    <t>Spotlight DC Incident Types - Quarter</t>
  </si>
  <si>
    <t>Anaconda DC Incident Types - Month</t>
  </si>
  <si>
    <t>Anaconda DC Incident Types - Quarter</t>
  </si>
  <si>
    <t>Harris Scarfe DC Incident Types - Month</t>
  </si>
  <si>
    <t>Harris Scarfe DC Incident Types - Quarter</t>
  </si>
  <si>
    <t>Combined DC Incident Types</t>
  </si>
  <si>
    <t>Combined DC Incident Types - Month</t>
  </si>
  <si>
    <t>Combined DC Incident Types - Quarter</t>
  </si>
  <si>
    <r>
      <rPr>
        <sz val="10"/>
        <color rgb="FFFF0000"/>
        <rFont val="Aptos Narrow"/>
        <family val="2"/>
        <scheme val="minor"/>
      </rPr>
      <t>*</t>
    </r>
    <r>
      <rPr>
        <sz val="10"/>
        <color theme="1"/>
        <rFont val="Aptos Narrow"/>
        <family val="2"/>
        <scheme val="minor"/>
      </rPr>
      <t>Var denotes the Variance in YTD Columns</t>
    </r>
  </si>
  <si>
    <t>Date and Time of Hazard</t>
  </si>
  <si>
    <t>Hazard Type</t>
  </si>
  <si>
    <t>Indicator Set: Corrective Actions</t>
  </si>
  <si>
    <t>Hazard Description</t>
  </si>
  <si>
    <t>HAZ6522</t>
  </si>
  <si>
    <t>System</t>
  </si>
  <si>
    <t>Yes</t>
  </si>
  <si>
    <t>MHU /stacks of plastic Pallets and stillages staged incorrectly and making the driveway narrow for the Trucks transit .</t>
  </si>
  <si>
    <t>HAZ6866</t>
  </si>
  <si>
    <t>Physical</t>
  </si>
  <si>
    <t>No</t>
  </si>
  <si>
    <t>Broken pallet boards placed in the bins sticking out, which have potential to cause injury to staff members if bending down close to the bin.</t>
  </si>
  <si>
    <t>HAZ9181</t>
  </si>
  <si>
    <t>Damaged floors</t>
  </si>
  <si>
    <t>HAZ9272</t>
  </si>
  <si>
    <t>Damaged roof due to strong wind</t>
  </si>
  <si>
    <t>HAZ9529</t>
  </si>
  <si>
    <t>FC783 tyne were replaced but the new ones are short! Tynes reach only halfway of the pallet. (Full Load) Daniel (Forklift Driver) didnâ€™t have any issues with the old tynes. When Daniel is bring 2 pallets (Full Load) last pallet itâ€™s not stable.</t>
  </si>
  <si>
    <t>HAZ9714</t>
  </si>
  <si>
    <t>Fire extinguisher wall bracket is broken</t>
  </si>
  <si>
    <t>HAZ10067</t>
  </si>
  <si>
    <t>MEZ DECK IS GETTING LIFT WHILE UNLOADING THE STOCK WHICH IS CLOSE TO THE STOCK/UNABLE TO UNLOAD.</t>
  </si>
  <si>
    <t>HAZ10092</t>
  </si>
  <si>
    <t>Forklift machine and charger obstructing pathway</t>
  </si>
  <si>
    <t>HAZ10117</t>
  </si>
  <si>
    <t>Container Dock needs proper safety barriers or bollards in place. ( Safety Zone ) Area has been Monitored but can do with some adjustments.</t>
  </si>
  <si>
    <t>HAZ10201</t>
  </si>
  <si>
    <t>Forklift SCP1630 has had 4 occasion, blue connector cable starts to melt and cant be used. (Battery issue or over heating)!!</t>
  </si>
  <si>
    <t>HAZ10212</t>
  </si>
  <si>
    <t>Container CMAU2638719 came with no netting to protect the load from moving and especially the load moving towards the door on opening.</t>
  </si>
  <si>
    <t>HAZ10508</t>
  </si>
  <si>
    <t>IN the morning NIkunj was pickingh high reach pick from loacation A2414610, he was almost able to lift th epallet with reach and alloff sudden PHILIP from Allocation came near to him which is very close (6cm) and asking for hand wrap pallet. He told Philip why he come that close and started an argument that i need to stop him comming near to me. I was almost got scared that i might drop the pallet on him from that height..</t>
  </si>
  <si>
    <t>HAZ10685</t>
  </si>
  <si>
    <t>Water leak on the power point when raining.</t>
  </si>
  <si>
    <t>HAZ10754</t>
  </si>
  <si>
    <t>Railing is falling apart and is not in a suitable condition.</t>
  </si>
  <si>
    <t>HAZ10755</t>
  </si>
  <si>
    <t>High-reach driver seat not secure which damaged the cable behind it (cable was possibly pulled due to the loose chair).</t>
  </si>
  <si>
    <t>HAZ11138</t>
  </si>
  <si>
    <t>SRG and plastic pallets are stored outside door 5 near to the building</t>
  </si>
  <si>
    <t>HAZ11192</t>
  </si>
  <si>
    <t>Leakage from the roof when it rains heavily,</t>
  </si>
  <si>
    <t>HAZ11486</t>
  </si>
  <si>
    <t>Gas forklift IC 8832 currently does not have a mast backrest, originally this unit had a slip sheet attachment fitted on it for containers unloading. This is now a safety concern with the below hazards. Potential hazards are no support for stock falling off pallets while travelling, risk of stock hitting operator, risk of mechanicals in forklift mast being damaged</t>
  </si>
  <si>
    <t>HAZ11487</t>
  </si>
  <si>
    <t>Forklift IC7241 currently does not have a front or back blue safety light.     STKWT075 pallet mover currently does not have a front blue safety light</t>
  </si>
  <si>
    <t>HAZ11489</t>
  </si>
  <si>
    <t>Electric reach forklift ERS1196 currently does not have a camera fitted to safely operate the machine when picking from level 4. the operator has to put strain on his neck to see the rack location to safely put the pallet away</t>
  </si>
  <si>
    <t>HAZ11636</t>
  </si>
  <si>
    <t>Wooden and plastic pallets are stored near the building</t>
  </si>
  <si>
    <t>HAZ11639</t>
  </si>
  <si>
    <t>convex/concave mirrors</t>
  </si>
  <si>
    <t>HAZ12059</t>
  </si>
  <si>
    <t>Water leak on the power point where counterbalance FC1226S is connected, when it's raining</t>
  </si>
  <si>
    <t>Hazard</t>
  </si>
  <si>
    <t>YTD Hazard</t>
  </si>
  <si>
    <t>HAZARD FEED</t>
  </si>
  <si>
    <t>Hazard - Month</t>
  </si>
  <si>
    <t>Hazard - Quarter</t>
  </si>
  <si>
    <t>Hazard by Brand</t>
  </si>
  <si>
    <t>Account</t>
  </si>
  <si>
    <t>S910 Supply Chain</t>
  </si>
  <si>
    <t>INC5071</t>
  </si>
  <si>
    <t>INC5079</t>
  </si>
  <si>
    <t>INC5124</t>
  </si>
  <si>
    <t>INC5206</t>
  </si>
  <si>
    <t>INC5277</t>
  </si>
  <si>
    <t>INC5278</t>
  </si>
  <si>
    <t>INC5329</t>
  </si>
  <si>
    <t>INC5566</t>
  </si>
  <si>
    <t>INC5674</t>
  </si>
  <si>
    <t>INC5698</t>
  </si>
  <si>
    <t>INC5721</t>
  </si>
  <si>
    <t>INC5722</t>
  </si>
  <si>
    <t>INC5723</t>
  </si>
  <si>
    <t>INC5736</t>
  </si>
  <si>
    <t>INC5896</t>
  </si>
  <si>
    <t>INC6204</t>
  </si>
  <si>
    <t>INC6277</t>
  </si>
  <si>
    <t>INC6282</t>
  </si>
  <si>
    <t>INC6299</t>
  </si>
  <si>
    <t>INC6323</t>
  </si>
  <si>
    <t>INC6346</t>
  </si>
  <si>
    <t>INC6411</t>
  </si>
  <si>
    <t>INC6422</t>
  </si>
  <si>
    <t>INC6505</t>
  </si>
  <si>
    <t>INC6546</t>
  </si>
  <si>
    <t>INC6704</t>
  </si>
  <si>
    <t>INC6789</t>
  </si>
  <si>
    <t>INC7184</t>
  </si>
  <si>
    <t>INC7209</t>
  </si>
  <si>
    <t>INC9075</t>
  </si>
  <si>
    <t>INC9148</t>
  </si>
  <si>
    <t>INC9998</t>
  </si>
  <si>
    <t>INC10093</t>
  </si>
  <si>
    <t>INC10562</t>
  </si>
  <si>
    <t>INC10765</t>
  </si>
  <si>
    <t>INC10796</t>
  </si>
  <si>
    <t>INC10806</t>
  </si>
  <si>
    <t>INC11139</t>
  </si>
  <si>
    <t>INC11188</t>
  </si>
  <si>
    <t>INC11552</t>
  </si>
  <si>
    <t>INC11590</t>
  </si>
  <si>
    <t>INC11762</t>
  </si>
  <si>
    <t>INC11764</t>
  </si>
  <si>
    <t>INC11772</t>
  </si>
  <si>
    <t>INC11869</t>
  </si>
  <si>
    <t>INC11943</t>
  </si>
  <si>
    <t>INC12000</t>
  </si>
  <si>
    <t>INC12027</t>
  </si>
  <si>
    <t>INC12044</t>
  </si>
  <si>
    <t>INC12140</t>
  </si>
  <si>
    <t>INC12228</t>
  </si>
  <si>
    <t>INC12347</t>
  </si>
  <si>
    <t>INC12386</t>
  </si>
  <si>
    <t>INC12390</t>
  </si>
  <si>
    <t>INC12394</t>
  </si>
  <si>
    <t>INC12398</t>
  </si>
  <si>
    <t>INC12407</t>
  </si>
  <si>
    <t>Accountable Manager</t>
  </si>
  <si>
    <t>DARYL MEGNA</t>
  </si>
  <si>
    <t>VELIKA STALEVSKA</t>
  </si>
  <si>
    <t>THOMAS WILLIAMS</t>
  </si>
  <si>
    <t>STEVEN HARRISON</t>
  </si>
  <si>
    <t>CINDY LOPES</t>
  </si>
  <si>
    <t>ANTONIO LAI PATRICIO COELHO</t>
  </si>
  <si>
    <t>MICHAEL MARKOVICAN</t>
  </si>
  <si>
    <t>Mohamed had a disagreement with the lady in despatch, she was rude to him</t>
  </si>
  <si>
    <t>While reversing the forklift Danish hit the safety pole near door 1.</t>
  </si>
  <si>
    <t>Team member's leg was caught on a pallet left on the floor whilst attempting to lift a pallet with another team member.</t>
  </si>
  <si>
    <t>Supervisor Fabio from Despatch noticed Jimmy Zainat a contractor from OZ staff driving and falling asleep on an LO machine, I've asked Jimmy to step out of the machine and contacted his Agency immediately, Jimmy was advised to go home by his Agency.</t>
  </si>
  <si>
    <t>Driver was using the phone in the Linehaul Transit lane</t>
  </si>
  <si>
    <t xml:space="preserve">Two forklifts collided with each other  </t>
  </si>
  <si>
    <t>Mark was coming out of aisle 23 after picking and he hit the pole at the end of aisle 23 by mistake.</t>
  </si>
  <si>
    <t>He was restacking couple of pallets which had heavy boxes and after he felt some pain at the back.</t>
  </si>
  <si>
    <t>Team member Gagandeep Kaur was wrapping a stack of empty plastic pallets when the top pallet came loose and fell on her hitting her face and shoulder, she fell to the ground hitting her ribs on a metal stillage</t>
  </si>
  <si>
    <t>A fight between Michael Mitchell and Mohammed Hamad</t>
  </si>
  <si>
    <t>Team member was trying to lift stock from the pallet when he felt pain in his ribs.</t>
  </si>
  <si>
    <t>Trying to open a box and got cut on my  middle finger.</t>
  </si>
  <si>
    <t>When I lift top box and box very heavy I got injury my back.</t>
  </si>
  <si>
    <t>I was using pallet jack to move the bins and then it suddenly jerked due the plastic pieces getting stuck under the tyres. This caused a sharp pain in my right shoulder/upper right back.</t>
  </si>
  <si>
    <t>The team member was moving full pallets into wrapping area when his left  foot got  caught between the pallets and the electric pallet jack.</t>
  </si>
  <si>
    <t xml:space="preserve">Kiran was loading broken SRG timber pallets into the Harry's truck, as he was loading one of the stack fell on the forklift. </t>
  </si>
  <si>
    <t xml:space="preserve">Team member was loading in dispatch. A truck (land transport) from receiving's that had been unloaded was not looking at where he was going.  The driver was looking at something inside his truck on the bottom left-hand side. The truck driver then proceeded to go through the safety chain and destroying it with some bollards as well. We believe he did not stop at the stop sign or red line on the ground.  The HS team member was hitting his horn frantically on the forklift to get the drivers attention to stop, but he did not even look up to see why a forklift driver was sounding his horn and went through the area still not looking where he was going.  Driver's name: Ali Registration Plate: RXJ 761 Transport company: Land transport.  </t>
  </si>
  <si>
    <t>Rolls of fabric on oversized pallet got caught on truck frame</t>
  </si>
  <si>
    <t xml:space="preserve">Staff member went to restart the sortation system. The safety switch in the middle of the belt had to be reset, while team member was resetting the safety his finger slipped and cut his index finger on the left hand. Team member was given a band aid from the Manager. No first aid required. </t>
  </si>
  <si>
    <t xml:space="preserve">while unloading the container in bay 3 outside the team member was carrying a carton to the pallets and scraped the top of his knuckles on the right hand on the outside wall to another warehouse. </t>
  </si>
  <si>
    <t>a b-double was loaded in dispatch  with vic pallets, rego ZJH957 - GEBS transport. as driver was exiting the premises, through the exit gate, the back of the truck hit the gate. driver did not stop, as he may not have realized he hit the gate, but the team leader on site saw the incident occur and advised the manager. GEBS transport was contacted and informed of the incident. the gate is now bent and will be hard to close, so repair required here.</t>
  </si>
  <si>
    <t>Team member's finger was accidently cut by another team member when she attempted to assist in removing the plastic covering of a pallet containing stock.</t>
  </si>
  <si>
    <t xml:space="preserve">While pulling out pallets in the staging area to straighten up the loscam pallets for dispatching back to loscam, a plain pallet to segregate between the two warehouses (fire safety) was jammed in the bottom of the loscam pallet. the team member was trying to pull out the plain pallet manually the stack of loscams wobbled and fell over on top of the team member.  </t>
  </si>
  <si>
    <t>I was opening the door 4 it got stuck. I thought it is open fully and got hit.</t>
  </si>
  <si>
    <t xml:space="preserve">Earlier a jack hit my left ankle but did not feel till around 8AM helping Ali; left ankle felt very sore and hurt to put pressure on it. </t>
  </si>
  <si>
    <t xml:space="preserve">Jovarn was operating the high reach while diving back to reviving, near aisle 25 when the machine suddenly stop causing him to fall out of his seat and falling to the ground and injuring his ribs. </t>
  </si>
  <si>
    <t xml:space="preserve">While driving reach forklift in isle E the team member was looking at a piece of paper for the next task, as he looked up at the direction of travel, they realised that they were on path to hit an empty stack of pallets at that stage it was too late to avoid and then collided with the pallets which then pushed them into the rack guard. Team member moved all the empty pallets from the area. Team member then reported to their supervisor. </t>
  </si>
  <si>
    <t>Driver stopped at the stop zone area in front of the safety chain, then heard forklift horns assuming he had to move forward a bit more, the driver accidently moved a bit to far forward and front wheels ran over the safety chain. driver then stopped and released he went to far forward, then manager was advised</t>
  </si>
  <si>
    <t>a pony express driver used our site as a thoroughfare and didnâ€™t follow the traffic rules and went straight though a stop zone over a pedestrian walkway and out to the front gate exceeding the required site speed putting our team at risk.</t>
  </si>
  <si>
    <t>SUE-ANNE KROPIK</t>
  </si>
  <si>
    <t>GEMMA DRAKOPOULOS</t>
  </si>
  <si>
    <t>DAMIAN KAVANAGH</t>
  </si>
  <si>
    <t>The truck driver from ATG was reversing into the dock, but there was a bollard in his blind spot. He hit the bollard-low impact. The bollard is intact however the concrete ground is slightly cracked.</t>
  </si>
  <si>
    <t>Truck driver was reversing into dock. While he was reversing, he hit a pallet with the truck. Truck driver advised that due to the size of the truck (Supa BDOUBLE), the blind spots prevent him from reversing safety.</t>
  </si>
  <si>
    <t>Staff member was unpacking a container and whilst reaching to grab a cartons from over shoulder height, the box was wedged in tightly next to other boxes it finally came loose and hit the staff member in the side of his forehead</t>
  </si>
  <si>
    <t>Near miss hitting a team member reversing out of Door 19</t>
  </si>
  <si>
    <t>The Concept logistics driver was reversing into dock 8 with a SUPER BDOUBLE. While he was reversing, he clipped a pallet without realising as the sunlight was directly hitting his mirror and eyes causing an obstruction in his mirrors at that time of morning.</t>
  </si>
  <si>
    <t xml:space="preserve">Team member was trying to grab a fabric roll on a pallet . She stepped on to the pallet to reach for the roll,she accidentally placed her foot between the pallets slats and injured her right ankle.  </t>
  </si>
  <si>
    <t>Ran over his right food when he was reversing the pallet jack machine</t>
  </si>
  <si>
    <t xml:space="preserve">Hit the barricade in wrapping with the tugger while trying to give someone there water bottle </t>
  </si>
  <si>
    <t xml:space="preserve">Team member was reversing a long tines forklift with 2 stacks of  euro bins ( 8 bins per stack) to  take them to a designated location for use. Whilst reversing and turning, the stack closest to the mast had lost the top 4 euro bins as the 4rth euro bin in the stack was unstable due to one of the feet being damaged, causing the top 4 bins to fall to the ground against rack A12 and A13. No one was injured or any of the racking impacted. </t>
  </si>
  <si>
    <t>NEERAJ NEERAJ</t>
  </si>
  <si>
    <t xml:space="preserve">Two team member driving the tugger. and team member A stop the tugger suddenly. and member B hit the other tugger slightly. because of less gap between the both tuggers while driving. </t>
  </si>
  <si>
    <t xml:space="preserve">when Munya was picking the pallets with Double tine forklift from the overflow, he wanted to reverse his forklift in the overflow area itself but since the machine is too long to maneuver he hit the wrapping machine which is staged next to the overflow. It was purely the operator's mistake. </t>
  </si>
  <si>
    <t>ANASTASIA KOFTEROS</t>
  </si>
  <si>
    <t>A team member attempted to move a Euro bin full of stock with an electric pallet jack. The bin fell near where another team member was working.</t>
  </si>
  <si>
    <t xml:space="preserve">Truck driver was going to exit the warehouse, instead he drove through the car park, he left through the entry gate and instead of going around the roundabout to come back inside the warehouse, he drove the wrong way on the service road </t>
  </si>
  <si>
    <t>Driver was exiting the warehouse to go back around inside, but instead of going around the roundabout, he unsafely drove the wrong way through the service lane to enter</t>
  </si>
  <si>
    <t xml:space="preserve">Staff member was cutting the plastic of the pallet which was on the pallet lifter, and cut his left pointer finger slightly. team member then wrapped it up with tissues and advised a supervisor. they had 1st aid treatment, which was washing the wound and sanitizing and band aid applied </t>
  </si>
  <si>
    <t>Phong was driving the tugger to turn left at the walkway, when he was turning, he tried to avoid the stillages that were placed on the driveway, and lost control and smashed into the racking, from the impact of the crash, hes upper back was impacted. worker advised of no injury however was pale and was taken to the tea room for observation, and was provided a glass of water, the worker went home after this.</t>
  </si>
  <si>
    <t>Machine wrap dropped suddenly on Melissas hand / wrist / cartridge</t>
  </si>
  <si>
    <t>Team member injured his lower back whilst attempting to stack a carton into a Euro bin.</t>
  </si>
  <si>
    <t>A truck driver ran into the boom gate and broke the right arm.</t>
  </si>
  <si>
    <t>The truck driver was trying to get closer to the call button but went to fast and his side mirror hit the intercom camera</t>
  </si>
  <si>
    <t>When we open the container the empty pallets fell out and nearly hit Emelito.</t>
  </si>
  <si>
    <t>A gust of wind blew dust and grit from the warehouse floor, resulting in team member getting something in their eye.</t>
  </si>
  <si>
    <t>Concept driver was backing into door 8, then while he was driving forward a container driver from Silk drove in front of him.</t>
  </si>
  <si>
    <t>SURYANARAYANA NYALAKANTI</t>
  </si>
  <si>
    <t xml:space="preserve">as per the 3PL QLD TI'S   feedback below.  â€¢ The driver failed to stop at our stop sign prior to exiting the premises. â€¢ Upon return, we asked if he had done a site induction, which he hadnâ€™t - so we got that sorted and discussed slowing down in the yard and that we witnessed the first event  â€¢ After completing his induction, he exited the site again and failed to stop at the same stop sign a second time. </t>
  </si>
  <si>
    <t xml:space="preserve">Team member was placing a pallet in bay 1C - 32 - 01. the team member was coming into the bay from the left-hand side and accidently hit the blue main beam on the right-hand side </t>
  </si>
  <si>
    <t>Ross moving euro bins from despatch to X-dock staging area, one of the stack fell down near Victoria pallets staging area.</t>
  </si>
  <si>
    <t>When Charles was pulling a pallet for picking, he heard a sound from his left hip and he started feeling a bad pain.</t>
  </si>
  <si>
    <t>Forklift driver attempted to unload empty stillages from truck. Stillages got caught in a strap and fell, scratching driver's side of truck.</t>
  </si>
  <si>
    <t>Full Name</t>
  </si>
  <si>
    <t>SALLY TAVERNIER</t>
  </si>
  <si>
    <t>BOBBY SRI HARSHA SAJJA</t>
  </si>
  <si>
    <t>JOSEPH YOON KOOI HEW</t>
  </si>
  <si>
    <t>VENKATA SAI SUDHEER CHILLIMUNTHA</t>
  </si>
  <si>
    <t>DHINESH KUMAR SABHAPATHI</t>
  </si>
  <si>
    <t>JOHNSON TRAN</t>
  </si>
  <si>
    <t>BREA ROLLINSON</t>
  </si>
  <si>
    <t>ADAM LUU</t>
  </si>
  <si>
    <t>WEIHAN ZENG</t>
  </si>
  <si>
    <t>LYNETTE JENKINS</t>
  </si>
  <si>
    <t>HOLLIE WALGERS</t>
  </si>
  <si>
    <t>CHIYAO DONG</t>
  </si>
  <si>
    <t>MANISH KATAPALLY</t>
  </si>
  <si>
    <t>LJUBICA MITRESKA</t>
  </si>
  <si>
    <t>MARIE UISA</t>
  </si>
  <si>
    <t>ARLYN ABALDONADO</t>
  </si>
  <si>
    <t>DOMINIQUE DIACONO</t>
  </si>
  <si>
    <t>HAYLEY MAXWELL</t>
  </si>
  <si>
    <t>JILLIAN JARDINE</t>
  </si>
  <si>
    <t>MICHELLE BOWDEN</t>
  </si>
  <si>
    <t>GERARD CORRIE</t>
  </si>
  <si>
    <t>Q3</t>
  </si>
  <si>
    <t>HAZ1046</t>
  </si>
  <si>
    <t>3rd party contractor was using SRG MHE to load vehicle</t>
  </si>
  <si>
    <t>HAZ1047</t>
  </si>
  <si>
    <t>guard rails near loading dock 11 broken</t>
  </si>
  <si>
    <t>HAZ1049</t>
  </si>
  <si>
    <t>driver and MHE not adhering to the 3 m exclusion zone when loading a rigid. the driver was holding the strap whilst the MHE was loading the vehicle</t>
  </si>
  <si>
    <t>HAZ1055</t>
  </si>
  <si>
    <t>yellow bollard has been knocked and no longer secured to the floor</t>
  </si>
  <si>
    <t>HAZ1100</t>
  </si>
  <si>
    <t>box was dropped on the floor by the picker.</t>
  </si>
  <si>
    <t>HAZ1101</t>
  </si>
  <si>
    <t>double stacked pallets and stillage near the staging/loading areas</t>
  </si>
  <si>
    <t>HAZ1102</t>
  </si>
  <si>
    <t>217 warehouse was left unlocked unsecured  container crew left the warehouse unlocked</t>
  </si>
  <si>
    <t>HAZ1192</t>
  </si>
  <si>
    <t>driver approached an operating forklift - did not maintain the 3 meter exclusion zone</t>
  </si>
  <si>
    <t>HAZ1193</t>
  </si>
  <si>
    <t>driving too fast around corner and not using horn to let other driver know he is coming. not slowing down after hearing me beep multiple times</t>
  </si>
  <si>
    <t>HAZ1194</t>
  </si>
  <si>
    <t>I was working in the aisle my forklift I give him the horn but he ignore me and he passing through me and it was dangerous for me.  LO picker</t>
  </si>
  <si>
    <t>HAZ1211</t>
  </si>
  <si>
    <t>waste procedures (cardboard boxes) unsafe left on floor/pallet left on the floor unsafely stacked</t>
  </si>
  <si>
    <t>HAZ1212</t>
  </si>
  <si>
    <t>pallet jack left on the side way and was not on the proper place or safe area, creating a potential hazard for pedestrians</t>
  </si>
  <si>
    <t>HAZ1213</t>
  </si>
  <si>
    <t>my attempt to make eye contact with forklift driver was ignored. i sounded the horn 3 times to alert him as he was reversing along the side wall towards the truck, stopping just before impacting the truck</t>
  </si>
  <si>
    <t>HAZ1276</t>
  </si>
  <si>
    <t>Oil spill from a tugger</t>
  </si>
  <si>
    <t>HAZ1313</t>
  </si>
  <si>
    <t>I was driving down the Aisle 10 . Then i hit the edge of guard from the side of my high reach machine. Some paint came off. The machine is fine so I am. Hazard report by Dharmendra Singh</t>
  </si>
  <si>
    <t>HAZ1359</t>
  </si>
  <si>
    <t>Damaged safety ladder, seems to be hit by forklift and bottom is slightly bent</t>
  </si>
  <si>
    <t>HAZ1395</t>
  </si>
  <si>
    <t>Pallet fell down while fixing position around 1 PM. No one hurt and machine is fine.</t>
  </si>
  <si>
    <t>HAZ1422</t>
  </si>
  <si>
    <t>i was driving down the aisle 10 then I hit the edge of the guard from the side of my high reach machine. some paint came off the machine</t>
  </si>
  <si>
    <t>HAZ1423</t>
  </si>
  <si>
    <t>pallet jack placed  and left on the walkway</t>
  </si>
  <si>
    <t>HAZ1424</t>
  </si>
  <si>
    <t>plastic bag placed inside cigarette buts holder -potential fire hazard</t>
  </si>
  <si>
    <t>HAZ1455</t>
  </si>
  <si>
    <t>pallet stacked too high the aisle is block of pallet and cannot move to the work station and the box almost fell on me</t>
  </si>
  <si>
    <t>HAZ1456</t>
  </si>
  <si>
    <t>pallet not stacked correctly  can fall of if moved. empty boxes side of pallet.  broken pallets loose loads very poor housekeeping</t>
  </si>
  <si>
    <t>HAZ1457</t>
  </si>
  <si>
    <t>middle aisle congested not able to move around - house keeping still poor</t>
  </si>
  <si>
    <t>HAZ1561</t>
  </si>
  <si>
    <t>Lo Picker Mohammad Aimaq was seen putting rubbish on the floor. He cleaned his bin and put all the rubbish from the inside on one of the nearby stillage.</t>
  </si>
  <si>
    <t>HAZ1589</t>
  </si>
  <si>
    <t>Cone/Barrack being pushed into the Koo Dark Site packing bench area, making the team feel unsafe to complete their tasks</t>
  </si>
  <si>
    <t>HAZ1825</t>
  </si>
  <si>
    <t>2 of the afternoon Team Members where sharing a fork, one was driving and the other was sitting on the side holding onto the bar to balance</t>
  </si>
  <si>
    <t>HAZ1830</t>
  </si>
  <si>
    <t>the conveyor wheels are sharp and not easy to identify</t>
  </si>
  <si>
    <t>HAZ2026</t>
  </si>
  <si>
    <t>empty pallets broken bins produced by x dock afternoon shift, placed unsafely causing a potential hazard in addition they have been placed into a different staging area in accordance with new instructions for a new staging area</t>
  </si>
  <si>
    <t>HAZ2032</t>
  </si>
  <si>
    <t>I feel the hazard was due to weak screws (I don't believe this was hit as the screws look weak and the screw holes seem shallow). This fire hose is not attached like some others. I have just come across this while walking in the allocations area.</t>
  </si>
  <si>
    <t>HAZ2059</t>
  </si>
  <si>
    <t>vision obstructed not clear for MHE operators</t>
  </si>
  <si>
    <t>HAZ2105</t>
  </si>
  <si>
    <t>DC WHS Admin</t>
  </si>
  <si>
    <t>MHU items not stored correctly stillages have fallen sideways and the rack only pallets have been left half twisted in the carpark MHU sections</t>
  </si>
  <si>
    <t>HAZ2106</t>
  </si>
  <si>
    <t>MHU items are being left on the island  unbalanced and bins are full of hazardous waste including wire coils</t>
  </si>
  <si>
    <t>HAZ2186</t>
  </si>
  <si>
    <t>The Reach driver was lifting a pair of ULD's to load onto the Australia Post truck, as it was being lifted, the bottom ULD gate came lose and caught on the next set of ULD's waiting to be lifted, cause the top ULD to be dislodged</t>
  </si>
  <si>
    <t>HAZ2330</t>
  </si>
  <si>
    <t>Cat faeces found in the walk way in HS longspan Alise 4D</t>
  </si>
  <si>
    <t>HAZ2356</t>
  </si>
  <si>
    <t>Emergency light has part away from the ceiling and is dangling</t>
  </si>
  <si>
    <t>HAZ2457</t>
  </si>
  <si>
    <t>MHU area ground not level</t>
  </si>
  <si>
    <t>HAZ2514</t>
  </si>
  <si>
    <t>team member accidently dropped the mobile phone</t>
  </si>
  <si>
    <t>HAZ2515</t>
  </si>
  <si>
    <t>uneven stacking of all types of pallets and stacking bins on top of broken pallets and stacking bins on top of broken bins</t>
  </si>
  <si>
    <t>HAZ2523</t>
  </si>
  <si>
    <t>door 5 most the time is blocked</t>
  </si>
  <si>
    <t>HAZ2573</t>
  </si>
  <si>
    <t>drivers revering the forklift lift get too close and hit the bollard holding the pedestrian doors</t>
  </si>
  <si>
    <t>HAZ2627</t>
  </si>
  <si>
    <t>the handle on the order pickers is too close to the frame and fingers get caught,</t>
  </si>
  <si>
    <t>HAZ2791</t>
  </si>
  <si>
    <t>in the high winds, the large spotlight banner on the building wall has come away and is flapping around</t>
  </si>
  <si>
    <t>HAZ2862</t>
  </si>
  <si>
    <t>Forklift was nearly about to hit team member (Arndeep Singh)  The forklift was very close</t>
  </si>
  <si>
    <t>HAZ2871</t>
  </si>
  <si>
    <t>The yellow baccard has been hit and broken by a MHE</t>
  </si>
  <si>
    <t>HAZ2905</t>
  </si>
  <si>
    <t>rubbish as been blown along the fence line, in the corner and on the fence</t>
  </si>
  <si>
    <t>HAZ2906</t>
  </si>
  <si>
    <t>pallets stacked too high,   pallets only 22 high - team to reduce the height once the pallet yard has been cleaned up</t>
  </si>
  <si>
    <t>HAZ2907</t>
  </si>
  <si>
    <t>a tarp has been placed in the pallet yard - item is not a spotlight product or item</t>
  </si>
  <si>
    <t>HAZ3206</t>
  </si>
  <si>
    <t>the product fell off the pallet whilst on the wrapping machine. the pallet was slippery and the wrapping machine was turning too fast</t>
  </si>
  <si>
    <t>HAZ3621</t>
  </si>
  <si>
    <t>Pigeon Poo all over work benches, floors, Bra boxes, floor around bra area, bubble machine and bubble wrap</t>
  </si>
  <si>
    <t>HAZ3751</t>
  </si>
  <si>
    <t>unsafe and risky workplace practice, improper double stacking pallet may collapse</t>
  </si>
  <si>
    <t>HAZ3958</t>
  </si>
  <si>
    <t>work phone fell and screen broken</t>
  </si>
  <si>
    <t>HAZ4173</t>
  </si>
  <si>
    <t>uneven stack of Rack Only Pallets</t>
  </si>
  <si>
    <t>HAZ4201</t>
  </si>
  <si>
    <t>Truck entering the site did not wait for the boom gates to fully open. may have damaged the left boom gate.</t>
  </si>
  <si>
    <t>HAZ4267</t>
  </si>
  <si>
    <t>guard fell off the cooler when it was turned on</t>
  </si>
  <si>
    <t>HAZ4311</t>
  </si>
  <si>
    <t>the left boom gate, which was already damaged,  has been broke and is unable to be used due to the wind bending it further on Saturday morning 11/11 around 8.30am, which cause it to be caught in the main gates and when it was opened this morning, Monday 13/11, it broke it</t>
  </si>
  <si>
    <t>HAZ4512</t>
  </si>
  <si>
    <t>Consol loose stock is labelled on the face of the carton rather than at the front, making the staff have to awkwardly stack the stillage. Due to this, moving the stillage can be an issue as the despatch team needs to be able to access all the labels.</t>
  </si>
  <si>
    <t>HAZ4636</t>
  </si>
  <si>
    <t>Pigeon Poo all over work the sort area computer, work bench and floor area as well as in Long span area for Bras &amp; Underwear</t>
  </si>
  <si>
    <t>HAZ5422</t>
  </si>
  <si>
    <t>whilst unloading a container, there has been movement so the container ramp is sitting right on the edge approx a 5mil lip. forklift is in the container so not safe to drive out on the ramp. we have call out ACFS to move fix this hazard.</t>
  </si>
  <si>
    <t>HAZ5424</t>
  </si>
  <si>
    <t>whilst loading a truck in dispatch, a team member noticed a leak from under the truck. we stopped loading immediately and called supervisor, spills kit was used to isolate the leak from spreading, and truck driver contacted his boss of the hazard.  rego XW6ODR. driver was instructed to unhook from trailer and to go to little boundry road BP..</t>
  </si>
  <si>
    <t>HAZ5470</t>
  </si>
  <si>
    <t>Team member Van was driving forward with a double stacked stillages</t>
  </si>
  <si>
    <t>HAZ6156</t>
  </si>
  <si>
    <t>the pump to take the excess water hasn't kicked in</t>
  </si>
  <si>
    <t>HAZ6170</t>
  </si>
  <si>
    <t>Congestion due to pallet placement for next day work (QA area)</t>
  </si>
  <si>
    <t>HAZ6171</t>
  </si>
  <si>
    <t>4 pallets blocking the QA entrance (walkway)</t>
  </si>
  <si>
    <t>HAZ6176</t>
  </si>
  <si>
    <t>Psychosocial</t>
  </si>
  <si>
    <t>Leading hands are speaking their own language with other team members</t>
  </si>
  <si>
    <t>HAZ6200</t>
  </si>
  <si>
    <t>Very dark in the morning &amp; night at the entrance of staff carpark (gate B)</t>
  </si>
  <si>
    <t>HAZ6201</t>
  </si>
  <si>
    <t>Double stacked pallets at the end of the lines creating blind spots for MHE drivers</t>
  </si>
  <si>
    <t>HAZ6265</t>
  </si>
  <si>
    <t>I am taking out pallet from A1129115 location and high reach got event code detected message and machine got jerk by that aisle got scratch(not damage).</t>
  </si>
  <si>
    <t>HAZ6330</t>
  </si>
  <si>
    <t>Elizabeth drives a LO machine, she lift pallet but not properly and while she is driving machine pallet stuck o floor and machine go forward, she is not aware of this and Danny was driving behind her and he just about to hit the pallet. She is not beeping at crossing and not slow down machine at turn.</t>
  </si>
  <si>
    <t>HAZ6464</t>
  </si>
  <si>
    <t>staff member was trying to fix a broken pallet board on the underside of a pallet that was built with cartons onto it. pallet was raised up high with a walkie stacker pallet lifter, team member was underneath  trying to nail a board on the underside of the pallet</t>
  </si>
  <si>
    <t>HAZ6538</t>
  </si>
  <si>
    <t>there are barriers/kickboards that have been damaged due to pallets pushed up against these when being stagged.</t>
  </si>
  <si>
    <t>HAZ6791</t>
  </si>
  <si>
    <t>We are currently using a pallet mover PC965 as a replacement as our unit has been returned to Crown for a major service. Team member been complaining on the amount of twisting/head movement and leaning that has to done to complete their tasks</t>
  </si>
  <si>
    <t>HAZ7626</t>
  </si>
  <si>
    <t>we can see what looks to be like a power cable where wires are exposed, possible outer casing chewed through</t>
  </si>
  <si>
    <t>HAZ7794</t>
  </si>
  <si>
    <t>Found dexie racking knocked out of place.</t>
  </si>
  <si>
    <t>HAZ9406</t>
  </si>
  <si>
    <t>Trucks and cars exiting from Gate C are failing to give way to the traffic in the service lane. Accident waiting to happen</t>
  </si>
  <si>
    <t>HAZ11827</t>
  </si>
  <si>
    <t>staff member was working in dispatch area, scanning the pallets and stepped in the damaged concrete 'uneven sufrace' area. he notified  management after this occured.</t>
  </si>
  <si>
    <t>INC1014</t>
  </si>
  <si>
    <t>Jessica Blackhall</t>
  </si>
  <si>
    <t>Dispatch area was full of pallets waiting to be loaded. There was no room to put the forklift in the area next to the driver sign on/off sheet so I was going to put the forklift next to the outside bollard walkway, as I was turning facing forwards the tip of the 2.1 metre forklift tine touched the bottom of the barrier causing the forklift to stop abruptly.  The forklift has no damage to the tines but a lot of soot did empty from the radiator Forklift number: IC7635  Bollard is still connected to the ground but the concrete has chipped away a bit  Weather conditions: Clear</t>
  </si>
  <si>
    <t>INC1048</t>
  </si>
  <si>
    <t>thumb got stuck in the vending machine, whilst grabbing a drink  skin was ripped on the thumb</t>
  </si>
  <si>
    <t>INC1054</t>
  </si>
  <si>
    <t xml:space="preserve">a pallet was stacked on top of pallet of blinds so the blinds came out of the pallet - High reach driver DU stacked a pallet on top of blinds thus the blinds fell out.  The blinds were stored in a pallet not in a stillage so when a pallet was stacked on top they fell out.   blinds to be stored in stillages not to double stack blinds in pallets </t>
  </si>
  <si>
    <t>INC1056</t>
  </si>
  <si>
    <t xml:space="preserve">back started to get sore from the lowered table, Table has been lowered to avoid further injury to my neck/collar bone constant bending over the table to complete QA tasks </t>
  </si>
  <si>
    <t>INC1103</t>
  </si>
  <si>
    <t xml:space="preserve"> I was walking and tripped by a box and fell on the conveyor belt  hit right arm, scratch </t>
  </si>
  <si>
    <t>INC1191</t>
  </si>
  <si>
    <t xml:space="preserve">hit the corner of the racking in aisle 13 with the bin on my back of my machine. I was making a turn to pick up an item form another location in the same aisle. </t>
  </si>
  <si>
    <t>INC1195</t>
  </si>
  <si>
    <t xml:space="preserve">small cut on my left hand. I was cutting strip with knife and just got a small cut </t>
  </si>
  <si>
    <t>INC1196</t>
  </si>
  <si>
    <t xml:space="preserve">my foot was run over by a pallet jack, one of the team members ran over my foot by a pallet jack while I was stacking the boxes in front of him </t>
  </si>
  <si>
    <t>INC1298</t>
  </si>
  <si>
    <t>hip/leg injury tension in muscle when walking or apply pressure to leg, lifting heavy blinds no allowing body to rest.</t>
  </si>
  <si>
    <t>INC1315</t>
  </si>
  <si>
    <t>A stack of pallets that were transporting fell</t>
  </si>
  <si>
    <t>INC1319</t>
  </si>
  <si>
    <t>2 machine have collide</t>
  </si>
  <si>
    <t>INC1322</t>
  </si>
  <si>
    <t>driving stock into put away aisles and reach truck drove in front of my fork as I was driving forward.</t>
  </si>
  <si>
    <t>INC1427</t>
  </si>
  <si>
    <t>Hit the corner of a XL box while dropping into the ULD</t>
  </si>
  <si>
    <t>INC1459</t>
  </si>
  <si>
    <t xml:space="preserve">I was walking to place a box in the bin then a sharp nail ripped my pants   scratch on right thigh </t>
  </si>
  <si>
    <t>INC1461</t>
  </si>
  <si>
    <t xml:space="preserve">I was walking to my workstation then on of the team members cam from my back side and hit my foot with the pallet jack.  left foot swollen </t>
  </si>
  <si>
    <t>INC1632</t>
  </si>
  <si>
    <t xml:space="preserve">The team member was lifting the boxes from Aisles while doing LO Picking and sprained his elbow. He was feeling sharp pain. According to him, the racking was bit high for him to reach and while picking, he started feeling the pain. </t>
  </si>
  <si>
    <t>INC1636</t>
  </si>
  <si>
    <t xml:space="preserve">pallet was fully stacked, Team member was to take the pallet to be wrapped, she placed the pallet jack under the pallet, pulled the pallet and started to walk, 3 boxes fell from the pallet one box hit team member on her right shoulder </t>
  </si>
  <si>
    <t>INC1648</t>
  </si>
  <si>
    <t>Team member Naveen made racial comments about team member Jack Tat, Alek Ngong has witnessed Naveen comments towards Jack during the incident</t>
  </si>
  <si>
    <t>INC1683</t>
  </si>
  <si>
    <t xml:space="preserve">driving out of aisle 11 turning into aisle 10, watching for MHE passing   turned and collided with the pillar, </t>
  </si>
  <si>
    <t>INC1799</t>
  </si>
  <si>
    <t xml:space="preserve">product from the pallet dislodged, product was not wrapped to the pallet and during transit the product slid off the pallet </t>
  </si>
  <si>
    <t>INC1800</t>
  </si>
  <si>
    <t xml:space="preserve">when i was passing with high reach hit the upright </t>
  </si>
  <si>
    <t>INC1801</t>
  </si>
  <si>
    <t>stillage fell, whilst unloading vehicles with long tines forklifts, the tilt was not applied and the legs of the back stillage clipped the truck bed and product dislodged.</t>
  </si>
  <si>
    <t>INC1822</t>
  </si>
  <si>
    <t>In Aisle 13 stock was very heavy. I just lift a box and start pain in my arm. box was 17 KG.</t>
  </si>
  <si>
    <t>INC1842</t>
  </si>
  <si>
    <t>team member had his phone on loud speaker, talking and working - site rules say no mobile phone use in operational areas</t>
  </si>
  <si>
    <t>INC1900</t>
  </si>
  <si>
    <t xml:space="preserve">was picking boxes, hand slipped and hit the conveyor.  - Team member states that he is right handed and his right index finger is sore, when he tries to bend it.  Team member uses a scanner as part of his tasks </t>
  </si>
  <si>
    <t>INC1912</t>
  </si>
  <si>
    <t>reversing vehicle hit pallet and pallets hit the bollard around the fire hydrant</t>
  </si>
  <si>
    <t>INC1926</t>
  </si>
  <si>
    <t xml:space="preserve">team member was waking to the tea room and jumped over the guard rail taking a short cut </t>
  </si>
  <si>
    <t>INC1927</t>
  </si>
  <si>
    <t xml:space="preserve">Hazar Yarpuzlu from GEBS transport dropped a pallet while loading Fountain Gate. The pallet was not high enough and hit the tailgate. The pallet then collapsed and stock went on the floor. </t>
  </si>
  <si>
    <t>INC2058</t>
  </si>
  <si>
    <t xml:space="preserve">tynes detached from the forklift whilst unloading euro bins.  </t>
  </si>
  <si>
    <t>INC2071</t>
  </si>
  <si>
    <t xml:space="preserve">Team member was cutting strings on the rolls and cutter slipped on the left hand . cut left index finger </t>
  </si>
  <si>
    <t>INC2117</t>
  </si>
  <si>
    <t>Danish is unloading euro bins from the truck, the tines and machines got detached.</t>
  </si>
  <si>
    <t>INC2262</t>
  </si>
  <si>
    <t>Tripped on piece of cardboard on the floor as I turned around to put the box i was carrying into the cage</t>
  </si>
  <si>
    <t>INC2381</t>
  </si>
  <si>
    <t xml:space="preserve">whilst unloading pallets that have been returned from the store, the last pallet was unstable and not stacked safely, MHE attempted to pick up the pallet, the gate was onthe right side of the MHE, as the MHE approached the truck the back of the MHE caught the gate and bent the gate </t>
  </si>
  <si>
    <t>INC2414</t>
  </si>
  <si>
    <t>whilst unwrapping a pallet on the lifter to take plastic off  the pallet. worker was walking to the bailer and the cutting knife fell out of his pocket, team member stepped on knife with left leg then slipped over backwards and fell to the floor</t>
  </si>
  <si>
    <t>INC2619</t>
  </si>
  <si>
    <t xml:space="preserve">I was in the offices at 235 with Arlyn, when she said is that a fire outside in the smokers area, when i turned around to see a fire in the cigarette bin  the but bin was on fire, due to the bin being over filled </t>
  </si>
  <si>
    <t>INC2632</t>
  </si>
  <si>
    <t>poppy and trien were travelling along the path in front of the cross dock.  Trien has stopped to give way to a pedestrian, Poppy was looking to place product into location, she believed that Trien had moved, as she drove forward with product on her tines, she hit the Trien's MHE tines (reach) minor touch.</t>
  </si>
  <si>
    <t>INC2686</t>
  </si>
  <si>
    <t xml:space="preserve">I Danish was closing the door before going home. I didn't know that Manish was outside.  I had closed the door 1/3 of the way down Manish did not notice the door being closed and drove through  hitting the bottom of the roller door </t>
  </si>
  <si>
    <t>INC2760</t>
  </si>
  <si>
    <t>pallet fell off forklift, turned too sharply and pallet was top heavy and fell off..</t>
  </si>
  <si>
    <t>INC2854</t>
  </si>
  <si>
    <t xml:space="preserve">hardeep was picking a box near conveyor belt and box around 12-13kg dropped from the conveyor on his right arm. the conveyor belt was being pushed in the opposite direction against the flow of the conveyor. </t>
  </si>
  <si>
    <t>INC2855</t>
  </si>
  <si>
    <t xml:space="preserve">was trying to stack a box onto the pallets, was trying to place the box at the back of the pallet, space between the pallets was narrow, he tripped on the edge of the pallet falling onto his left knee, left knee was twisted </t>
  </si>
  <si>
    <t>INC2861</t>
  </si>
  <si>
    <t xml:space="preserve">I was loading a pallet and then a forklift driver behind me picked up boxes and it fell onto my back. </t>
  </si>
  <si>
    <t>INC2881</t>
  </si>
  <si>
    <t xml:space="preserve">walking outside the warehouse, tripped on the uneven concrete, fell, onto my hands injuring left wrist </t>
  </si>
  <si>
    <t>INC2967</t>
  </si>
  <si>
    <t xml:space="preserve">I moved one carton to a different location, did not notice plastic wrap, foot got stuck on the plastic.  carton hit my head as I held it .  I stumbled and the carton weighing approx. 7-8kg hit my head </t>
  </si>
  <si>
    <t>INC3072</t>
  </si>
  <si>
    <t xml:space="preserve">rug fell on my face and cracked the lens of my glasses   - was stacking rugs on the floor </t>
  </si>
  <si>
    <t>INC3256</t>
  </si>
  <si>
    <t xml:space="preserve">container reversed above the ramp height - the container was on the dock and almost hit the top of the dock door. </t>
  </si>
  <si>
    <t>INC3276</t>
  </si>
  <si>
    <t xml:space="preserve">Sonal was walking to the clock machines when she slipped and twisted her ankle Left ankle </t>
  </si>
  <si>
    <t>INC3300</t>
  </si>
  <si>
    <t xml:space="preserve">Elio moving the pallets near the door, when he turned he hit the safety pole near the door and tynes got damaged Near Roller door 9. </t>
  </si>
  <si>
    <t>INC3302</t>
  </si>
  <si>
    <t xml:space="preserve">I was gathering ERO bins to stack when the forklift tines hit the yellow barriers (concrete barriers), the tine has been bent back </t>
  </si>
  <si>
    <t>INC3344</t>
  </si>
  <si>
    <t xml:space="preserve">as the vehicle was entering the premises the boom gates only opened on one side, as the vehicle drove onto the site the truck hit the left boom gate </t>
  </si>
  <si>
    <t>INC3345</t>
  </si>
  <si>
    <t xml:space="preserve">task was to check the product /pallet prior to scanning for wrapping,  box was loose and fell infront  of me.  Box did not hit Poppy  team member pulling the pallet was mohommed. </t>
  </si>
  <si>
    <t>INC3350</t>
  </si>
  <si>
    <t>cut to my lips.  the tape got stuck on my lips whilst I was going to bite it off.</t>
  </si>
  <si>
    <t>INC3351</t>
  </si>
  <si>
    <t xml:space="preserve">whilst turning the forklift the tines hit the bollard in front of the cross dock conveyor.  was trying to assist the other forklift driver as the pallet was leaning so I tried to re align the pallets but the space was tight and the tines hit the bollard. </t>
  </si>
  <si>
    <t>INC3352</t>
  </si>
  <si>
    <t xml:space="preserve">whilst working suddenly felt dizzy and had a sharp pain in my head </t>
  </si>
  <si>
    <t>INC3375</t>
  </si>
  <si>
    <t xml:space="preserve">fragile box was on top of a stack of boxes upside down, trying to reach the box and remove, the box slipped out of my fingers and I lost balance and hurt left shoulder. was standing between two pallets </t>
  </si>
  <si>
    <t>INC3440</t>
  </si>
  <si>
    <t xml:space="preserve">sustained a sore Right shoulder pain due to lifting heavy boxes at Cross dock, </t>
  </si>
  <si>
    <t>INC3471</t>
  </si>
  <si>
    <t>Pallet collapsed when unloading the truck with Harris Scarfe stock</t>
  </si>
  <si>
    <t>INC3531</t>
  </si>
  <si>
    <t xml:space="preserve">While Picking with a high reach from aisle 50 there are black bins on the end of aisle 16, Denyon was backing out has come to contact with the black bin and the racking forcing the damage to the racking. The front of the MHE impacted with the racking causing damage to the cross beams - racking needs to be destacked </t>
  </si>
  <si>
    <t>INC3546</t>
  </si>
  <si>
    <t>Casual staff member Srujan Balagar reversed from store lane after put away and accidently accelerated into lower racking upright with tugger.</t>
  </si>
  <si>
    <t>INC3598</t>
  </si>
  <si>
    <t xml:space="preserve">was pulling out a box when a roll of shrink rolled an hit her hand </t>
  </si>
  <si>
    <t>INC3640</t>
  </si>
  <si>
    <t xml:space="preserve">whilst I was pulling the pallet jack it hit the back of my foot.  whilst pulling the pallet jack I stopped and my foot was in the way </t>
  </si>
  <si>
    <t>INC3641</t>
  </si>
  <si>
    <t xml:space="preserve">went to pick up cardboard to make boxes and the paper cardboard went into my eye.  the cardboard flew into my eye </t>
  </si>
  <si>
    <t>INC3642</t>
  </si>
  <si>
    <t xml:space="preserve">Neeraj and Mohammed Abdul had a misunderstanding.  Abdul believed that Neeraj told him to F...off. both team members were spoken to and it was explained that a misunderstanding occurred. the two team members are to be more courteous to each other when speaking </t>
  </si>
  <si>
    <t>INC3653</t>
  </si>
  <si>
    <t xml:space="preserve">Forklift Operator Jai Parkash was bringing a pallet down from level 5 in Aisle 14 when a carton from that pallet fell down as the  pallet was not safely wrapped/taped. </t>
  </si>
  <si>
    <t>INC3709</t>
  </si>
  <si>
    <t>I was picking in aisle 10 whilst driving little bit forward I cant see the black pole because it was my blind spot and I hit with the high reach unit  ESR 1015. driving forward with tines, vision restricted by mast..</t>
  </si>
  <si>
    <t>INC3748</t>
  </si>
  <si>
    <t xml:space="preserve">Boxes fell off a pallet as it was raised to be unstacked and placed near the conveyor. boxes fell onto the safety rails in the Koo area damaging the railing  </t>
  </si>
  <si>
    <t>INC3749</t>
  </si>
  <si>
    <t xml:space="preserve">wood splinter on Right middle finger whilst lifting timber pallet by hand </t>
  </si>
  <si>
    <t>INC3752</t>
  </si>
  <si>
    <t xml:space="preserve">unsafe double stack damaging stock. unsafe and improper double stacking  </t>
  </si>
  <si>
    <t>INC3753</t>
  </si>
  <si>
    <t xml:space="preserve">pallets stock pushed against the pedestrian walkway barrier. </t>
  </si>
  <si>
    <t>INC3754</t>
  </si>
  <si>
    <t xml:space="preserve">stock damaged due to improper double stacking practice. </t>
  </si>
  <si>
    <t>INC3930</t>
  </si>
  <si>
    <t>Pallet tripped over when unloading due to weight on one side</t>
  </si>
  <si>
    <t>INC3969</t>
  </si>
  <si>
    <t xml:space="preserve">Team member (Edgar San Jose) was travelling in reverse carry a stillage, he was travelling from the despatch area to the loose load area, approximately 100 meters in reverse at speed.  Managers were conducting inspections in the wrapping area and noticed Edgar speeding, he was told to stop and exit the counter balance pending investigation </t>
  </si>
  <si>
    <t>INC3996</t>
  </si>
  <si>
    <t xml:space="preserve">driving reach truck tynes forward, hit the witches hat and column upright, thought location was a lot further </t>
  </si>
  <si>
    <t>INC3998</t>
  </si>
  <si>
    <t>I wanted to enter the driveway and the opposite person wanted to enter the same driveway, we were too close and the tynes from one tugger and the other tugger got hit.</t>
  </si>
  <si>
    <t>INC4032</t>
  </si>
  <si>
    <t xml:space="preserve">Jovan (reach driver) was adhoc pallets into empty locations, went to put-away a pallet on 6 level product was a little high and hit the water sprinkler.  </t>
  </si>
  <si>
    <t>INC4033</t>
  </si>
  <si>
    <t xml:space="preserve">carrying double stacked pallets, not wrapped correctly pallet collapsed and product damaged </t>
  </si>
  <si>
    <t>INC4037</t>
  </si>
  <si>
    <t>taking out product from the box twisted wrist..</t>
  </si>
  <si>
    <t>INC4187</t>
  </si>
  <si>
    <t xml:space="preserve">moving the plastic pallet it hit his right leg (ankle)  broken part of the pallet </t>
  </si>
  <si>
    <t>INC4188</t>
  </si>
  <si>
    <t xml:space="preserve">was picking up a fairly heavy box and felt a sharp pain on my lower back. </t>
  </si>
  <si>
    <t>INC4208</t>
  </si>
  <si>
    <t xml:space="preserve">rugs packing into a cardboard box had collapsed due to the weight and unbalanced load.  </t>
  </si>
  <si>
    <t>INC4211</t>
  </si>
  <si>
    <t xml:space="preserve">whilst conducting a let down, reversing the reach, reach slid and hit the beam behind </t>
  </si>
  <si>
    <t>INC4264</t>
  </si>
  <si>
    <t xml:space="preserve">was driving a tugger and the plastic on the floor made the tugger swing cut my little finger Right finger </t>
  </si>
  <si>
    <t>INC4272</t>
  </si>
  <si>
    <t xml:space="preserve">MHE operator was pushing product forward - in the allocation feed in area, pedestrian wanted to pick some product from this area, the product in the line near the pedestrian was pushed forward. </t>
  </si>
  <si>
    <t>INC4273</t>
  </si>
  <si>
    <t>whilst pushing a carton down lane 9, a little carton was passing by which the staff member saw last minuite, the staff members then scraped his right forearm up againt the guard, which resulted in a gash on the worker right fore arm approx 3cm long, staff went to the toilet and washed the blood off and approched our 1st aid team member. wound was then cleaned and antiseptic applied, gauze applied and then bandaged up. team member was then advise/informed to go to the doctor to check up wound.</t>
  </si>
  <si>
    <t>INC4315</t>
  </si>
  <si>
    <t xml:space="preserve">I was fixing the pallet, one box fell on my hand and cut a my finger, some bleeding, middle finger </t>
  </si>
  <si>
    <t>INC4318</t>
  </si>
  <si>
    <t>Shaliman was turning and didn't notice Charles coming and he hit the Charles Lo machine.</t>
  </si>
  <si>
    <t>INC4376</t>
  </si>
  <si>
    <t xml:space="preserve">One of the wrapping team member Charles wal was driving forklift and hit Aisle 15 with stock and damage location A15-21-215 </t>
  </si>
  <si>
    <t>INC4428</t>
  </si>
  <si>
    <t xml:space="preserve">Team member hit the side of her left ankle with the cage trolley while moving it </t>
  </si>
  <si>
    <t>INC4454</t>
  </si>
  <si>
    <t xml:space="preserve">Battery of LO  Machine VR11200 came out and started leaking. I was walking near by and the acid drops fell all over my legs and arms. My trouser was all damaged and I felt some irritation so I had to take a shower and change my cloths. </t>
  </si>
  <si>
    <t>INC4455</t>
  </si>
  <si>
    <t xml:space="preserve">Battery of LO  Machine VR11200 came out and started leaking. I was walking near by and the liquid drops fell all over my legs. My trouser was all damaged and I felt some irritation so I had to take a shower and change my cloths. </t>
  </si>
  <si>
    <t>INC4599</t>
  </si>
  <si>
    <t xml:space="preserve">team member was disconnecting the charging cable from the counterbalance, the battery cells exploded.  small plastic flew into the air and fell to the ground. The explosion was very loud and could be hear at the far end of the warehouse.  Team member stated that he has some ringing in his ears, this settled after an hour.   unit number 486, this unit was not charged on the corresponding battery charging unit.  No pre starts were completed.  no one was responsible for the filling of the battery cells. </t>
  </si>
  <si>
    <t>INC4600</t>
  </si>
  <si>
    <t>CONTRACTOR - HUTCHINSON, JARRED Stock (tables) fell off the pallet onto the team member. The tables were stacked on top of a light box which became unbalanced. It pushed the other tables that were stacked upright to fall onto the team member while he was crouching to write SSCC number on the pallet. Team member braced as the table fell which hit his arm and head.</t>
  </si>
  <si>
    <t>INC4638</t>
  </si>
  <si>
    <t>vehicle was parked in the loading bays, curtains and gates open, second vehicle semi trailer was exiting the site, as he turned his vehicle he clipped the trucks gate slightly bending the gate.</t>
  </si>
  <si>
    <t>INC4669</t>
  </si>
  <si>
    <t>cut myself with the blade of the tape gun, left middle finger</t>
  </si>
  <si>
    <t>INC4671</t>
  </si>
  <si>
    <t xml:space="preserve">top heavy stacking  heavy boxes fell on head and shoulder.  </t>
  </si>
  <si>
    <t>INC4726</t>
  </si>
  <si>
    <t>battery cells exploded. Team member states that he has some ringing in his ears.</t>
  </si>
  <si>
    <t>INC4727</t>
  </si>
  <si>
    <t>was lifting blinds to place into the bin, felt pain on lower back</t>
  </si>
  <si>
    <t>INC4738</t>
  </si>
  <si>
    <t>put one pallet in allocation empty pallet area, pallet in that area not stack properly one of the pallet just move and hit leg.</t>
  </si>
  <si>
    <t>INC4864</t>
  </si>
  <si>
    <t>when the b-double entered the yard, it was busy, the driver head to the end to do a u-turn to park against the fence, when he missed judge the area, hitting the railing with the back part of the trailer, he then became stuck</t>
  </si>
  <si>
    <t>INC4870</t>
  </si>
  <si>
    <t xml:space="preserve">Steve Harrison and I investigated a fight between Amiin Duale and Daruisz Wisnniewski in the toilet. According to witness 1 (Chol Majok), he walked into the toilet and witnessed Amiin and Daruisz fighting. Both Amiin and Daruisz had blood on them, resulting from the injuries they sustained during the fight. Witness 2( Ayoub Galaidos)  detailed a similar story to Chol. He attempted to separate Amiin and Daruisz. Amiin alleged that Daruisz assaulted him when he encountered Daruisz in the toilet. Daruisz alleged that Amiin had approached him in a threatening manner and he attempted to push him away. </t>
  </si>
  <si>
    <t>INC12676</t>
  </si>
  <si>
    <t>MARGIE ROBINSON</t>
  </si>
  <si>
    <t>Piyush put his resume forward for the Leading Hand roll and going through the process of the roll didn't get the position. Piyush had then asked his manager (Joseph Jeffery) for a reason why he wasn't selected. A conversation took place of feedback and Piyush wasn't satisfied with the answer, Leading to a claim of acute stress from the work place.</t>
  </si>
  <si>
    <t>Contact</t>
  </si>
  <si>
    <t>Cut/Abrasion</t>
  </si>
  <si>
    <t>Lower back</t>
  </si>
  <si>
    <t>lower back</t>
  </si>
  <si>
    <t>Hips / knees (back)</t>
  </si>
  <si>
    <t>hip right</t>
  </si>
  <si>
    <t>Other</t>
  </si>
  <si>
    <t>Bruise/Pain/Soreness</t>
  </si>
  <si>
    <t>Head (front)</t>
  </si>
  <si>
    <t>Left Ear</t>
  </si>
  <si>
    <t>Right arm (front) and Right elbow (back)</t>
  </si>
  <si>
    <t>Right Elbow</t>
  </si>
  <si>
    <t>Hit-Falling Object</t>
  </si>
  <si>
    <t>Right shoulder (back)</t>
  </si>
  <si>
    <t>right shoulder upper arm</t>
  </si>
  <si>
    <t>Psychological Factors</t>
  </si>
  <si>
    <t>Impact/Knock</t>
  </si>
  <si>
    <t>right eye forehead and eye socket</t>
  </si>
  <si>
    <t>back_shoulder_left</t>
  </si>
  <si>
    <t>Left Shoulder</t>
  </si>
  <si>
    <t>Right hand (front)</t>
  </si>
  <si>
    <t>right index finger and palm</t>
  </si>
  <si>
    <t>Slip/Trip/Fall</t>
  </si>
  <si>
    <t>Hips / knees (back), Left hand (front), and Right hand (front)</t>
  </si>
  <si>
    <t>knees &amp; wrists</t>
  </si>
  <si>
    <t>front_arm_right</t>
  </si>
  <si>
    <t>right arm</t>
  </si>
  <si>
    <t>front_hips_knees</t>
  </si>
  <si>
    <t>left knee</t>
  </si>
  <si>
    <t>back_lower_back</t>
  </si>
  <si>
    <t>back and right hip</t>
  </si>
  <si>
    <t>Left hand (front)</t>
  </si>
  <si>
    <t>left wrist</t>
  </si>
  <si>
    <t>Head (back)</t>
  </si>
  <si>
    <t>left side of the head</t>
  </si>
  <si>
    <t>Left foot (back)</t>
  </si>
  <si>
    <t>left ankle</t>
  </si>
  <si>
    <t>Medical Condition</t>
  </si>
  <si>
    <t>Left shoulder (back)</t>
  </si>
  <si>
    <t>left shoulder</t>
  </si>
  <si>
    <t>right shoulder</t>
  </si>
  <si>
    <t>index finger on left hand</t>
  </si>
  <si>
    <t>Hit-Moving object</t>
  </si>
  <si>
    <t>back_foot_left</t>
  </si>
  <si>
    <t>left foot at the back</t>
  </si>
  <si>
    <t>head_front</t>
  </si>
  <si>
    <t>eye left..</t>
  </si>
  <si>
    <t>right middle finger</t>
  </si>
  <si>
    <t>front_hand_right,front_hand_left</t>
  </si>
  <si>
    <t>wrist left</t>
  </si>
  <si>
    <t>back_foot_right</t>
  </si>
  <si>
    <t>right ankle small but and buise</t>
  </si>
  <si>
    <t>right little finger</t>
  </si>
  <si>
    <t>front_foot_right</t>
  </si>
  <si>
    <t>middle finger</t>
  </si>
  <si>
    <t>Left foot (front)</t>
  </si>
  <si>
    <t>Left inside of ankle</t>
  </si>
  <si>
    <t>Right arm (front), Left arm (front), and Hips / knees (front)</t>
  </si>
  <si>
    <t>Legs and Arms</t>
  </si>
  <si>
    <t>Hips / knees (front), Right foot (front), and Left foot (front)</t>
  </si>
  <si>
    <t>Legs and feet</t>
  </si>
  <si>
    <t>front_hand_left</t>
  </si>
  <si>
    <t>middle finger left hand</t>
  </si>
  <si>
    <t>back_head</t>
  </si>
  <si>
    <t>head and shoulder sore from the box falling</t>
  </si>
  <si>
    <t>ears</t>
  </si>
  <si>
    <t>right leg</t>
  </si>
  <si>
    <t>left side of lower back</t>
  </si>
  <si>
    <t>back_head,chest_shoulders,head_front,back_hips_knees,front_hips_knees,back_elbow_left,front_arm_left,back_foot_left,back_hand_left,front_foot_left,front_hand_left,back_shoulder_left,back_lower_back,front_arm_right,back_elbow_right,back_foot_right,front_foot_right,back_hand_right,front_hand_right,back_shoulder_right,back_upperback_neck,abdomen</t>
  </si>
  <si>
    <t>the whole body</t>
  </si>
  <si>
    <t>Hit-Moving object, Vehicle Accident</t>
  </si>
  <si>
    <t>BACK</t>
  </si>
  <si>
    <t>Break/Fracture, Bruise/Pain/Soreness</t>
  </si>
  <si>
    <t>Head (front), Abdomen (front), Chest shoulders (front), Lower back, Upper back / neck, Right shoulder (back), Left shoulder (back), and Head (back)</t>
  </si>
  <si>
    <t>right face, right shoulder and left ribs</t>
  </si>
  <si>
    <t>Right shoulder (back) and Upper back / neck</t>
  </si>
  <si>
    <t>Right Shoulder/Upper Right Back</t>
  </si>
  <si>
    <t>Left foot/pinkie finger</t>
  </si>
  <si>
    <t>Vehicle Accident</t>
  </si>
  <si>
    <t>Index finger</t>
  </si>
  <si>
    <t>Bruise/Pain/Soreness, Cut/Abrasion</t>
  </si>
  <si>
    <t>front_hand_right</t>
  </si>
  <si>
    <t>grazed knuckles on the front of the right hand</t>
  </si>
  <si>
    <t>Impact/Knock, Other</t>
  </si>
  <si>
    <t>finger on the right hand</t>
  </si>
  <si>
    <t>middle of the back, scratches</t>
  </si>
  <si>
    <t>Left ankle</t>
  </si>
  <si>
    <t>Impact/Knock, Slip/Trip/Fall</t>
  </si>
  <si>
    <t>Abdomen (front) and Chest shoulders (front)</t>
  </si>
  <si>
    <t>Left side rib cage</t>
  </si>
  <si>
    <t>Impact/Knock, Vehicle Accident</t>
  </si>
  <si>
    <t>head_front,back_shoulder_right</t>
  </si>
  <si>
    <t>Head / Shoulder</t>
  </si>
  <si>
    <t>Impact/Knock, Manual handling</t>
  </si>
  <si>
    <t>Left Eye</t>
  </si>
  <si>
    <t>Right leg knee</t>
  </si>
  <si>
    <t>wrist</t>
  </si>
  <si>
    <t>bottom of lower back</t>
  </si>
  <si>
    <t>Upper back / neck</t>
  </si>
  <si>
    <t>UPPER BACKAND NECK</t>
  </si>
  <si>
    <t>Right leg above knee Approximately the size of a 20 cent coin</t>
  </si>
  <si>
    <t>LHS head towards the back and side</t>
  </si>
  <si>
    <t>Left bank ankle</t>
  </si>
  <si>
    <t>back_hand_right,front_hand_right</t>
  </si>
  <si>
    <t>Left foot (Front)</t>
  </si>
  <si>
    <t>Property Injury</t>
  </si>
  <si>
    <t>Middle finger on left hand</t>
  </si>
  <si>
    <t>Right side head</t>
  </si>
  <si>
    <t>Right Foot</t>
  </si>
  <si>
    <t>Hit-Falling Object, Impact/Knock, Manual handling</t>
  </si>
  <si>
    <t>Back of the head.</t>
  </si>
  <si>
    <t>back_hips_knees,front_hips_knees</t>
  </si>
  <si>
    <t>left thigh</t>
  </si>
  <si>
    <t>Impact/Knock, Product Damage</t>
  </si>
  <si>
    <t>right hand index finger</t>
  </si>
  <si>
    <t>Middle to lower back</t>
  </si>
  <si>
    <t>front_hips_knees,back_hips_knees</t>
  </si>
  <si>
    <t>left leg knee</t>
  </si>
  <si>
    <t>Right foot (front) and Right foot (back)</t>
  </si>
  <si>
    <t>right ankle</t>
  </si>
  <si>
    <t>Hit-Moving object, Impact/Knock</t>
  </si>
  <si>
    <t>front_foot_right,back_foot_right</t>
  </si>
  <si>
    <t>Right foot</t>
  </si>
  <si>
    <t>Vehicle Accident, Other</t>
  </si>
  <si>
    <t>below right knees</t>
  </si>
  <si>
    <t>Right Ankle/Lower leg</t>
  </si>
  <si>
    <t>Left thigh front</t>
  </si>
  <si>
    <t>Right Shin</t>
  </si>
  <si>
    <t>back_upperback_neck</t>
  </si>
  <si>
    <t>Back</t>
  </si>
  <si>
    <t>front_hand_right,back_hand_right</t>
  </si>
  <si>
    <t>Hand / wrist / cartridge</t>
  </si>
  <si>
    <t>middle of lower back</t>
  </si>
  <si>
    <t>left eye</t>
  </si>
  <si>
    <t>Product Damage</t>
  </si>
  <si>
    <t>Abdomen (front)</t>
  </si>
  <si>
    <t>Left hip</t>
  </si>
  <si>
    <t>Mental Health</t>
  </si>
  <si>
    <t>Injured employees</t>
  </si>
  <si>
    <t>KALIOPI KATHOPOULIS</t>
  </si>
  <si>
    <t>KAYLANI MARTIN-BUTTIGIEG</t>
  </si>
  <si>
    <t>JYOTI JYOTI</t>
  </si>
  <si>
    <t>NAMONKOAH NIPOE</t>
  </si>
  <si>
    <t>ELIZABETH POPPLETON</t>
  </si>
  <si>
    <t>KEITH SURRAO</t>
  </si>
  <si>
    <t>DEVANG PRAJAPATI</t>
  </si>
  <si>
    <t>FATHIMA WAZEER</t>
  </si>
  <si>
    <t>GIUSEPPE CASTELLO</t>
  </si>
  <si>
    <t>GAGANDEEP KAUR</t>
  </si>
  <si>
    <t>KEITH WILLIAMS</t>
  </si>
  <si>
    <t>SONALBEN PAREKH</t>
  </si>
  <si>
    <t>DALJIT KAUR</t>
  </si>
  <si>
    <t>KARL SAN JOSE</t>
  </si>
  <si>
    <t>NINDA TRIANTY</t>
  </si>
  <si>
    <t>NATHAN HUYNH</t>
  </si>
  <si>
    <t>DENNY VETEHA</t>
  </si>
  <si>
    <t>DANIEL KUOL</t>
  </si>
  <si>
    <t>ALVIN CHAND</t>
  </si>
  <si>
    <t>MODITHA RANAHANSA PEDURU ARACHCHIGE</t>
  </si>
  <si>
    <t>SINAPATI REUPENA</t>
  </si>
  <si>
    <t>AGUM GUEM</t>
  </si>
  <si>
    <t>JOVARN BUSH</t>
  </si>
  <si>
    <t>SERGIO MU</t>
  </si>
  <si>
    <t>ABDUL RAOOF MOHAMMED</t>
  </si>
  <si>
    <t>RAYMOND VELLA</t>
  </si>
  <si>
    <t>IVAN KACUNIC</t>
  </si>
  <si>
    <t>ZAIN CHATTHA</t>
  </si>
  <si>
    <t>CHARLES WOL</t>
  </si>
  <si>
    <t>PIYUSH BUDHRAJA</t>
  </si>
  <si>
    <t>(All)</t>
  </si>
  <si>
    <t>Other materials and objects</t>
  </si>
  <si>
    <t>Road transport</t>
  </si>
  <si>
    <t>INC12783</t>
  </si>
  <si>
    <t>The items in the truck were not secured, once the wind picked up the item flew out and nearly hit the forklift driver in the head.</t>
  </si>
  <si>
    <t>INC12862</t>
  </si>
  <si>
    <t>The container driver had his truck lifted too high, so whilst he was backing into the dock he went through the roller door slightly.  The reason this happened was because, the container didn't align with the rubber stoppers on every container dock, causing him to not know when to stop.  This incident caused damage to the hinges that kept the roller door in place.</t>
  </si>
  <si>
    <t>INC12905</t>
  </si>
  <si>
    <t>FALEALAGO KOLIO</t>
  </si>
  <si>
    <t xml:space="preserve">While collecting the floor mats to be thrown out, the team member hit the right elbow on the top of the bin. The team member  then kept cleaning and informed his supervisor at 9:30am before first break. After the break the team member informed the supervisor that he wanted to keep cleaning and leave after the job was completed. At 11:00am the supervisor noticed that they were using a broom with 1 hand. Supervisor has then said to team member we will go fill out the incident report so the team member can go home. </t>
  </si>
  <si>
    <t>INC12950</t>
  </si>
  <si>
    <t>Around 11.30 AM container truck driver reverse the truck and hit the pole at the entry gate.</t>
  </si>
  <si>
    <t>INC13002</t>
  </si>
  <si>
    <t>Moditha was stacking pallet for S120 when Charles came next to him. Charles was using an electric pallet jack which hit Moditha's picking pallet. The corner of the pallet hit Moditha's left leg (calf) and he had to sit down at the spot as he was feeling a terrible pain.</t>
  </si>
  <si>
    <t>INC13008</t>
  </si>
  <si>
    <t>Foot Got stuck under a pallet.</t>
  </si>
  <si>
    <t>INC13060</t>
  </si>
  <si>
    <t>Casual staff member was on the high reach moving pallets from the racks, team member cut though the wrapping area and hit the support beam that is on a angle near A2 vent.</t>
  </si>
  <si>
    <t/>
  </si>
  <si>
    <t>thnub</t>
  </si>
  <si>
    <t>NA</t>
  </si>
  <si>
    <t>face - glasses</t>
  </si>
  <si>
    <t>lips</t>
  </si>
  <si>
    <t>head</t>
  </si>
  <si>
    <t>eyes</t>
  </si>
  <si>
    <t>N/A</t>
  </si>
  <si>
    <t>only door damage no injury</t>
  </si>
  <si>
    <t>NONE</t>
  </si>
  <si>
    <t>NO</t>
  </si>
  <si>
    <t>None</t>
  </si>
  <si>
    <t>No injury</t>
  </si>
  <si>
    <t>some irritation to the right eye</t>
  </si>
  <si>
    <t>No Injury, Only property dammage.</t>
  </si>
  <si>
    <t>Left index finger nail</t>
  </si>
  <si>
    <t>none</t>
  </si>
  <si>
    <t>NIL</t>
  </si>
  <si>
    <t>nothing</t>
  </si>
  <si>
    <t>No Injury.</t>
  </si>
  <si>
    <t>right elbow</t>
  </si>
  <si>
    <t>Right Calf</t>
  </si>
  <si>
    <t>Top of Right Foot.</t>
  </si>
  <si>
    <t>Other powered equipment, tools and appliances</t>
  </si>
  <si>
    <t>Conveyor and lifting plant</t>
  </si>
  <si>
    <t>Other plant equipment</t>
  </si>
  <si>
    <t>Chemical products</t>
  </si>
  <si>
    <t>Other mobile plant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</si>
</sst>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0"/>
      <color theme="1"/>
      <name val="Aptos Narrow"/>
      <family val="2"/>
      <scheme val="minor"/>
    </font>
    <font>
      <sz val="9"/>
      <color indexed="81"/>
      <name val="Tahoma"/>
      <family val="2"/>
    </font>
    <font>
      <b/>
      <sz val="9"/>
      <color indexed="81"/>
      <name val="Tahoma"/>
      <family val="2"/>
    </font>
    <font>
      <b/>
      <sz val="11"/>
      <color rgb="FFFF0000"/>
      <name val="Aptos Narrow"/>
      <family val="2"/>
      <scheme val="minor"/>
    </font>
    <font>
      <sz val="10"/>
      <color theme="1"/>
      <name val="Aptos Narrow"/>
      <family val="2"/>
      <scheme val="minor"/>
    </font>
    <font>
      <sz val="10"/>
      <color rgb="FFFF0000"/>
      <name val="Aptos Narrow"/>
      <family val="2"/>
      <scheme val="minor"/>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0" tint="-0.249977111117893"/>
        <bgColor indexed="64"/>
      </patternFill>
    </fill>
    <fill>
      <patternFill patternType="solid">
        <fgColor rgb="FFBDD7EE"/>
        <bgColor indexed="64"/>
      </patternFill>
    </fill>
    <fill>
      <patternFill patternType="solid">
        <fgColor theme="7" tint="0.59999389629810485"/>
        <bgColor indexed="64"/>
      </patternFill>
    </fill>
    <fill>
      <patternFill patternType="solid">
        <fgColor theme="4" tint="0.39997558519241921"/>
        <bgColor indexed="64"/>
      </patternFill>
    </fill>
    <fill>
      <patternFill patternType="solid">
        <fgColor theme="3" tint="0.499984740745262"/>
        <bgColor indexed="64"/>
      </patternFill>
    </fill>
    <fill>
      <patternFill patternType="solid">
        <fgColor theme="5"/>
        <bgColor indexed="64"/>
      </patternFill>
    </fill>
    <fill>
      <patternFill patternType="solid">
        <fgColor rgb="FF70AD47"/>
        <bgColor indexed="64"/>
      </patternFill>
    </fill>
    <fill>
      <patternFill patternType="solid">
        <fgColor theme="0" tint="-0.14999847407452621"/>
        <bgColor indexed="64"/>
      </patternFill>
    </fill>
    <fill>
      <patternFill patternType="solid">
        <fgColor theme="0"/>
        <bgColor indexed="64"/>
      </patternFill>
    </fill>
    <fill>
      <patternFill patternType="solid">
        <fgColor theme="3" tint="0.89999084444715716"/>
        <bgColor indexed="64"/>
      </patternFill>
    </fill>
    <fill>
      <patternFill patternType="solid">
        <fgColor rgb="FFFFC000"/>
        <bgColor indexed="64"/>
      </patternFill>
    </fill>
  </fills>
  <borders count="4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5">
    <xf numFmtId="0" fontId="0" fillId="0" borderId="0" xfId="0"/>
    <xf numFmtId="14" fontId="0" fillId="0" borderId="0" xfId="0" applyNumberFormat="1"/>
    <xf numFmtId="0" fontId="0" fillId="0" borderId="0" xfId="0" applyAlignment="1">
      <alignment horizontal="right"/>
    </xf>
    <xf numFmtId="0" fontId="0" fillId="33" borderId="0" xfId="0" applyFill="1"/>
    <xf numFmtId="0" fontId="18" fillId="34" borderId="10" xfId="0" applyFont="1" applyFill="1" applyBorder="1" applyAlignment="1">
      <alignment horizontal="center" vertical="center" wrapText="1"/>
    </xf>
    <xf numFmtId="0" fontId="0" fillId="35" borderId="16" xfId="0" applyFill="1" applyBorder="1" applyAlignment="1">
      <alignment horizontal="center"/>
    </xf>
    <xf numFmtId="0" fontId="0" fillId="36" borderId="16" xfId="0" applyFill="1" applyBorder="1" applyAlignment="1">
      <alignment horizontal="center"/>
    </xf>
    <xf numFmtId="0" fontId="0" fillId="0" borderId="0" xfId="0" applyAlignment="1">
      <alignment horizontal="left"/>
    </xf>
    <xf numFmtId="0" fontId="0" fillId="35" borderId="18" xfId="0" applyFill="1" applyBorder="1" applyAlignment="1">
      <alignment horizontal="center"/>
    </xf>
    <xf numFmtId="0" fontId="18" fillId="34" borderId="16" xfId="0" applyFont="1" applyFill="1" applyBorder="1" applyAlignment="1">
      <alignment horizontal="center" vertical="center" wrapText="1"/>
    </xf>
    <xf numFmtId="0" fontId="16" fillId="37" borderId="19" xfId="0" applyFont="1" applyFill="1" applyBorder="1" applyAlignment="1">
      <alignment horizontal="center"/>
    </xf>
    <xf numFmtId="0" fontId="0" fillId="0" borderId="16" xfId="0" applyBorder="1"/>
    <xf numFmtId="0" fontId="0" fillId="0" borderId="22" xfId="0" applyBorder="1"/>
    <xf numFmtId="0" fontId="0" fillId="0" borderId="23" xfId="0" applyBorder="1"/>
    <xf numFmtId="0" fontId="0" fillId="0" borderId="16"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34" borderId="16" xfId="0" applyFill="1" applyBorder="1" applyAlignment="1">
      <alignment horizontal="center"/>
    </xf>
    <xf numFmtId="0" fontId="0" fillId="34" borderId="20" xfId="0" applyFill="1" applyBorder="1" applyAlignment="1">
      <alignment horizontal="center"/>
    </xf>
    <xf numFmtId="0" fontId="0" fillId="34" borderId="21" xfId="0" applyFill="1" applyBorder="1" applyAlignment="1">
      <alignment horizontal="center"/>
    </xf>
    <xf numFmtId="0" fontId="0" fillId="0" borderId="0" xfId="0" pivotButton="1"/>
    <xf numFmtId="0" fontId="0" fillId="0" borderId="17" xfId="0" applyBorder="1" applyAlignment="1">
      <alignment horizontal="center"/>
    </xf>
    <xf numFmtId="0" fontId="16" fillId="38" borderId="16" xfId="0" applyFont="1" applyFill="1" applyBorder="1" applyAlignment="1">
      <alignment horizontal="center"/>
    </xf>
    <xf numFmtId="0" fontId="16" fillId="39" borderId="16" xfId="0" applyFont="1" applyFill="1" applyBorder="1" applyAlignment="1">
      <alignment horizontal="center"/>
    </xf>
    <xf numFmtId="0" fontId="16" fillId="40" borderId="16" xfId="0" applyFont="1" applyFill="1" applyBorder="1" applyAlignment="1">
      <alignment horizontal="center"/>
    </xf>
    <xf numFmtId="0" fontId="21" fillId="41" borderId="0" xfId="0" applyFont="1" applyFill="1"/>
    <xf numFmtId="0" fontId="16" fillId="34" borderId="13" xfId="0" applyFont="1" applyFill="1" applyBorder="1" applyAlignment="1">
      <alignment horizontal="center" vertical="center" textRotation="90" wrapText="1"/>
    </xf>
    <xf numFmtId="0" fontId="0" fillId="42" borderId="24" xfId="0" applyFill="1" applyBorder="1"/>
    <xf numFmtId="0" fontId="0" fillId="42" borderId="25" xfId="0" applyFill="1" applyBorder="1"/>
    <xf numFmtId="0" fontId="0" fillId="42" borderId="18" xfId="0" applyFill="1" applyBorder="1"/>
    <xf numFmtId="0" fontId="0" fillId="42" borderId="26" xfId="0" applyFill="1" applyBorder="1"/>
    <xf numFmtId="0" fontId="0" fillId="42" borderId="0" xfId="0" applyFill="1"/>
    <xf numFmtId="0" fontId="0" fillId="42" borderId="27" xfId="0" applyFill="1" applyBorder="1"/>
    <xf numFmtId="0" fontId="0" fillId="42" borderId="14" xfId="0" applyFill="1" applyBorder="1"/>
    <xf numFmtId="0" fontId="22" fillId="42" borderId="15" xfId="0" applyFont="1" applyFill="1" applyBorder="1"/>
    <xf numFmtId="0" fontId="0" fillId="42" borderId="15" xfId="0" applyFill="1" applyBorder="1"/>
    <xf numFmtId="0" fontId="0" fillId="42" borderId="28" xfId="0" applyFill="1" applyBorder="1"/>
    <xf numFmtId="0" fontId="0" fillId="34" borderId="10" xfId="0" applyFill="1" applyBorder="1" applyAlignment="1">
      <alignment horizontal="center"/>
    </xf>
    <xf numFmtId="0" fontId="0" fillId="0" borderId="29" xfId="0" applyBorder="1" applyAlignment="1">
      <alignment horizontal="center"/>
    </xf>
    <xf numFmtId="0" fontId="0" fillId="34" borderId="29" xfId="0" applyFill="1" applyBorder="1" applyAlignment="1">
      <alignment horizontal="center"/>
    </xf>
    <xf numFmtId="0" fontId="0" fillId="0" borderId="12" xfId="0" applyBorder="1"/>
    <xf numFmtId="0" fontId="16" fillId="0" borderId="0" xfId="0" applyFont="1"/>
    <xf numFmtId="0" fontId="16" fillId="34" borderId="10" xfId="0" applyFont="1" applyFill="1" applyBorder="1" applyAlignment="1">
      <alignment horizontal="center" vertical="center" wrapText="1"/>
    </xf>
    <xf numFmtId="0" fontId="16" fillId="34" borderId="11" xfId="0" applyFont="1" applyFill="1" applyBorder="1" applyAlignment="1">
      <alignment horizontal="center" vertical="center" wrapText="1"/>
    </xf>
    <xf numFmtId="0" fontId="0" fillId="0" borderId="18" xfId="0" applyBorder="1" applyAlignment="1">
      <alignment horizontal="center"/>
    </xf>
    <xf numFmtId="0" fontId="0" fillId="0" borderId="27" xfId="0" applyBorder="1" applyAlignment="1">
      <alignment horizontal="center"/>
    </xf>
    <xf numFmtId="0" fontId="0" fillId="0" borderId="30" xfId="0" applyBorder="1"/>
    <xf numFmtId="0" fontId="0" fillId="0" borderId="25" xfId="0" applyBorder="1"/>
    <xf numFmtId="0" fontId="0" fillId="0" borderId="28" xfId="0" applyBorder="1" applyAlignment="1">
      <alignment horizontal="center"/>
    </xf>
    <xf numFmtId="0" fontId="16" fillId="34" borderId="10" xfId="0" applyFont="1" applyFill="1" applyBorder="1" applyAlignment="1">
      <alignment horizontal="center"/>
    </xf>
    <xf numFmtId="0" fontId="0" fillId="42" borderId="16" xfId="0" applyFill="1" applyBorder="1"/>
    <xf numFmtId="0" fontId="0" fillId="42" borderId="17" xfId="0" applyFill="1" applyBorder="1" applyAlignment="1">
      <alignment horizontal="center"/>
    </xf>
    <xf numFmtId="0" fontId="0" fillId="42" borderId="22" xfId="0" applyFill="1" applyBorder="1"/>
    <xf numFmtId="0" fontId="0" fillId="42" borderId="23" xfId="0" applyFill="1" applyBorder="1"/>
    <xf numFmtId="0" fontId="18" fillId="43" borderId="10" xfId="0" applyFont="1" applyFill="1" applyBorder="1" applyAlignment="1">
      <alignment horizontal="center" vertical="center" wrapText="1"/>
    </xf>
    <xf numFmtId="0" fontId="18" fillId="43" borderId="16" xfId="0" applyFont="1" applyFill="1" applyBorder="1" applyAlignment="1">
      <alignment horizontal="center" vertical="center" wrapText="1"/>
    </xf>
    <xf numFmtId="0" fontId="16" fillId="34" borderId="10" xfId="0" applyFont="1" applyFill="1" applyBorder="1"/>
    <xf numFmtId="0" fontId="0" fillId="44" borderId="0" xfId="0" applyFill="1"/>
    <xf numFmtId="14" fontId="0" fillId="0" borderId="0" xfId="0" applyNumberFormat="1" applyAlignment="1">
      <alignment horizontal="left"/>
    </xf>
    <xf numFmtId="0" fontId="16" fillId="0" borderId="23" xfId="0" applyFont="1" applyBorder="1"/>
    <xf numFmtId="0" fontId="0" fillId="0" borderId="19" xfId="0" applyBorder="1" applyAlignment="1">
      <alignment horizontal="center"/>
    </xf>
    <xf numFmtId="0" fontId="0" fillId="42" borderId="19" xfId="0" applyFill="1" applyBorder="1" applyAlignment="1">
      <alignment horizontal="center"/>
    </xf>
    <xf numFmtId="0" fontId="16" fillId="42" borderId="10" xfId="0" applyFont="1" applyFill="1" applyBorder="1"/>
    <xf numFmtId="0" fontId="0" fillId="0" borderId="37" xfId="0"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0" fontId="0" fillId="0" borderId="40" xfId="0" applyBorder="1" applyAlignment="1">
      <alignment horizontal="center"/>
    </xf>
    <xf numFmtId="0" fontId="16" fillId="0" borderId="31" xfId="0" applyFont="1" applyBorder="1" applyAlignment="1">
      <alignment horizontal="center"/>
    </xf>
    <xf numFmtId="0" fontId="16" fillId="0" borderId="32" xfId="0" applyFont="1" applyBorder="1" applyAlignment="1">
      <alignment horizontal="center"/>
    </xf>
    <xf numFmtId="0" fontId="16" fillId="0" borderId="33" xfId="0" applyFont="1" applyBorder="1" applyAlignment="1">
      <alignment horizontal="center"/>
    </xf>
    <xf numFmtId="0" fontId="0" fillId="42" borderId="37" xfId="0" applyFill="1" applyBorder="1" applyAlignment="1">
      <alignment horizontal="center"/>
    </xf>
    <xf numFmtId="0" fontId="0" fillId="42" borderId="38" xfId="0" applyFill="1" applyBorder="1" applyAlignment="1">
      <alignment horizontal="center"/>
    </xf>
    <xf numFmtId="0" fontId="0" fillId="42" borderId="39" xfId="0" applyFill="1" applyBorder="1" applyAlignment="1">
      <alignment horizontal="center"/>
    </xf>
    <xf numFmtId="0" fontId="0" fillId="42" borderId="40" xfId="0" applyFill="1" applyBorder="1" applyAlignment="1">
      <alignment horizontal="center"/>
    </xf>
    <xf numFmtId="0" fontId="16" fillId="42" borderId="31" xfId="0" applyFont="1" applyFill="1" applyBorder="1" applyAlignment="1">
      <alignment horizontal="center"/>
    </xf>
    <xf numFmtId="0" fontId="16" fillId="42" borderId="32" xfId="0" applyFont="1" applyFill="1" applyBorder="1" applyAlignment="1">
      <alignment horizontal="center"/>
    </xf>
    <xf numFmtId="0" fontId="16" fillId="42" borderId="33" xfId="0" applyFont="1" applyFill="1" applyBorder="1" applyAlignment="1">
      <alignment horizontal="center"/>
    </xf>
    <xf numFmtId="0" fontId="16" fillId="43" borderId="39" xfId="0" applyFont="1" applyFill="1" applyBorder="1" applyAlignment="1">
      <alignment horizontal="center"/>
    </xf>
    <xf numFmtId="0" fontId="16" fillId="43" borderId="19" xfId="0" applyFont="1" applyFill="1" applyBorder="1" applyAlignment="1">
      <alignment horizontal="center"/>
    </xf>
    <xf numFmtId="0" fontId="16" fillId="43" borderId="40" xfId="0" applyFont="1" applyFill="1" applyBorder="1" applyAlignment="1">
      <alignment horizontal="center"/>
    </xf>
    <xf numFmtId="0" fontId="0" fillId="42" borderId="41" xfId="0" applyFill="1" applyBorder="1" applyAlignment="1">
      <alignment horizontal="center"/>
    </xf>
    <xf numFmtId="0" fontId="0" fillId="42" borderId="42" xfId="0" applyFill="1" applyBorder="1" applyAlignment="1">
      <alignment horizontal="center"/>
    </xf>
    <xf numFmtId="0" fontId="0" fillId="42" borderId="43" xfId="0" applyFill="1" applyBorder="1" applyAlignment="1">
      <alignment horizontal="center"/>
    </xf>
    <xf numFmtId="0" fontId="16" fillId="43" borderId="10" xfId="0" applyFont="1" applyFill="1" applyBorder="1" applyAlignment="1">
      <alignment horizontal="center"/>
    </xf>
    <xf numFmtId="0" fontId="16" fillId="43" borderId="10" xfId="0" applyFont="1" applyFill="1" applyBorder="1" applyAlignment="1">
      <alignment horizontal="center" vertical="center"/>
    </xf>
    <xf numFmtId="0" fontId="16" fillId="34" borderId="39" xfId="0" applyFont="1" applyFill="1" applyBorder="1" applyAlignment="1">
      <alignment horizontal="center"/>
    </xf>
    <xf numFmtId="0" fontId="16" fillId="34" borderId="19" xfId="0" applyFont="1" applyFill="1" applyBorder="1" applyAlignment="1">
      <alignment horizontal="center"/>
    </xf>
    <xf numFmtId="0" fontId="16" fillId="34" borderId="40" xfId="0" applyFont="1" applyFill="1" applyBorder="1" applyAlignment="1">
      <alignment horizontal="center"/>
    </xf>
    <xf numFmtId="0" fontId="16" fillId="38" borderId="39" xfId="0" applyFont="1" applyFill="1" applyBorder="1" applyAlignment="1">
      <alignment horizontal="center"/>
    </xf>
    <xf numFmtId="0" fontId="16" fillId="38" borderId="19" xfId="0" applyFont="1" applyFill="1" applyBorder="1" applyAlignment="1">
      <alignment horizontal="center"/>
    </xf>
    <xf numFmtId="0" fontId="16" fillId="38" borderId="40" xfId="0" applyFont="1" applyFill="1" applyBorder="1" applyAlignment="1">
      <alignment horizontal="center"/>
    </xf>
    <xf numFmtId="0" fontId="16" fillId="39" borderId="39" xfId="0" applyFont="1" applyFill="1" applyBorder="1" applyAlignment="1">
      <alignment horizontal="center"/>
    </xf>
    <xf numFmtId="0" fontId="16" fillId="39" borderId="19" xfId="0" applyFont="1" applyFill="1" applyBorder="1" applyAlignment="1">
      <alignment horizontal="center"/>
    </xf>
    <xf numFmtId="0" fontId="16" fillId="39" borderId="40" xfId="0" applyFont="1" applyFill="1" applyBorder="1" applyAlignment="1">
      <alignment horizontal="center"/>
    </xf>
    <xf numFmtId="0" fontId="16" fillId="40" borderId="39" xfId="0" applyFont="1" applyFill="1" applyBorder="1" applyAlignment="1">
      <alignment horizontal="center"/>
    </xf>
    <xf numFmtId="0" fontId="16" fillId="40" borderId="19" xfId="0" applyFont="1" applyFill="1" applyBorder="1" applyAlignment="1">
      <alignment horizontal="center"/>
    </xf>
    <xf numFmtId="0" fontId="16" fillId="40" borderId="40" xfId="0" applyFont="1" applyFill="1" applyBorder="1" applyAlignment="1">
      <alignment horizontal="center"/>
    </xf>
    <xf numFmtId="0" fontId="0" fillId="0" borderId="41" xfId="0" applyBorder="1" applyAlignment="1">
      <alignment horizontal="center"/>
    </xf>
    <xf numFmtId="0" fontId="0" fillId="0" borderId="42" xfId="0" applyBorder="1" applyAlignment="1">
      <alignment horizontal="center"/>
    </xf>
    <xf numFmtId="0" fontId="0" fillId="0" borderId="43" xfId="0" applyBorder="1" applyAlignment="1">
      <alignment horizontal="center"/>
    </xf>
    <xf numFmtId="0" fontId="16" fillId="34" borderId="44" xfId="0" applyFont="1" applyFill="1" applyBorder="1" applyAlignment="1">
      <alignment horizontal="center" vertical="center"/>
    </xf>
    <xf numFmtId="0" fontId="16" fillId="34" borderId="10" xfId="0" applyFont="1" applyFill="1" applyBorder="1" applyAlignment="1">
      <alignment horizontal="center" vertical="center"/>
    </xf>
    <xf numFmtId="0" fontId="16" fillId="38" borderId="10" xfId="0" applyFont="1" applyFill="1" applyBorder="1" applyAlignment="1">
      <alignment horizontal="center"/>
    </xf>
    <xf numFmtId="0" fontId="16" fillId="38" borderId="10" xfId="0" applyFont="1" applyFill="1" applyBorder="1" applyAlignment="1">
      <alignment horizontal="center" vertical="center"/>
    </xf>
    <xf numFmtId="0" fontId="16" fillId="39" borderId="10" xfId="0" applyFont="1" applyFill="1" applyBorder="1" applyAlignment="1">
      <alignment horizontal="center"/>
    </xf>
    <xf numFmtId="0" fontId="16" fillId="39" borderId="10" xfId="0" applyFont="1" applyFill="1" applyBorder="1" applyAlignment="1">
      <alignment horizontal="center" vertical="center"/>
    </xf>
    <xf numFmtId="0" fontId="16" fillId="40" borderId="10" xfId="0" applyFont="1" applyFill="1" applyBorder="1" applyAlignment="1">
      <alignment horizontal="center"/>
    </xf>
    <xf numFmtId="0" fontId="16" fillId="40" borderId="10" xfId="0" applyFont="1" applyFill="1" applyBorder="1" applyAlignment="1">
      <alignment horizontal="center" vertical="center"/>
    </xf>
    <xf numFmtId="0" fontId="16" fillId="40" borderId="10" xfId="0" applyFont="1" applyFill="1" applyBorder="1" applyAlignment="1">
      <alignment horizontal="center"/>
    </xf>
    <xf numFmtId="0" fontId="16" fillId="39" borderId="34" xfId="0" applyFont="1" applyFill="1" applyBorder="1" applyAlignment="1">
      <alignment horizontal="center"/>
    </xf>
    <xf numFmtId="0" fontId="16" fillId="39" borderId="35" xfId="0" applyFont="1" applyFill="1" applyBorder="1" applyAlignment="1">
      <alignment horizontal="center"/>
    </xf>
    <xf numFmtId="0" fontId="16" fillId="39" borderId="36" xfId="0" applyFont="1" applyFill="1" applyBorder="1" applyAlignment="1">
      <alignment horizontal="center"/>
    </xf>
    <xf numFmtId="0" fontId="16" fillId="39" borderId="10" xfId="0" applyFont="1" applyFill="1" applyBorder="1" applyAlignment="1">
      <alignment horizontal="center"/>
    </xf>
    <xf numFmtId="0" fontId="16" fillId="40" borderId="34" xfId="0" applyFont="1" applyFill="1" applyBorder="1" applyAlignment="1">
      <alignment horizontal="center"/>
    </xf>
    <xf numFmtId="0" fontId="16" fillId="40" borderId="35" xfId="0" applyFont="1" applyFill="1" applyBorder="1" applyAlignment="1">
      <alignment horizontal="center"/>
    </xf>
    <xf numFmtId="0" fontId="16" fillId="40" borderId="36" xfId="0" applyFont="1" applyFill="1" applyBorder="1" applyAlignment="1">
      <alignment horizontal="center"/>
    </xf>
    <xf numFmtId="0" fontId="16" fillId="38" borderId="34" xfId="0" applyFont="1" applyFill="1" applyBorder="1" applyAlignment="1">
      <alignment horizontal="center"/>
    </xf>
    <xf numFmtId="0" fontId="16" fillId="38" borderId="35" xfId="0" applyFont="1" applyFill="1" applyBorder="1" applyAlignment="1">
      <alignment horizontal="center"/>
    </xf>
    <xf numFmtId="0" fontId="16" fillId="38" borderId="36" xfId="0" applyFont="1" applyFill="1" applyBorder="1" applyAlignment="1">
      <alignment horizontal="center"/>
    </xf>
    <xf numFmtId="0" fontId="16" fillId="38" borderId="10" xfId="0" applyFont="1" applyFill="1" applyBorder="1" applyAlignment="1">
      <alignment horizontal="center"/>
    </xf>
    <xf numFmtId="0" fontId="16" fillId="34" borderId="34" xfId="0" applyFont="1" applyFill="1" applyBorder="1" applyAlignment="1">
      <alignment horizontal="center"/>
    </xf>
    <xf numFmtId="0" fontId="16" fillId="34" borderId="35" xfId="0" applyFont="1" applyFill="1" applyBorder="1" applyAlignment="1">
      <alignment horizontal="center"/>
    </xf>
    <xf numFmtId="0" fontId="16" fillId="34" borderId="36" xfId="0" applyFont="1" applyFill="1" applyBorder="1" applyAlignment="1">
      <alignment horizontal="center"/>
    </xf>
    <xf numFmtId="0" fontId="16" fillId="34" borderId="10" xfId="0" applyFont="1" applyFill="1" applyBorder="1" applyAlignment="1">
      <alignment horizontal="center"/>
    </xf>
    <xf numFmtId="0" fontId="16" fillId="43" borderId="34" xfId="0" applyFont="1" applyFill="1" applyBorder="1" applyAlignment="1">
      <alignment horizontal="center"/>
    </xf>
    <xf numFmtId="0" fontId="16" fillId="43" borderId="35" xfId="0" applyFont="1" applyFill="1" applyBorder="1" applyAlignment="1">
      <alignment horizontal="center"/>
    </xf>
    <xf numFmtId="0" fontId="16" fillId="43" borderId="36" xfId="0" applyFont="1" applyFill="1" applyBorder="1" applyAlignment="1">
      <alignment horizontal="center"/>
    </xf>
    <xf numFmtId="0" fontId="16" fillId="43" borderId="10" xfId="0" applyFont="1" applyFill="1" applyBorder="1" applyAlignment="1">
      <alignment horizontal="center"/>
    </xf>
    <xf numFmtId="0" fontId="16" fillId="34" borderId="10" xfId="0" applyFont="1" applyFill="1" applyBorder="1" applyAlignment="1">
      <alignment horizontal="center" vertical="center" textRotation="90" wrapText="1"/>
    </xf>
    <xf numFmtId="0" fontId="16" fillId="34" borderId="13" xfId="0" applyFont="1" applyFill="1" applyBorder="1" applyAlignment="1">
      <alignment horizontal="center" vertical="center" textRotation="90" wrapText="1"/>
    </xf>
    <xf numFmtId="0" fontId="16" fillId="35" borderId="11" xfId="0" applyFont="1" applyFill="1" applyBorder="1" applyAlignment="1">
      <alignment horizontal="center"/>
    </xf>
    <xf numFmtId="0" fontId="16" fillId="35" borderId="12" xfId="0" applyFont="1" applyFill="1" applyBorder="1" applyAlignment="1">
      <alignment horizontal="center"/>
    </xf>
    <xf numFmtId="0" fontId="16" fillId="35" borderId="13" xfId="0" applyFont="1" applyFill="1" applyBorder="1" applyAlignment="1">
      <alignment horizontal="center"/>
    </xf>
    <xf numFmtId="0" fontId="16" fillId="36" borderId="14" xfId="0" applyFont="1" applyFill="1" applyBorder="1" applyAlignment="1">
      <alignment horizontal="center"/>
    </xf>
    <xf numFmtId="0" fontId="16" fillId="36" borderId="15"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numFmt numFmtId="165" formatCode="d/mm/yyyy"/>
    </dxf>
    <dxf>
      <numFmt numFmtId="165" formatCode="d/mm/yyyy"/>
    </dxf>
    <dxf>
      <alignment horizontal="right" vertical="bottom" textRotation="0" wrapText="0" indent="0" justifyLastLine="0" shrinkToFit="0" readingOrder="0"/>
    </dxf>
    <dxf>
      <alignment horizontal="right" vertical="bottom" textRotation="0" wrapText="0" indent="0" justifyLastLine="0" shrinkToFit="0" readingOrder="0"/>
    </dxf>
  </dxfs>
  <tableStyles count="0" defaultTableStyle="TableStyleMedium2" defaultPivotStyle="PivotStyleLight16"/>
  <colors>
    <mruColors>
      <color rgb="FF70AD47"/>
      <color rgb="FF4472C4"/>
      <color rgb="FFED7D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All Incident Types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4472C4"/>
            </a:solidFill>
            <a:ln>
              <a:solidFill>
                <a:srgbClr val="4472C4"/>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28575" cap="rnd">
                <a:solidFill>
                  <a:srgbClr val="FFC000"/>
                </a:solidFill>
              </a:ln>
              <a:effectLst/>
            </c:spPr>
            <c:trendlineType val="movingAvg"/>
            <c:period val="2"/>
            <c:dispRSqr val="0"/>
            <c:dispEq val="0"/>
          </c:trendline>
          <c:cat>
            <c:strRef>
              <c:f>'IT FEED - Chart'!$P$2:$AG$2</c:f>
              <c:strCache>
                <c:ptCount val="13"/>
                <c:pt idx="0">
                  <c:v>MAY, FY24</c:v>
                </c:pt>
                <c:pt idx="1">
                  <c:v>JUN, FY24</c:v>
                </c:pt>
                <c:pt idx="2">
                  <c:v>JUL, FY25</c:v>
                </c:pt>
                <c:pt idx="3">
                  <c:v>AUG, FY25</c:v>
                </c:pt>
                <c:pt idx="4">
                  <c:v>SEP, FY25</c:v>
                </c:pt>
                <c:pt idx="5">
                  <c:v>OCT, FY25</c:v>
                </c:pt>
                <c:pt idx="6">
                  <c:v>NOV, FY25</c:v>
                </c:pt>
                <c:pt idx="7">
                  <c:v>DEC, FY25</c:v>
                </c:pt>
                <c:pt idx="8">
                  <c:v>JAN, FY25</c:v>
                </c:pt>
                <c:pt idx="9">
                  <c:v>FEB, FY25</c:v>
                </c:pt>
                <c:pt idx="10">
                  <c:v>MAR, FY25</c:v>
                </c:pt>
                <c:pt idx="11">
                  <c:v>APR, FY25</c:v>
                </c:pt>
                <c:pt idx="12">
                  <c:v>MAY, FY25</c:v>
                </c:pt>
              </c:strCache>
            </c:strRef>
          </c:cat>
          <c:val>
            <c:numRef>
              <c:f>'IT FEED - Chart'!$P$6:$AG$6</c:f>
              <c:numCache>
                <c:formatCode>General</c:formatCode>
                <c:ptCount val="13"/>
                <c:pt idx="0">
                  <c:v>11</c:v>
                </c:pt>
                <c:pt idx="1">
                  <c:v>8</c:v>
                </c:pt>
                <c:pt idx="2">
                  <c:v>5</c:v>
                </c:pt>
                <c:pt idx="3">
                  <c:v>16</c:v>
                </c:pt>
                <c:pt idx="4">
                  <c:v>2</c:v>
                </c:pt>
                <c:pt idx="5">
                  <c:v>6</c:v>
                </c:pt>
                <c:pt idx="6">
                  <c:v>14</c:v>
                </c:pt>
                <c:pt idx="7">
                  <c:v>10</c:v>
                </c:pt>
                <c:pt idx="8">
                  <c:v>9</c:v>
                </c:pt>
                <c:pt idx="9">
                  <c:v>8</c:v>
                </c:pt>
                <c:pt idx="10">
                  <c:v>9</c:v>
                </c:pt>
                <c:pt idx="11">
                  <c:v>7</c:v>
                </c:pt>
                <c:pt idx="12">
                  <c:v>7</c:v>
                </c:pt>
              </c:numCache>
            </c:numRef>
          </c:val>
          <c:extLst>
            <c:ext xmlns:c16="http://schemas.microsoft.com/office/drawing/2014/chart" uri="{C3380CC4-5D6E-409C-BE32-E72D297353CC}">
              <c16:uniqueId val="{00000000-DC78-443A-834E-51A9B758FD72}"/>
            </c:ext>
          </c:extLst>
        </c:ser>
        <c:dLbls>
          <c:dLblPos val="outEnd"/>
          <c:showLegendKey val="0"/>
          <c:showVal val="1"/>
          <c:showCatName val="0"/>
          <c:showSerName val="0"/>
          <c:showPercent val="0"/>
          <c:showBubbleSize val="0"/>
        </c:dLbls>
        <c:gapWidth val="100"/>
        <c:overlap val="-24"/>
        <c:axId val="2022121535"/>
        <c:axId val="2022138335"/>
      </c:barChart>
      <c:catAx>
        <c:axId val="20221215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138335"/>
        <c:crosses val="autoZero"/>
        <c:auto val="1"/>
        <c:lblAlgn val="ctr"/>
        <c:lblOffset val="100"/>
        <c:noMultiLvlLbl val="0"/>
      </c:catAx>
      <c:valAx>
        <c:axId val="2022138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12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AU"/>
              <a:t>All Incidents</a:t>
            </a:r>
            <a:r>
              <a:rPr lang="en-AU" baseline="0"/>
              <a:t> by Brand</a:t>
            </a:r>
            <a:endParaRPr lang="en-AU"/>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AU"/>
        </a:p>
      </c:txPr>
    </c:title>
    <c:autoTitleDeleted val="0"/>
    <c:plotArea>
      <c:layout/>
      <c:barChart>
        <c:barDir val="col"/>
        <c:grouping val="stacked"/>
        <c:varyColors val="0"/>
        <c:ser>
          <c:idx val="0"/>
          <c:order val="0"/>
          <c:tx>
            <c:strRef>
              <c:f>'IT FEED - Chart'!$A$8:$A$10</c:f>
              <c:strCache>
                <c:ptCount val="1"/>
                <c:pt idx="0">
                  <c:v>Spotlight DC</c:v>
                </c:pt>
              </c:strCache>
            </c:strRef>
          </c:tx>
          <c:spPr>
            <a:solidFill>
              <a:srgbClr val="4472C4"/>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'IT FEED - Chart'!$P$2:$AG$2</c:f>
              <c:strCache>
                <c:ptCount val="13"/>
                <c:pt idx="0">
                  <c:v>MAY, FY24</c:v>
                </c:pt>
                <c:pt idx="1">
                  <c:v>JUN, FY24</c:v>
                </c:pt>
                <c:pt idx="2">
                  <c:v>JUL, FY25</c:v>
                </c:pt>
                <c:pt idx="3">
                  <c:v>AUG, FY25</c:v>
                </c:pt>
                <c:pt idx="4">
                  <c:v>SEP, FY25</c:v>
                </c:pt>
                <c:pt idx="5">
                  <c:v>OCT, FY25</c:v>
                </c:pt>
                <c:pt idx="6">
                  <c:v>NOV, FY25</c:v>
                </c:pt>
                <c:pt idx="7">
                  <c:v>DEC, FY25</c:v>
                </c:pt>
                <c:pt idx="8">
                  <c:v>JAN, FY25</c:v>
                </c:pt>
                <c:pt idx="9">
                  <c:v>FEB, FY25</c:v>
                </c:pt>
                <c:pt idx="10">
                  <c:v>MAR, FY25</c:v>
                </c:pt>
                <c:pt idx="11">
                  <c:v>APR, FY25</c:v>
                </c:pt>
                <c:pt idx="12">
                  <c:v>MAY, FY25</c:v>
                </c:pt>
              </c:strCache>
            </c:strRef>
          </c:cat>
          <c:val>
            <c:numRef>
              <c:f>'IT FEED - Chart'!$P$11:$AG$11</c:f>
              <c:numCache>
                <c:formatCode>General</c:formatCode>
                <c:ptCount val="13"/>
                <c:pt idx="0">
                  <c:v>6</c:v>
                </c:pt>
                <c:pt idx="1">
                  <c:v>6</c:v>
                </c:pt>
                <c:pt idx="2">
                  <c:v>4</c:v>
                </c:pt>
                <c:pt idx="3">
                  <c:v>12</c:v>
                </c:pt>
                <c:pt idx="4">
                  <c:v>1</c:v>
                </c:pt>
                <c:pt idx="5">
                  <c:v>5</c:v>
                </c:pt>
                <c:pt idx="6">
                  <c:v>8</c:v>
                </c:pt>
                <c:pt idx="7">
                  <c:v>7</c:v>
                </c:pt>
                <c:pt idx="8">
                  <c:v>7</c:v>
                </c:pt>
                <c:pt idx="9">
                  <c:v>5</c:v>
                </c:pt>
                <c:pt idx="10">
                  <c:v>6</c:v>
                </c:pt>
                <c:pt idx="11">
                  <c:v>5</c:v>
                </c:pt>
                <c:pt idx="12">
                  <c:v>4</c:v>
                </c:pt>
              </c:numCache>
            </c:numRef>
          </c:val>
          <c:extLst>
            <c:ext xmlns:c16="http://schemas.microsoft.com/office/drawing/2014/chart" uri="{C3380CC4-5D6E-409C-BE32-E72D297353CC}">
              <c16:uniqueId val="{00000000-DC78-443A-834E-51A9B758FD72}"/>
            </c:ext>
          </c:extLst>
        </c:ser>
        <c:ser>
          <c:idx val="1"/>
          <c:order val="1"/>
          <c:tx>
            <c:strRef>
              <c:f>'IT FEED - Chart'!$A$13:$A$15</c:f>
              <c:strCache>
                <c:ptCount val="1"/>
                <c:pt idx="0">
                  <c:v>Anaconda DC</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'IT FEED - Chart'!$P$2:$AG$2</c:f>
              <c:strCache>
                <c:ptCount val="13"/>
                <c:pt idx="0">
                  <c:v>MAY, FY24</c:v>
                </c:pt>
                <c:pt idx="1">
                  <c:v>JUN, FY24</c:v>
                </c:pt>
                <c:pt idx="2">
                  <c:v>JUL, FY25</c:v>
                </c:pt>
                <c:pt idx="3">
                  <c:v>AUG, FY25</c:v>
                </c:pt>
                <c:pt idx="4">
                  <c:v>SEP, FY25</c:v>
                </c:pt>
                <c:pt idx="5">
                  <c:v>OCT, FY25</c:v>
                </c:pt>
                <c:pt idx="6">
                  <c:v>NOV, FY25</c:v>
                </c:pt>
                <c:pt idx="7">
                  <c:v>DEC, FY25</c:v>
                </c:pt>
                <c:pt idx="8">
                  <c:v>JAN, FY25</c:v>
                </c:pt>
                <c:pt idx="9">
                  <c:v>FEB, FY25</c:v>
                </c:pt>
                <c:pt idx="10">
                  <c:v>MAR, FY25</c:v>
                </c:pt>
                <c:pt idx="11">
                  <c:v>APR, FY25</c:v>
                </c:pt>
                <c:pt idx="12">
                  <c:v>MAY, FY25</c:v>
                </c:pt>
              </c:strCache>
            </c:strRef>
          </c:cat>
          <c:val>
            <c:numRef>
              <c:f>'IT FEED - Chart'!$P$16:$AG$16</c:f>
              <c:numCache>
                <c:formatCode>General</c:formatCode>
                <c:ptCount val="13"/>
                <c:pt idx="0">
                  <c:v>1</c:v>
                </c:pt>
                <c:pt idx="1">
                  <c:v>1</c:v>
                </c:pt>
                <c:pt idx="2">
                  <c:v>1</c:v>
                </c:pt>
                <c:pt idx="3">
                  <c:v>1</c:v>
                </c:pt>
                <c:pt idx="4">
                  <c:v>1</c:v>
                </c:pt>
                <c:pt idx="5">
                  <c:v>1</c:v>
                </c:pt>
                <c:pt idx="6">
                  <c:v>4</c:v>
                </c:pt>
                <c:pt idx="7">
                  <c:v>0</c:v>
                </c:pt>
                <c:pt idx="8">
                  <c:v>2</c:v>
                </c:pt>
                <c:pt idx="9">
                  <c:v>1</c:v>
                </c:pt>
                <c:pt idx="10">
                  <c:v>0</c:v>
                </c:pt>
                <c:pt idx="11">
                  <c:v>0</c:v>
                </c:pt>
                <c:pt idx="12">
                  <c:v>1</c:v>
                </c:pt>
              </c:numCache>
            </c:numRef>
          </c:val>
          <c:extLst>
            <c:ext xmlns:c16="http://schemas.microsoft.com/office/drawing/2014/chart" uri="{C3380CC4-5D6E-409C-BE32-E72D297353CC}">
              <c16:uniqueId val="{00000000-3CB9-4A5B-969C-8F77A0DEE6E9}"/>
            </c:ext>
          </c:extLst>
        </c:ser>
        <c:ser>
          <c:idx val="2"/>
          <c:order val="2"/>
          <c:tx>
            <c:strRef>
              <c:f>'IT FEED - Chart'!$A$18:$A$20</c:f>
              <c:strCache>
                <c:ptCount val="1"/>
                <c:pt idx="0">
                  <c:v>Harris Scarfe DC</c:v>
                </c:pt>
              </c:strCache>
            </c:strRef>
          </c:tx>
          <c:spPr>
            <a:solidFill>
              <a:srgbClr val="70AD47"/>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'IT FEED - Chart'!$P$2:$AG$2</c:f>
              <c:strCache>
                <c:ptCount val="13"/>
                <c:pt idx="0">
                  <c:v>MAY, FY24</c:v>
                </c:pt>
                <c:pt idx="1">
                  <c:v>JUN, FY24</c:v>
                </c:pt>
                <c:pt idx="2">
                  <c:v>JUL, FY25</c:v>
                </c:pt>
                <c:pt idx="3">
                  <c:v>AUG, FY25</c:v>
                </c:pt>
                <c:pt idx="4">
                  <c:v>SEP, FY25</c:v>
                </c:pt>
                <c:pt idx="5">
                  <c:v>OCT, FY25</c:v>
                </c:pt>
                <c:pt idx="6">
                  <c:v>NOV, FY25</c:v>
                </c:pt>
                <c:pt idx="7">
                  <c:v>DEC, FY25</c:v>
                </c:pt>
                <c:pt idx="8">
                  <c:v>JAN, FY25</c:v>
                </c:pt>
                <c:pt idx="9">
                  <c:v>FEB, FY25</c:v>
                </c:pt>
                <c:pt idx="10">
                  <c:v>MAR, FY25</c:v>
                </c:pt>
                <c:pt idx="11">
                  <c:v>APR, FY25</c:v>
                </c:pt>
                <c:pt idx="12">
                  <c:v>MAY, FY25</c:v>
                </c:pt>
              </c:strCache>
            </c:strRef>
          </c:cat>
          <c:val>
            <c:numRef>
              <c:f>'IT FEED - Chart'!$P$21:$AG$21</c:f>
              <c:numCache>
                <c:formatCode>General</c:formatCode>
                <c:ptCount val="13"/>
                <c:pt idx="0">
                  <c:v>4</c:v>
                </c:pt>
                <c:pt idx="1">
                  <c:v>1</c:v>
                </c:pt>
                <c:pt idx="2">
                  <c:v>0</c:v>
                </c:pt>
                <c:pt idx="3">
                  <c:v>3</c:v>
                </c:pt>
                <c:pt idx="4">
                  <c:v>0</c:v>
                </c:pt>
                <c:pt idx="5">
                  <c:v>0</c:v>
                </c:pt>
                <c:pt idx="6">
                  <c:v>2</c:v>
                </c:pt>
                <c:pt idx="7">
                  <c:v>3</c:v>
                </c:pt>
                <c:pt idx="8">
                  <c:v>0</c:v>
                </c:pt>
                <c:pt idx="9">
                  <c:v>2</c:v>
                </c:pt>
                <c:pt idx="10">
                  <c:v>3</c:v>
                </c:pt>
                <c:pt idx="11">
                  <c:v>2</c:v>
                </c:pt>
                <c:pt idx="12">
                  <c:v>2</c:v>
                </c:pt>
              </c:numCache>
            </c:numRef>
          </c:val>
          <c:extLst>
            <c:ext xmlns:c16="http://schemas.microsoft.com/office/drawing/2014/chart" uri="{C3380CC4-5D6E-409C-BE32-E72D297353CC}">
              <c16:uniqueId val="{00000001-3CB9-4A5B-969C-8F77A0DEE6E9}"/>
            </c:ext>
          </c:extLst>
        </c:ser>
        <c:dLbls>
          <c:showLegendKey val="0"/>
          <c:showVal val="1"/>
          <c:showCatName val="0"/>
          <c:showSerName val="0"/>
          <c:showPercent val="0"/>
          <c:showBubbleSize val="0"/>
        </c:dLbls>
        <c:gapWidth val="150"/>
        <c:overlap val="100"/>
        <c:axId val="2022121535"/>
        <c:axId val="2022138335"/>
      </c:barChart>
      <c:catAx>
        <c:axId val="20221215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138335"/>
        <c:crosses val="autoZero"/>
        <c:auto val="1"/>
        <c:lblAlgn val="ctr"/>
        <c:lblOffset val="100"/>
        <c:noMultiLvlLbl val="0"/>
      </c:catAx>
      <c:valAx>
        <c:axId val="2022138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1215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Hazards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4472C4"/>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28575" cap="rnd">
                <a:solidFill>
                  <a:srgbClr val="FFC000"/>
                </a:solidFill>
              </a:ln>
              <a:effectLst/>
            </c:spPr>
            <c:trendlineType val="movingAvg"/>
            <c:period val="2"/>
            <c:dispRSqr val="0"/>
            <c:dispEq val="0"/>
          </c:trendline>
          <c:cat>
            <c:strRef>
              <c:f>'HAZARD FEED - Chart'!$O$2:$AF$2</c:f>
              <c:strCache>
                <c:ptCount val="13"/>
                <c:pt idx="0">
                  <c:v>MAY, FY24</c:v>
                </c:pt>
                <c:pt idx="1">
                  <c:v>JUN, FY24</c:v>
                </c:pt>
                <c:pt idx="2">
                  <c:v>JUL, FY25</c:v>
                </c:pt>
                <c:pt idx="3">
                  <c:v>AUG, FY25</c:v>
                </c:pt>
                <c:pt idx="4">
                  <c:v>SEP, FY25</c:v>
                </c:pt>
                <c:pt idx="5">
                  <c:v>OCT, FY25</c:v>
                </c:pt>
                <c:pt idx="6">
                  <c:v>NOV, FY25</c:v>
                </c:pt>
                <c:pt idx="7">
                  <c:v>DEC, FY25</c:v>
                </c:pt>
                <c:pt idx="8">
                  <c:v>JAN, FY25</c:v>
                </c:pt>
                <c:pt idx="9">
                  <c:v>FEB, FY25</c:v>
                </c:pt>
                <c:pt idx="10">
                  <c:v>MAR, FY25</c:v>
                </c:pt>
                <c:pt idx="11">
                  <c:v>APR, FY25</c:v>
                </c:pt>
                <c:pt idx="12">
                  <c:v>MAY, FY25</c:v>
                </c:pt>
              </c:strCache>
            </c:strRef>
          </c:cat>
          <c:val>
            <c:numRef>
              <c:f>'HAZARD FEED - Chart'!$O$6:$AF$6</c:f>
              <c:numCache>
                <c:formatCode>General</c:formatCode>
                <c:ptCount val="13"/>
                <c:pt idx="0">
                  <c:v>5</c:v>
                </c:pt>
                <c:pt idx="1">
                  <c:v>1</c:v>
                </c:pt>
                <c:pt idx="2">
                  <c:v>1</c:v>
                </c:pt>
                <c:pt idx="3">
                  <c:v>2</c:v>
                </c:pt>
                <c:pt idx="4">
                  <c:v>3</c:v>
                </c:pt>
                <c:pt idx="5">
                  <c:v>1</c:v>
                </c:pt>
                <c:pt idx="6">
                  <c:v>8</c:v>
                </c:pt>
                <c:pt idx="7">
                  <c:v>1</c:v>
                </c:pt>
                <c:pt idx="8">
                  <c:v>2</c:v>
                </c:pt>
                <c:pt idx="9">
                  <c:v>5</c:v>
                </c:pt>
                <c:pt idx="10">
                  <c:v>2</c:v>
                </c:pt>
                <c:pt idx="11">
                  <c:v>0</c:v>
                </c:pt>
                <c:pt idx="12">
                  <c:v>0</c:v>
                </c:pt>
              </c:numCache>
            </c:numRef>
          </c:val>
          <c:extLst>
            <c:ext xmlns:c16="http://schemas.microsoft.com/office/drawing/2014/chart" uri="{C3380CC4-5D6E-409C-BE32-E72D297353CC}">
              <c16:uniqueId val="{00000001-9A7C-4506-B0C7-2C37441E20C1}"/>
            </c:ext>
          </c:extLst>
        </c:ser>
        <c:dLbls>
          <c:dLblPos val="outEnd"/>
          <c:showLegendKey val="0"/>
          <c:showVal val="1"/>
          <c:showCatName val="0"/>
          <c:showSerName val="0"/>
          <c:showPercent val="0"/>
          <c:showBubbleSize val="0"/>
        </c:dLbls>
        <c:gapWidth val="100"/>
        <c:overlap val="-24"/>
        <c:axId val="2022121535"/>
        <c:axId val="2022138335"/>
      </c:barChart>
      <c:catAx>
        <c:axId val="20221215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138335"/>
        <c:crosses val="autoZero"/>
        <c:auto val="1"/>
        <c:lblAlgn val="ctr"/>
        <c:lblOffset val="100"/>
        <c:noMultiLvlLbl val="0"/>
      </c:catAx>
      <c:valAx>
        <c:axId val="2022138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12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AU"/>
              <a:t>Hazards by Brand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'HAZARD FEED - Chart'!$A$3</c:f>
              <c:strCache>
                <c:ptCount val="1"/>
                <c:pt idx="0">
                  <c:v>Spotlight DC</c:v>
                </c:pt>
              </c:strCache>
            </c:strRef>
          </c:tx>
          <c:spPr>
            <a:solidFill>
              <a:srgbClr val="4472C4"/>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'HAZARD FEED - Chart'!$O$2:$AF$2</c:f>
              <c:strCache>
                <c:ptCount val="13"/>
                <c:pt idx="0">
                  <c:v>MAY, FY24</c:v>
                </c:pt>
                <c:pt idx="1">
                  <c:v>JUN, FY24</c:v>
                </c:pt>
                <c:pt idx="2">
                  <c:v>JUL, FY25</c:v>
                </c:pt>
                <c:pt idx="3">
                  <c:v>AUG, FY25</c:v>
                </c:pt>
                <c:pt idx="4">
                  <c:v>SEP, FY25</c:v>
                </c:pt>
                <c:pt idx="5">
                  <c:v>OCT, FY25</c:v>
                </c:pt>
                <c:pt idx="6">
                  <c:v>NOV, FY25</c:v>
                </c:pt>
                <c:pt idx="7">
                  <c:v>DEC, FY25</c:v>
                </c:pt>
                <c:pt idx="8">
                  <c:v>JAN, FY25</c:v>
                </c:pt>
                <c:pt idx="9">
                  <c:v>FEB, FY25</c:v>
                </c:pt>
                <c:pt idx="10">
                  <c:v>MAR, FY25</c:v>
                </c:pt>
                <c:pt idx="11">
                  <c:v>APR, FY25</c:v>
                </c:pt>
                <c:pt idx="12">
                  <c:v>MAY, FY25</c:v>
                </c:pt>
              </c:strCache>
            </c:strRef>
          </c:cat>
          <c:val>
            <c:numRef>
              <c:f>'HAZARD FEED - Chart'!$O$3:$AF$3</c:f>
              <c:numCache>
                <c:formatCode>General</c:formatCode>
                <c:ptCount val="13"/>
                <c:pt idx="0">
                  <c:v>4</c:v>
                </c:pt>
                <c:pt idx="1">
                  <c:v>0</c:v>
                </c:pt>
                <c:pt idx="2">
                  <c:v>1</c:v>
                </c:pt>
                <c:pt idx="3">
                  <c:v>1</c:v>
                </c:pt>
                <c:pt idx="4">
                  <c:v>2</c:v>
                </c:pt>
                <c:pt idx="5">
                  <c:v>0</c:v>
                </c:pt>
                <c:pt idx="6">
                  <c:v>3</c:v>
                </c:pt>
                <c:pt idx="7">
                  <c:v>0</c:v>
                </c:pt>
                <c:pt idx="8">
                  <c:v>2</c:v>
                </c:pt>
                <c:pt idx="9">
                  <c:v>1</c:v>
                </c:pt>
                <c:pt idx="10">
                  <c:v>2</c:v>
                </c:pt>
                <c:pt idx="11">
                  <c:v>0</c:v>
                </c:pt>
                <c:pt idx="12">
                  <c:v>0</c:v>
                </c:pt>
              </c:numCache>
            </c:numRef>
          </c:val>
          <c:extLst>
            <c:ext xmlns:c16="http://schemas.microsoft.com/office/drawing/2014/chart" uri="{C3380CC4-5D6E-409C-BE32-E72D297353CC}">
              <c16:uniqueId val="{00000003-8B3F-431E-BC8E-E62B52FA8D6B}"/>
            </c:ext>
          </c:extLst>
        </c:ser>
        <c:ser>
          <c:idx val="1"/>
          <c:order val="1"/>
          <c:tx>
            <c:strRef>
              <c:f>'HAZARD FEED - Chart'!$A$4</c:f>
              <c:strCache>
                <c:ptCount val="1"/>
                <c:pt idx="0">
                  <c:v>Anaconda DC</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'HAZARD FEED - Chart'!$O$2:$AF$2</c:f>
              <c:strCache>
                <c:ptCount val="13"/>
                <c:pt idx="0">
                  <c:v>MAY, FY24</c:v>
                </c:pt>
                <c:pt idx="1">
                  <c:v>JUN, FY24</c:v>
                </c:pt>
                <c:pt idx="2">
                  <c:v>JUL, FY25</c:v>
                </c:pt>
                <c:pt idx="3">
                  <c:v>AUG, FY25</c:v>
                </c:pt>
                <c:pt idx="4">
                  <c:v>SEP, FY25</c:v>
                </c:pt>
                <c:pt idx="5">
                  <c:v>OCT, FY25</c:v>
                </c:pt>
                <c:pt idx="6">
                  <c:v>NOV, FY25</c:v>
                </c:pt>
                <c:pt idx="7">
                  <c:v>DEC, FY25</c:v>
                </c:pt>
                <c:pt idx="8">
                  <c:v>JAN, FY25</c:v>
                </c:pt>
                <c:pt idx="9">
                  <c:v>FEB, FY25</c:v>
                </c:pt>
                <c:pt idx="10">
                  <c:v>MAR, FY25</c:v>
                </c:pt>
                <c:pt idx="11">
                  <c:v>APR, FY25</c:v>
                </c:pt>
                <c:pt idx="12">
                  <c:v>MAY, FY25</c:v>
                </c:pt>
              </c:strCache>
            </c:strRef>
          </c:cat>
          <c:val>
            <c:numRef>
              <c:f>'HAZARD FEED - Chart'!$O$4:$AF$4</c:f>
              <c:numCache>
                <c:formatCode>General</c:formatCode>
                <c:ptCount val="13"/>
                <c:pt idx="0">
                  <c:v>0</c:v>
                </c:pt>
                <c:pt idx="1">
                  <c:v>0</c:v>
                </c:pt>
                <c:pt idx="2">
                  <c:v>0</c:v>
                </c:pt>
                <c:pt idx="3">
                  <c:v>1</c:v>
                </c:pt>
                <c:pt idx="4">
                  <c:v>1</c:v>
                </c:pt>
                <c:pt idx="5">
                  <c:v>1</c:v>
                </c:pt>
                <c:pt idx="6">
                  <c:v>5</c:v>
                </c:pt>
                <c:pt idx="7">
                  <c:v>1</c:v>
                </c:pt>
                <c:pt idx="8">
                  <c:v>0</c:v>
                </c:pt>
                <c:pt idx="9">
                  <c:v>0</c:v>
                </c:pt>
                <c:pt idx="10">
                  <c:v>0</c:v>
                </c:pt>
                <c:pt idx="11">
                  <c:v>0</c:v>
                </c:pt>
                <c:pt idx="12">
                  <c:v>0</c:v>
                </c:pt>
              </c:numCache>
            </c:numRef>
          </c:val>
          <c:extLst>
            <c:ext xmlns:c16="http://schemas.microsoft.com/office/drawing/2014/chart" uri="{C3380CC4-5D6E-409C-BE32-E72D297353CC}">
              <c16:uniqueId val="{00000000-000F-4F9E-98C9-D3D752C8E89A}"/>
            </c:ext>
          </c:extLst>
        </c:ser>
        <c:ser>
          <c:idx val="2"/>
          <c:order val="2"/>
          <c:tx>
            <c:strRef>
              <c:f>'HAZARD FEED - Chart'!$A$5</c:f>
              <c:strCache>
                <c:ptCount val="1"/>
                <c:pt idx="0">
                  <c:v>Harris Scarfe DC</c:v>
                </c:pt>
              </c:strCache>
            </c:strRef>
          </c:tx>
          <c:spPr>
            <a:solidFill>
              <a:srgbClr val="70AD47"/>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'HAZARD FEED - Chart'!$O$2:$AF$2</c:f>
              <c:strCache>
                <c:ptCount val="13"/>
                <c:pt idx="0">
                  <c:v>MAY, FY24</c:v>
                </c:pt>
                <c:pt idx="1">
                  <c:v>JUN, FY24</c:v>
                </c:pt>
                <c:pt idx="2">
                  <c:v>JUL, FY25</c:v>
                </c:pt>
                <c:pt idx="3">
                  <c:v>AUG, FY25</c:v>
                </c:pt>
                <c:pt idx="4">
                  <c:v>SEP, FY25</c:v>
                </c:pt>
                <c:pt idx="5">
                  <c:v>OCT, FY25</c:v>
                </c:pt>
                <c:pt idx="6">
                  <c:v>NOV, FY25</c:v>
                </c:pt>
                <c:pt idx="7">
                  <c:v>DEC, FY25</c:v>
                </c:pt>
                <c:pt idx="8">
                  <c:v>JAN, FY25</c:v>
                </c:pt>
                <c:pt idx="9">
                  <c:v>FEB, FY25</c:v>
                </c:pt>
                <c:pt idx="10">
                  <c:v>MAR, FY25</c:v>
                </c:pt>
                <c:pt idx="11">
                  <c:v>APR, FY25</c:v>
                </c:pt>
                <c:pt idx="12">
                  <c:v>MAY, FY25</c:v>
                </c:pt>
              </c:strCache>
            </c:strRef>
          </c:cat>
          <c:val>
            <c:numRef>
              <c:f>'HAZARD FEED - Chart'!$O$5:$AF$5</c:f>
              <c:numCache>
                <c:formatCode>General</c:formatCode>
                <c:ptCount val="13"/>
                <c:pt idx="0">
                  <c:v>1</c:v>
                </c:pt>
                <c:pt idx="1">
                  <c:v>1</c:v>
                </c:pt>
                <c:pt idx="2">
                  <c:v>0</c:v>
                </c:pt>
                <c:pt idx="3">
                  <c:v>0</c:v>
                </c:pt>
                <c:pt idx="4">
                  <c:v>0</c:v>
                </c:pt>
                <c:pt idx="5">
                  <c:v>0</c:v>
                </c:pt>
                <c:pt idx="6">
                  <c:v>0</c:v>
                </c:pt>
                <c:pt idx="7">
                  <c:v>0</c:v>
                </c:pt>
                <c:pt idx="8">
                  <c:v>0</c:v>
                </c:pt>
                <c:pt idx="9">
                  <c:v>4</c:v>
                </c:pt>
                <c:pt idx="10">
                  <c:v>0</c:v>
                </c:pt>
                <c:pt idx="11">
                  <c:v>0</c:v>
                </c:pt>
                <c:pt idx="12">
                  <c:v>0</c:v>
                </c:pt>
              </c:numCache>
            </c:numRef>
          </c:val>
          <c:extLst>
            <c:ext xmlns:c16="http://schemas.microsoft.com/office/drawing/2014/chart" uri="{C3380CC4-5D6E-409C-BE32-E72D297353CC}">
              <c16:uniqueId val="{00000001-000F-4F9E-98C9-D3D752C8E89A}"/>
            </c:ext>
          </c:extLst>
        </c:ser>
        <c:dLbls>
          <c:dLblPos val="ctr"/>
          <c:showLegendKey val="0"/>
          <c:showVal val="1"/>
          <c:showCatName val="0"/>
          <c:showSerName val="0"/>
          <c:showPercent val="0"/>
          <c:showBubbleSize val="0"/>
        </c:dLbls>
        <c:gapWidth val="150"/>
        <c:overlap val="100"/>
        <c:axId val="1839179823"/>
        <c:axId val="1839174543"/>
      </c:barChart>
      <c:catAx>
        <c:axId val="18391798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174543"/>
        <c:crosses val="autoZero"/>
        <c:auto val="1"/>
        <c:lblAlgn val="ctr"/>
        <c:lblOffset val="100"/>
        <c:noMultiLvlLbl val="0"/>
      </c:catAx>
      <c:valAx>
        <c:axId val="1839174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1798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120650</xdr:colOff>
      <xdr:row>0</xdr:row>
      <xdr:rowOff>100012</xdr:rowOff>
    </xdr:from>
    <xdr:to>
      <xdr:col>16</xdr:col>
      <xdr:colOff>9525</xdr:colOff>
      <xdr:row>21</xdr:row>
      <xdr:rowOff>57150</xdr:rowOff>
    </xdr:to>
    <xdr:graphicFrame macro="">
      <xdr:nvGraphicFramePr>
        <xdr:cNvPr id="2" name="Chart 1">
          <a:extLst>
            <a:ext uri="{FF2B5EF4-FFF2-40B4-BE49-F238E27FC236}">
              <a16:creationId xmlns:a16="http://schemas.microsoft.com/office/drawing/2014/main" id="{494B3AAD-29D2-853A-40CF-EA24ED0DD9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187325</xdr:colOff>
      <xdr:row>0</xdr:row>
      <xdr:rowOff>119062</xdr:rowOff>
    </xdr:from>
    <xdr:to>
      <xdr:col>32</xdr:col>
      <xdr:colOff>76200</xdr:colOff>
      <xdr:row>21</xdr:row>
      <xdr:rowOff>76200</xdr:rowOff>
    </xdr:to>
    <xdr:graphicFrame macro="">
      <xdr:nvGraphicFramePr>
        <xdr:cNvPr id="3" name="Chart 2">
          <a:extLst>
            <a:ext uri="{FF2B5EF4-FFF2-40B4-BE49-F238E27FC236}">
              <a16:creationId xmlns:a16="http://schemas.microsoft.com/office/drawing/2014/main" id="{550CDDC8-9877-33D1-10C6-65D6CA2912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0</xdr:row>
      <xdr:rowOff>38100</xdr:rowOff>
    </xdr:from>
    <xdr:to>
      <xdr:col>16</xdr:col>
      <xdr:colOff>3175</xdr:colOff>
      <xdr:row>20</xdr:row>
      <xdr:rowOff>185738</xdr:rowOff>
    </xdr:to>
    <xdr:graphicFrame macro="">
      <xdr:nvGraphicFramePr>
        <xdr:cNvPr id="2" name="Chart 1">
          <a:extLst>
            <a:ext uri="{FF2B5EF4-FFF2-40B4-BE49-F238E27FC236}">
              <a16:creationId xmlns:a16="http://schemas.microsoft.com/office/drawing/2014/main" id="{95D2AA06-5B12-475E-8A44-1B998B3EDE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47624</xdr:colOff>
      <xdr:row>0</xdr:row>
      <xdr:rowOff>52386</xdr:rowOff>
    </xdr:from>
    <xdr:to>
      <xdr:col>31</xdr:col>
      <xdr:colOff>533399</xdr:colOff>
      <xdr:row>20</xdr:row>
      <xdr:rowOff>190499</xdr:rowOff>
    </xdr:to>
    <xdr:graphicFrame macro="">
      <xdr:nvGraphicFramePr>
        <xdr:cNvPr id="4" name="Chart 3">
          <a:extLst>
            <a:ext uri="{FF2B5EF4-FFF2-40B4-BE49-F238E27FC236}">
              <a16:creationId xmlns:a16="http://schemas.microsoft.com/office/drawing/2014/main" id="{30F22B28-5BED-5E02-EF33-6B019C9088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an Nguyen" refreshedDate="45811.381389120368" createdVersion="8" refreshedVersion="8" minRefreshableVersion="3" recordCount="231" xr:uid="{2032D53D-703C-448A-938D-8CA60471B405}">
  <cacheSource type="worksheet">
    <worksheetSource ref="A1:R1048576" sheet="Incident Data Dump"/>
  </cacheSource>
  <cacheFields count="18">
    <cacheField name="Uniq ID" numFmtId="0">
      <sharedItems containsBlank="1"/>
    </cacheField>
    <cacheField name="Created At" numFmtId="14">
      <sharedItems containsNonDate="0" containsDate="1" containsString="0" containsBlank="1" minDate="2023-03-07T08:52:00" maxDate="2025-05-26T12:31:00"/>
    </cacheField>
    <cacheField name="Date and Time of the Incident:" numFmtId="14">
      <sharedItems containsNonDate="0" containsDate="1" containsString="0" containsBlank="1" minDate="2023-03-06T10:30:00" maxDate="2025-05-22T07:40:00"/>
    </cacheField>
    <cacheField name="Created By" numFmtId="0">
      <sharedItems containsBlank="1"/>
    </cacheField>
    <cacheField name="Accountable Manager" numFmtId="0">
      <sharedItems containsBlank="1"/>
    </cacheField>
    <cacheField name="Injured employees" numFmtId="0">
      <sharedItems containsBlank="1"/>
    </cacheField>
    <cacheField name="Record Location" numFmtId="0">
      <sharedItems containsBlank="1"/>
    </cacheField>
    <cacheField name="Incident Type:" numFmtId="0">
      <sharedItems containsBlank="1"/>
    </cacheField>
    <cacheField name="[HIDDEN Incident Classification]" numFmtId="0">
      <sharedItems containsBlank="1"/>
    </cacheField>
    <cacheField name="Incident Description:" numFmtId="0">
      <sharedItems containsBlank="1" longText="1"/>
    </cacheField>
    <cacheField name="Mechanism of Injury" numFmtId="0">
      <sharedItems containsBlank="1" count="20">
        <s v=""/>
        <s v="Contact"/>
        <s v="Manual handling"/>
        <s v="Other"/>
        <s v="Hit-Falling Object"/>
        <s v="Impact/Knock"/>
        <s v="Slip/Trip/Fall"/>
        <s v="Hit-Moving object"/>
        <s v="Hit-Moving object, Vehicle Accident"/>
        <s v="Vehicle Accident"/>
        <s v="Impact/Knock, Other"/>
        <s v="Impact/Knock, Slip/Trip/Fall"/>
        <s v="Impact/Knock, Vehicle Accident"/>
        <s v="Impact/Knock, Manual handling"/>
        <s v="Hit-Falling Object, Impact/Knock, Manual handling"/>
        <s v="Impact/Knock, Product Damage"/>
        <s v="Hit-Moving object, Impact/Knock"/>
        <s v="Vehicle Accident, Other"/>
        <s v="Product Damage"/>
        <m/>
      </sharedItems>
    </cacheField>
    <cacheField name="Nature of Injury" numFmtId="0">
      <sharedItems containsBlank="1" count="11">
        <s v=""/>
        <s v="Cut/Abrasion"/>
        <s v="Sprain/Strain"/>
        <s v="Bruise/Pain/Soreness"/>
        <s v="Psychological Factors"/>
        <s v="Other"/>
        <s v="Medical Condition"/>
        <s v="Break/Fracture, Bruise/Pain/Soreness"/>
        <s v="Bruise/Pain/Soreness, Cut/Abrasion"/>
        <s v="Property Injury"/>
        <m/>
      </sharedItems>
    </cacheField>
    <cacheField name="What body part was affected?" numFmtId="0">
      <sharedItems containsBlank="1" count="42" longText="1">
        <s v=""/>
        <m/>
        <s v="Lower back"/>
        <s v="Hips / knees (back)"/>
        <s v="Head (front)"/>
        <s v="Right arm (front) and Right elbow (back)"/>
        <s v="Right shoulder (back)"/>
        <s v="back_shoulder_left"/>
        <s v="Right hand (front)"/>
        <s v="Hips / knees (back), Left hand (front), and Right hand (front)"/>
        <s v="front_arm_right"/>
        <s v="front_hips_knees"/>
        <s v="back_lower_back"/>
        <s v="Left hand (front)"/>
        <s v="Head (back)"/>
        <s v="Left foot (back)"/>
        <s v="Left shoulder (back)"/>
        <s v="back_foot_left"/>
        <s v="head_front"/>
        <s v="front_hand_right,front_hand_left"/>
        <s v="back_foot_right"/>
        <s v="front_foot_right"/>
        <s v="Left foot (front)"/>
        <s v="Right arm (front), Left arm (front), and Hips / knees (front)"/>
        <s v="Hips / knees (front), Right foot (front), and Left foot (front)"/>
        <s v="front_hand_left"/>
        <s v="back_head"/>
        <s v="back_head,chest_shoulders,head_front,back_hips_knees,front_hips_knees,back_elbow_left,front_arm_left,back_foot_left,back_hand_left,front_foot_left,front_hand_left,back_shoulder_left,back_lower_back,front_arm_right,back_elbow_right,back_foot_right,front_foot_right,back_hand_right,front_hand_right,back_shoulder_right,back_upperback_neck,abdomen"/>
        <s v="Head (front), Abdomen (front), Chest shoulders (front), Lower back, Upper back / neck, Right shoulder (back), Left shoulder (back), and Head (back)"/>
        <s v="Right shoulder (back) and Upper back / neck"/>
        <s v="front_hand_right"/>
        <s v="Abdomen (front) and Chest shoulders (front)"/>
        <s v="head_front,back_shoulder_right"/>
        <s v="Upper back / neck"/>
        <s v="back_hand_right,front_hand_right"/>
        <s v="back_hips_knees,front_hips_knees"/>
        <s v="front_hips_knees,back_hips_knees"/>
        <s v="Right foot (front) and Right foot (back)"/>
        <s v="front_foot_right,back_foot_right"/>
        <s v="back_upperback_neck"/>
        <s v="front_hand_right,back_hand_right"/>
        <s v="Abdomen (front)"/>
      </sharedItems>
    </cacheField>
    <cacheField name="Body Parts" numFmtId="0">
      <sharedItems containsBlank="1"/>
    </cacheField>
    <cacheField name="Agency of Injury" numFmtId="0">
      <sharedItems containsBlank="1" count="9">
        <m/>
        <s v="Human agencies"/>
        <s v="Other powered equipment, tools and appliances"/>
        <s v="Conveyor and lifting plant"/>
        <s v="Other materials and objects"/>
        <s v="Other plant equipment"/>
        <s v="Chemical products"/>
        <s v="Other mobile plant"/>
        <s v="Road transport"/>
      </sharedItems>
    </cacheField>
    <cacheField name="Company" numFmtId="0">
      <sharedItems containsBlank="1" count="4">
        <s v="Harris Scarfe DC"/>
        <s v="Anaconda DC"/>
        <s v="Spotlight DC"/>
        <m/>
      </sharedItems>
    </cacheField>
    <cacheField name="Fiscal Month" numFmtId="0">
      <sharedItems containsBlank="1" count="28">
        <s v="MAR, FY23"/>
        <s v="APR, FY23"/>
        <s v="MAY, FY23"/>
        <s v="JUN, FY23"/>
        <s v="JUL, FY24"/>
        <s v="AUG, FY24"/>
        <s v="SEP, FY24"/>
        <s v="OCT, FY24"/>
        <s v="NOV, FY24"/>
        <s v="DEC, FY24"/>
        <s v="JAN, FY24"/>
        <s v="FEB, FY24"/>
        <s v="MAR, FY24"/>
        <s v="APR, FY24"/>
        <s v="MAY, FY24"/>
        <s v="JUN, FY24"/>
        <s v="JUL, FY25"/>
        <s v="AUG, FY25"/>
        <s v="SEP, FY25"/>
        <s v="OCT, FY25"/>
        <s v="NOV, FY25"/>
        <s v="DEC, FY25"/>
        <s v="JAN, FY25"/>
        <s v="FEB, FY25"/>
        <s v="MAR, FY25"/>
        <s v="APR, FY25"/>
        <s v="MAY, FY25"/>
        <m/>
      </sharedItems>
    </cacheField>
    <cacheField name="Fiscal Quarter"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
  <r>
    <s v="INC1014"/>
    <d v="2023-03-07T08:52:00"/>
    <d v="2023-03-06T10:30:00"/>
    <s v="Jessica Blackhall"/>
    <s v="DARYL MEGNA"/>
    <s v="HS2057 SUNSHINE DC"/>
    <m/>
    <s v="Safety Near Miss"/>
    <m/>
    <s v="Dispatch area was full of pallets waiting to be loaded. There was no room to put the forklift in the area next to the driver sign on/off sheet so I was going to put the forklift next to the outside bollard walkway, as I was turning facing forwards the tip of the 2.1 metre forklift tine touched the bottom of the barrier causing the forklift to stop abruptly.  The forklift has no damage to the tines but a lot of soot did empty from the radiator Forklift number: IC7635  Bollard is still connected to the ground but the concrete has chipped away a bit  Weather conditions: Clear"/>
    <x v="0"/>
    <x v="0"/>
    <x v="0"/>
    <s v=""/>
    <x v="0"/>
    <x v="0"/>
    <x v="0"/>
    <s v="Q3, FY23"/>
  </r>
  <r>
    <s v="INC1048"/>
    <d v="2023-03-14T08:11:00"/>
    <d v="2023-03-09T12:08:00"/>
    <s v="VELIKA STALEVSKA"/>
    <s v="THOMAS WILLIAMS"/>
    <s v="S910 Supply Chain"/>
    <s v="KALIOPI KATHOPOULIS"/>
    <s v="Team Member Injury"/>
    <m/>
    <s v="thumb got stuck in the vending machine, whilst grabbing a drink  skin was ripped on the thumb"/>
    <x v="1"/>
    <x v="1"/>
    <x v="1"/>
    <s v="thnub"/>
    <x v="1"/>
    <x v="1"/>
    <x v="0"/>
    <s v="Q3, FY23"/>
  </r>
  <r>
    <s v="INC1054"/>
    <d v="2023-03-15T08:09:00"/>
    <d v="2023-03-09T15:03:00"/>
    <s v="VELIKA STALEVSKA"/>
    <s v="THOMAS WILLIAMS"/>
    <s v="S910 Supply Chain"/>
    <m/>
    <s v="Safety Near Miss"/>
    <m/>
    <s v="a pallet was stacked on top of pallet of blinds so the blinds came out of the pallet - High reach driver DU stacked a pallet on top of blinds thus the blinds fell out.  The blinds were stored in a pallet not in a stillage so when a pallet was stacked on top they fell out.   blinds to be stored in stillages not to double stack blinds in pallets "/>
    <x v="0"/>
    <x v="0"/>
    <x v="0"/>
    <s v=""/>
    <x v="0"/>
    <x v="1"/>
    <x v="0"/>
    <s v="Q3, FY23"/>
  </r>
  <r>
    <s v="INC1056"/>
    <d v="2023-03-15T08:15:00"/>
    <d v="2023-03-14T08:25:00"/>
    <s v="VELIKA STALEVSKA"/>
    <s v="THOMAS WILLIAMS"/>
    <s v="S910 Supply Chain"/>
    <s v="KALIOPI KATHOPOULIS"/>
    <s v="Team Member Injury"/>
    <m/>
    <s v="back started to get sore from the lowered table, Table has been lowered to avoid further injury to my neck/collar bone constant bending over the table to complete QA tasks "/>
    <x v="2"/>
    <x v="2"/>
    <x v="2"/>
    <s v="lower back"/>
    <x v="1"/>
    <x v="1"/>
    <x v="0"/>
    <s v="Q3, FY23"/>
  </r>
  <r>
    <s v="INC1103"/>
    <d v="2023-03-20T08:25:00"/>
    <d v="2023-03-17T08:30:00"/>
    <s v="VELIKA STALEVSKA"/>
    <s v="THOMAS WILLIAMS"/>
    <s v="S910 Supply Chain"/>
    <m/>
    <s v="Team Member Injury"/>
    <m/>
    <s v=" I was walking and tripped by a box and fell on the conveyor belt  hit right arm, scratch "/>
    <x v="0"/>
    <x v="0"/>
    <x v="0"/>
    <s v=""/>
    <x v="0"/>
    <x v="1"/>
    <x v="0"/>
    <s v="Q3, FY23"/>
  </r>
  <r>
    <s v="INC1191"/>
    <d v="2023-03-29T08:21:00"/>
    <d v="2023-03-21T15:30:00"/>
    <s v="VELIKA STALEVSKA"/>
    <s v="THOMAS WILLIAMS"/>
    <s v="S910 Supply Chain"/>
    <m/>
    <s v="Safety Near Miss"/>
    <m/>
    <s v="hit the corner of the racking in aisle 13 with the bin on my back of my machine. I was making a turn to pick up an item form another location in the same aisle. "/>
    <x v="0"/>
    <x v="0"/>
    <x v="0"/>
    <s v=""/>
    <x v="0"/>
    <x v="1"/>
    <x v="0"/>
    <s v="Q3, FY23"/>
  </r>
  <r>
    <s v="INC1195"/>
    <d v="2023-03-29T08:40:00"/>
    <d v="2023-03-28T16:50:00"/>
    <s v="VELIKA STALEVSKA"/>
    <s v="THOMAS WILLIAMS"/>
    <s v="S910 Supply Chain"/>
    <m/>
    <s v="Team Member Injury"/>
    <m/>
    <s v="small cut on my left hand. I was cutting strip with knife and just got a small cut "/>
    <x v="0"/>
    <x v="0"/>
    <x v="0"/>
    <s v=""/>
    <x v="0"/>
    <x v="1"/>
    <x v="1"/>
    <s v="Q4, FY23"/>
  </r>
  <r>
    <s v="INC1196"/>
    <d v="2023-03-29T08:46:00"/>
    <d v="2023-03-20T10:00:00"/>
    <s v="VELIKA STALEVSKA"/>
    <s v="THOMAS WILLIAMS"/>
    <s v="S910 Supply Chain"/>
    <m/>
    <s v="Team Member Injury"/>
    <m/>
    <s v="my foot was run over by a pallet jack, one of the team members ran over my foot by a pallet jack while I was stacking the boxes in front of him "/>
    <x v="0"/>
    <x v="0"/>
    <x v="0"/>
    <s v=""/>
    <x v="0"/>
    <x v="1"/>
    <x v="0"/>
    <s v="Q3, FY23"/>
  </r>
  <r>
    <s v="INC1298"/>
    <d v="2023-04-05T13:40:00"/>
    <d v="2023-04-03T13:30:00"/>
    <s v="VELIKA STALEVSKA"/>
    <s v="THOMAS WILLIAMS"/>
    <s v="S910 Supply Chain"/>
    <s v="KAYLANI MARTIN-BUTTIGIEG"/>
    <s v="Team Member Injury"/>
    <s v="Potential LTI"/>
    <s v="hip/leg injury tension in muscle when walking or apply pressure to leg, lifting heavy blinds no allowing body to rest."/>
    <x v="2"/>
    <x v="2"/>
    <x v="3"/>
    <s v="hip right"/>
    <x v="1"/>
    <x v="1"/>
    <x v="1"/>
    <s v="Q4, FY23"/>
  </r>
  <r>
    <s v="INC1315"/>
    <d v="2023-04-06T12:32:00"/>
    <d v="2023-04-06T11:20:00"/>
    <s v="DOMENICO MARTELLO"/>
    <s v="STEVEN HARRISON"/>
    <s v="S910 Supply Chain"/>
    <m/>
    <s v="Safety Near Miss"/>
    <m/>
    <s v="A stack of pallets that were transporting fell"/>
    <x v="0"/>
    <x v="0"/>
    <x v="0"/>
    <s v=""/>
    <x v="0"/>
    <x v="2"/>
    <x v="1"/>
    <s v="Q4, FY23"/>
  </r>
  <r>
    <s v="INC1319"/>
    <d v="2023-04-06T13:10:00"/>
    <d v="2023-04-05T09:45:00"/>
    <s v="DOMENICO MARTELLO"/>
    <s v="STEVEN HARRISON"/>
    <s v="S910 Supply Chain"/>
    <m/>
    <s v="Safety Near Miss"/>
    <m/>
    <s v="2 machine have collide"/>
    <x v="0"/>
    <x v="0"/>
    <x v="0"/>
    <s v=""/>
    <x v="0"/>
    <x v="2"/>
    <x v="1"/>
    <s v="Q4, FY23"/>
  </r>
  <r>
    <s v="INC1322"/>
    <d v="2023-04-06T14:20:00"/>
    <d v="2023-04-05T09:18:00"/>
    <s v="VELIKA STALEVSKA"/>
    <s v="THOMAS WILLIAMS"/>
    <s v="S910 Supply Chain"/>
    <m/>
    <s v="Safety Near Miss"/>
    <m/>
    <s v="driving stock into put away aisles and reach truck drove in front of my fork as I was driving forward."/>
    <x v="0"/>
    <x v="0"/>
    <x v="0"/>
    <s v=""/>
    <x v="0"/>
    <x v="1"/>
    <x v="1"/>
    <s v="Q4, FY23"/>
  </r>
  <r>
    <s v="INC1427"/>
    <d v="2023-04-18T09:37:00"/>
    <d v="2023-04-18T08:30:00"/>
    <s v="CINDY LOPES"/>
    <s v="STEVEN HARRISON"/>
    <s v="S910 Supply Chain"/>
    <s v="JYOTI JYOTI"/>
    <s v="Team Member Injury"/>
    <s v="First Aid Treatment"/>
    <s v="Hit the corner of a XL box while dropping into the ULD"/>
    <x v="3"/>
    <x v="3"/>
    <x v="4"/>
    <s v="Left Ear"/>
    <x v="1"/>
    <x v="2"/>
    <x v="1"/>
    <s v="Q4, FY23"/>
  </r>
  <r>
    <s v="INC1459"/>
    <d v="2023-04-20T15:02:00"/>
    <d v="2023-04-19T09:00:00"/>
    <s v="VELIKA STALEVSKA"/>
    <s v="THOMAS WILLIAMS"/>
    <s v="S910 Supply Chain"/>
    <m/>
    <s v="Team Member Injury"/>
    <m/>
    <s v="I was walking to place a box in the bin then a sharp nail ripped my pants   scratch on right thigh "/>
    <x v="0"/>
    <x v="0"/>
    <x v="0"/>
    <s v=""/>
    <x v="0"/>
    <x v="1"/>
    <x v="1"/>
    <s v="Q4, FY23"/>
  </r>
  <r>
    <s v="INC1461"/>
    <d v="2023-04-20T15:29:00"/>
    <d v="2023-04-20T06:45:00"/>
    <s v="VELIKA STALEVSKA"/>
    <s v="THOMAS WILLIAMS"/>
    <s v="S910 Supply Chain"/>
    <m/>
    <s v="Team Member Injury"/>
    <m/>
    <s v="I was walking to my workstation then on of the team members cam from my back side and hit my foot with the pallet jack.  left foot swollen "/>
    <x v="0"/>
    <x v="0"/>
    <x v="0"/>
    <s v=""/>
    <x v="0"/>
    <x v="1"/>
    <x v="1"/>
    <s v="Q4, FY23"/>
  </r>
  <r>
    <s v="INC1632"/>
    <d v="2023-05-03T18:01:00"/>
    <d v="2023-05-02T21:00:00"/>
    <s v="VEERAPPA KATHIRVELU"/>
    <s v="STEVEN HARRISON"/>
    <s v="S910 Supply Chain"/>
    <s v="NAMONKOAH NIPOE"/>
    <s v="Team Member Injury"/>
    <s v="Medical Treatment"/>
    <s v="The team member was lifting the boxes from Aisles while doing LO Picking and sprained his elbow. He was feeling sharp pain. According to him, the racking was bit high for him to reach and while picking, he started feeling the pain. "/>
    <x v="2"/>
    <x v="2"/>
    <x v="5"/>
    <s v="Right Elbow"/>
    <x v="1"/>
    <x v="2"/>
    <x v="2"/>
    <s v="Q4, FY23"/>
  </r>
  <r>
    <s v="INC1636"/>
    <d v="2023-05-04T14:10:00"/>
    <d v="2023-05-04T10:00:00"/>
    <s v="VELIKA STALEVSKA"/>
    <s v="THOMAS WILLIAMS"/>
    <s v="S910 Supply Chain"/>
    <s v="ELIZABETH POPPLETON"/>
    <s v="Team Member Injury"/>
    <s v="First Aid Treatment"/>
    <s v="pallet was fully stacked, Team member was to take the pallet to be wrapped, she placed the pallet jack under the pallet, pulled the pallet and started to walk, 3 boxes fell from the pallet one box hit team member on her right shoulder "/>
    <x v="4"/>
    <x v="3"/>
    <x v="6"/>
    <s v="right shoulder upper arm"/>
    <x v="1"/>
    <x v="1"/>
    <x v="2"/>
    <s v="Q4, FY23"/>
  </r>
  <r>
    <s v="INC1648"/>
    <d v="2023-05-05T14:30:00"/>
    <d v="2023-05-04T11:00:00"/>
    <s v="ANTONIO LAI PATRICIO COELHO"/>
    <s v="STEVEN HARRISON"/>
    <s v="S910 Supply Chain"/>
    <m/>
    <s v="Customer / Contractor"/>
    <m/>
    <s v="Team member Naveen made racial comments about team member Jack Tat, Alek Ngong has witnessed Naveen comments towards Jack during the incident"/>
    <x v="3"/>
    <x v="4"/>
    <x v="1"/>
    <s v="NA"/>
    <x v="0"/>
    <x v="2"/>
    <x v="2"/>
    <s v="Q4, FY23"/>
  </r>
  <r>
    <s v="INC1683"/>
    <d v="2023-05-08T08:59:00"/>
    <d v="2023-05-08T06:30:00"/>
    <s v="VELIKA STALEVSKA"/>
    <s v="THOMAS WILLIAMS"/>
    <s v="S910 Supply Chain"/>
    <s v="KEITH SURRAO"/>
    <s v="Team Member Injury"/>
    <s v="First Aid Treatment"/>
    <s v="driving out of aisle 11 turning into aisle 10, watching for MHE passing   turned and collided with the pillar, "/>
    <x v="5"/>
    <x v="3"/>
    <x v="4"/>
    <s v="right eye forehead and eye socket"/>
    <x v="2"/>
    <x v="1"/>
    <x v="2"/>
    <s v="Q4, FY23"/>
  </r>
  <r>
    <s v="INC1799"/>
    <d v="2023-05-16T14:22:00"/>
    <d v="2023-05-16T08:20:00"/>
    <s v="VELIKA STALEVSKA"/>
    <s v="THOMAS WILLIAMS"/>
    <s v="S910 Supply Chain"/>
    <m/>
    <s v="Safety Near Miss"/>
    <m/>
    <s v="product from the pallet dislodged, product was not wrapped to the pallet and during transit the product slid off the pallet "/>
    <x v="0"/>
    <x v="0"/>
    <x v="0"/>
    <s v=""/>
    <x v="0"/>
    <x v="1"/>
    <x v="2"/>
    <s v="Q4, FY23"/>
  </r>
  <r>
    <s v="INC1800"/>
    <d v="2023-05-16T14:26:00"/>
    <d v="2023-05-15T12:24:00"/>
    <s v="VELIKA STALEVSKA"/>
    <s v="THOMAS WILLIAMS"/>
    <s v="S910 Supply Chain"/>
    <m/>
    <s v="Safety Near Miss"/>
    <m/>
    <s v="when i was passing with high reach hit the upright "/>
    <x v="0"/>
    <x v="0"/>
    <x v="0"/>
    <s v=""/>
    <x v="0"/>
    <x v="1"/>
    <x v="2"/>
    <s v="Q4, FY23"/>
  </r>
  <r>
    <s v="INC1801"/>
    <d v="2023-05-16T14:32:00"/>
    <d v="2023-05-15T10:40:00"/>
    <s v="VELIKA STALEVSKA"/>
    <s v="THOMAS WILLIAMS"/>
    <s v="S910 Supply Chain"/>
    <m/>
    <s v="Safety Near Miss"/>
    <m/>
    <s v="stillage fell, whilst unloading vehicles with long tines forklifts, the tilt was not applied and the legs of the back stillage clipped the truck bed and product dislodged."/>
    <x v="0"/>
    <x v="0"/>
    <x v="0"/>
    <s v=""/>
    <x v="0"/>
    <x v="1"/>
    <x v="2"/>
    <s v="Q4, FY23"/>
  </r>
  <r>
    <s v="INC1822"/>
    <d v="2023-05-18T10:14:00"/>
    <d v="2023-05-18T09:50:00"/>
    <s v="RAJANKUMAR VINODKUMAR BHAVSAR"/>
    <s v="STEVEN HARRISON"/>
    <s v="S910 Supply Chain"/>
    <m/>
    <s v="Customer / Contractor"/>
    <m/>
    <s v="In Aisle 13 stock was very heavy. I just lift a box and start pain in my arm. box was 17 KG."/>
    <x v="5"/>
    <x v="5"/>
    <x v="7"/>
    <s v="Left Shoulder"/>
    <x v="0"/>
    <x v="2"/>
    <x v="2"/>
    <s v="Q4, FY23"/>
  </r>
  <r>
    <s v="INC1842"/>
    <d v="2023-05-19T08:11:00"/>
    <d v="2023-05-17T16:00:00"/>
    <s v="VELIKA STALEVSKA"/>
    <s v="THOMAS WILLIAMS"/>
    <s v="S910 Supply Chain"/>
    <m/>
    <s v="Safety Near Miss"/>
    <m/>
    <s v="team member had his phone on loud speaker, talking and working - site rules say no mobile phone use in operational areas"/>
    <x v="0"/>
    <x v="0"/>
    <x v="0"/>
    <s v=""/>
    <x v="0"/>
    <x v="1"/>
    <x v="2"/>
    <s v="Q4, FY23"/>
  </r>
  <r>
    <s v="INC1900"/>
    <d v="2023-05-22T12:52:00"/>
    <d v="2023-05-22T09:00:00"/>
    <s v="VELIKA STALEVSKA"/>
    <s v="THOMAS WILLIAMS"/>
    <s v="S910 Supply Chain"/>
    <s v="DEVANG PRAJAPATI"/>
    <s v="Team Member Injury"/>
    <s v="First Aid Treatment"/>
    <s v="was picking boxes, hand slipped and hit the conveyor.  - Team member states that he is right handed and his right index finger is sore, when he tries to bend it.  Team member uses a scanner as part of his tasks "/>
    <x v="5"/>
    <x v="3"/>
    <x v="8"/>
    <s v="right index finger and palm"/>
    <x v="3"/>
    <x v="1"/>
    <x v="2"/>
    <s v="Q4, FY23"/>
  </r>
  <r>
    <s v="INC1912"/>
    <d v="2023-05-23T09:31:00"/>
    <d v="2023-05-18T13:00:00"/>
    <s v="VELIKA STALEVSKA"/>
    <s v="THOMAS WILLIAMS"/>
    <s v="S910 Supply Chain"/>
    <m/>
    <s v="Safety Near Miss"/>
    <m/>
    <s v="reversing vehicle hit pallet and pallets hit the bollard around the fire hydrant"/>
    <x v="0"/>
    <x v="0"/>
    <x v="0"/>
    <s v=""/>
    <x v="0"/>
    <x v="1"/>
    <x v="2"/>
    <s v="Q4, FY23"/>
  </r>
  <r>
    <s v="INC1926"/>
    <d v="2023-05-24T08:32:00"/>
    <d v="2023-05-23T16:00:00"/>
    <s v="VELIKA STALEVSKA"/>
    <s v="THOMAS WILLIAMS"/>
    <s v="S910 Supply Chain"/>
    <m/>
    <s v="Safety Near Miss"/>
    <m/>
    <s v="team member was waking to the tea room and jumped over the guard rail taking a short cut "/>
    <x v="0"/>
    <x v="0"/>
    <x v="0"/>
    <s v=""/>
    <x v="0"/>
    <x v="1"/>
    <x v="2"/>
    <s v="Q4, FY23"/>
  </r>
  <r>
    <s v="INC1927"/>
    <d v="2023-05-24T08:40:00"/>
    <d v="2023-05-23T05:20:00"/>
    <s v="MICHAEL MARKOVICAN"/>
    <s v="STEVEN HARRISON"/>
    <s v="S910 Supply Chain"/>
    <m/>
    <s v="Safety Near Miss"/>
    <m/>
    <s v="Hazar Yarpuzlu from GEBS transport dropped a pallet while loading Fountain Gate. The pallet was not high enough and hit the tailgate. The pallet then collapsed and stock went on the floor. "/>
    <x v="0"/>
    <x v="0"/>
    <x v="0"/>
    <s v=""/>
    <x v="0"/>
    <x v="2"/>
    <x v="2"/>
    <s v="Q4, FY23"/>
  </r>
  <r>
    <s v="INC2058"/>
    <d v="2023-06-01T08:42:00"/>
    <d v="2023-05-31T09:40:00"/>
    <s v="VELIKA STALEVSKA"/>
    <s v="THOMAS WILLIAMS"/>
    <s v="S910 Supply Chain"/>
    <m/>
    <s v="Safety Near Miss"/>
    <m/>
    <s v="tynes detached from the forklift whilst unloading euro bins.  "/>
    <x v="0"/>
    <x v="0"/>
    <x v="0"/>
    <s v=""/>
    <x v="0"/>
    <x v="1"/>
    <x v="3"/>
    <s v="Q4, FY23"/>
  </r>
  <r>
    <s v="INC2071"/>
    <d v="2023-06-02T08:49:00"/>
    <d v="2023-06-01T14:30:00"/>
    <s v="VELIKA STALEVSKA"/>
    <s v="THOMAS WILLIAMS"/>
    <s v="S910 Supply Chain"/>
    <m/>
    <s v="Customer / Contractor"/>
    <m/>
    <s v="Team member was cutting strings on the rolls and cutter slipped on the left hand . cut left index finger "/>
    <x v="0"/>
    <x v="0"/>
    <x v="0"/>
    <s v=""/>
    <x v="0"/>
    <x v="1"/>
    <x v="3"/>
    <s v="Q4, FY23"/>
  </r>
  <r>
    <s v="INC2117"/>
    <d v="2023-06-05T18:55:00"/>
    <d v="2023-05-31T19:40:00"/>
    <s v="VEERAPPA KATHIRVELU"/>
    <s v="STEVEN HARRISON"/>
    <s v="S910 Supply Chain"/>
    <m/>
    <s v="Safety Near Miss"/>
    <m/>
    <s v="Danish is unloading euro bins from the truck, the tines and machines got detached."/>
    <x v="0"/>
    <x v="0"/>
    <x v="0"/>
    <s v=""/>
    <x v="0"/>
    <x v="2"/>
    <x v="3"/>
    <s v="Q4, FY23"/>
  </r>
  <r>
    <s v="INC2262"/>
    <d v="2023-06-15T10:21:00"/>
    <d v="2023-05-08T11:50:00"/>
    <s v="CINDY LOPES"/>
    <s v="STEVEN HARRISON"/>
    <s v="S910 Supply Chain"/>
    <s v="FATHIMA WAZEER"/>
    <s v="Team Member Injury"/>
    <m/>
    <s v="Tripped on piece of cardboard on the floor as I turned around to put the box i was carrying into the cage"/>
    <x v="6"/>
    <x v="3"/>
    <x v="9"/>
    <s v="knees &amp; wrists"/>
    <x v="1"/>
    <x v="2"/>
    <x v="2"/>
    <s v="Q4, FY23"/>
  </r>
  <r>
    <s v="INC2381"/>
    <d v="2023-06-23T09:29:00"/>
    <d v="2023-06-22T11:25:00"/>
    <s v="VELIKA STALEVSKA"/>
    <s v="THOMAS WILLIAMS"/>
    <s v="S910 Supply Chain"/>
    <m/>
    <s v="Safety Near Miss"/>
    <m/>
    <s v="whilst unloading pallets that have been returned from the store, the last pallet was unstable and not stacked safely, MHE attempted to pick up the pallet, the gate was onthe right side of the MHE, as the MHE approached the truck the back of the MHE caught the gate and bent the gate "/>
    <x v="0"/>
    <x v="0"/>
    <x v="0"/>
    <s v=""/>
    <x v="0"/>
    <x v="1"/>
    <x v="3"/>
    <s v="Q4, FY23"/>
  </r>
  <r>
    <s v="INC2414"/>
    <d v="2023-06-26T09:18:00"/>
    <d v="2023-06-26T09:00:00"/>
    <s v="MICHELLE SLOVIK"/>
    <s v="STEVEN HARRISON"/>
    <s v="S910 Supply Chain"/>
    <m/>
    <s v="Team Member Injury"/>
    <m/>
    <s v="whilst unwrapping a pallet on the lifter to take plastic off  the pallet. worker was walking to the bailer and the cutting knife fell out of his pocket, team member stepped on knife with left leg then slipped over backwards and fell to the floor"/>
    <x v="0"/>
    <x v="0"/>
    <x v="0"/>
    <s v=""/>
    <x v="0"/>
    <x v="2"/>
    <x v="4"/>
    <s v="Q1, FY24"/>
  </r>
  <r>
    <s v="INC2619"/>
    <d v="2023-07-10T11:45:00"/>
    <d v="2023-07-10T10:15:00"/>
    <s v="CINDY LOPES"/>
    <s v="THOMAS WILLIAMS"/>
    <s v="S910 Supply Chain"/>
    <m/>
    <s v="Safety Near Miss"/>
    <m/>
    <s v="I was in the offices at 235 with Arlyn, when she said is that a fire outside in the smokers area, when i turned around to see a fire in the cigarette bin  the but bin was on fire, due to the bin being over filled "/>
    <x v="0"/>
    <x v="0"/>
    <x v="0"/>
    <s v=""/>
    <x v="0"/>
    <x v="1"/>
    <x v="4"/>
    <s v="Q1, FY24"/>
  </r>
  <r>
    <s v="INC2632"/>
    <d v="2023-07-11T10:55:00"/>
    <d v="2023-07-11T08:30:00"/>
    <s v="VELIKA STALEVSKA"/>
    <s v="THOMAS WILLIAMS"/>
    <s v="S910 Supply Chain"/>
    <m/>
    <s v="Safety Near Miss"/>
    <m/>
    <s v="poppy and trien were travelling along the path in front of the cross dock.  Trien has stopped to give way to a pedestrian, Poppy was looking to place product into location, she believed that Trien had moved, as she drove forward with product on her tines, she hit the Trien's MHE tines (reach) minor touch."/>
    <x v="0"/>
    <x v="0"/>
    <x v="0"/>
    <s v=""/>
    <x v="0"/>
    <x v="1"/>
    <x v="4"/>
    <s v="Q1, FY24"/>
  </r>
  <r>
    <s v="INC2686"/>
    <d v="2023-07-14T08:11:00"/>
    <d v="2023-07-12T10:30:00"/>
    <s v="VELIKA STALEVSKA"/>
    <s v="THOMAS WILLIAMS"/>
    <s v="S910 Supply Chain"/>
    <m/>
    <s v="Safety Near Miss"/>
    <m/>
    <s v="I Danish was closing the door before going home. I didn't know that Manish was outside.  I had closed the door 1/3 of the way down Manish did not notice the door being closed and drove through  hitting the bottom of the roller door "/>
    <x v="0"/>
    <x v="0"/>
    <x v="0"/>
    <s v=""/>
    <x v="0"/>
    <x v="1"/>
    <x v="4"/>
    <s v="Q1, FY24"/>
  </r>
  <r>
    <s v="INC2760"/>
    <d v="2023-07-19T08:32:00"/>
    <d v="2023-07-13T13:00:00"/>
    <s v="VELIKA STALEVSKA"/>
    <s v="THOMAS WILLIAMS"/>
    <s v="S910 Supply Chain"/>
    <m/>
    <s v="Safety Near Miss"/>
    <m/>
    <s v="pallet fell off forklift, turned too sharply and pallet was top heavy and fell off.."/>
    <x v="0"/>
    <x v="0"/>
    <x v="0"/>
    <s v=""/>
    <x v="0"/>
    <x v="1"/>
    <x v="4"/>
    <s v="Q1, FY24"/>
  </r>
  <r>
    <s v="INC2854"/>
    <d v="2023-07-24T08:23:00"/>
    <d v="2023-07-21T16:35:00"/>
    <s v="VELIKA STALEVSKA"/>
    <s v="THOMAS WILLIAMS"/>
    <s v="S910 Supply Chain"/>
    <m/>
    <s v="Customer / Contractor"/>
    <m/>
    <s v="hardeep was picking a box near conveyor belt and box around 12-13kg dropped from the conveyor on his right arm. the conveyor belt was being pushed in the opposite direction against the flow of the conveyor. "/>
    <x v="4"/>
    <x v="3"/>
    <x v="10"/>
    <s v="right arm"/>
    <x v="0"/>
    <x v="1"/>
    <x v="4"/>
    <s v="Q1, FY24"/>
  </r>
  <r>
    <s v="INC2855"/>
    <d v="2023-07-24T09:42:00"/>
    <d v="2023-07-19T08:00:00"/>
    <s v="VELIKA STALEVSKA"/>
    <s v="THOMAS WILLIAMS"/>
    <s v="S910 Supply Chain"/>
    <m/>
    <s v="Customer / Contractor"/>
    <m/>
    <s v="was trying to stack a box onto the pallets, was trying to place the box at the back of the pallet, space between the pallets was narrow, he tripped on the edge of the pallet falling onto his left knee, left knee was twisted "/>
    <x v="6"/>
    <x v="3"/>
    <x v="11"/>
    <s v="left knee"/>
    <x v="0"/>
    <x v="1"/>
    <x v="4"/>
    <s v="Q1, FY24"/>
  </r>
  <r>
    <s v="INC2861"/>
    <d v="2023-07-24T11:38:00"/>
    <d v="2023-07-24T11:00:00"/>
    <s v="VELIKA STALEVSKA"/>
    <s v="THOMAS WILLIAMS"/>
    <s v="S910 Supply Chain"/>
    <m/>
    <s v="Customer / Contractor"/>
    <m/>
    <s v="I was loading a pallet and then a forklift driver behind me picked up boxes and it fell onto my back. "/>
    <x v="5"/>
    <x v="3"/>
    <x v="12"/>
    <s v="back and right hip"/>
    <x v="0"/>
    <x v="1"/>
    <x v="5"/>
    <s v="Q1, FY24"/>
  </r>
  <r>
    <s v="INC2881"/>
    <d v="2023-07-25T15:00:00"/>
    <d v="2023-06-13T20:00:00"/>
    <s v="VELIKA STALEVSKA"/>
    <s v="THOMAS WILLIAMS"/>
    <s v="S910 Supply Chain"/>
    <s v="GIUSEPPE CASTELLO"/>
    <s v="Team Member Injury"/>
    <s v="Medical Treatment"/>
    <s v="walking outside the warehouse, tripped on the uneven concrete, fell, onto my hands injuring left wrist "/>
    <x v="6"/>
    <x v="3"/>
    <x v="13"/>
    <s v="left wrist"/>
    <x v="1"/>
    <x v="1"/>
    <x v="3"/>
    <s v="Q4, FY23"/>
  </r>
  <r>
    <s v="INC2967"/>
    <d v="2023-07-31T11:14:00"/>
    <d v="2023-07-27T12:41:00"/>
    <s v="VELIKA STALEVSKA"/>
    <s v="THOMAS WILLIAMS"/>
    <s v="S910 Supply Chain"/>
    <s v="GAGANDEEP KAUR"/>
    <s v="Team Member Injury"/>
    <m/>
    <s v="I moved one carton to a different location, did not notice plastic wrap, foot got stuck on the plastic.  carton hit my head as I held it .  I stumbled and the carton weighing approx. 7-8kg hit my head "/>
    <x v="5"/>
    <x v="3"/>
    <x v="14"/>
    <s v="left side of the head"/>
    <x v="1"/>
    <x v="1"/>
    <x v="5"/>
    <s v="Q1, FY24"/>
  </r>
  <r>
    <s v="INC3072"/>
    <d v="2023-08-07T11:17:00"/>
    <d v="2023-07-26T08:00:00"/>
    <s v="VELIKA STALEVSKA"/>
    <s v="THOMAS WILLIAMS"/>
    <s v="S910 Supply Chain"/>
    <s v="KEITH WILLIAMS"/>
    <s v="Team Member Injury"/>
    <m/>
    <s v="rug fell on my face and cracked the lens of my glasses   - was stacking rugs on the floor "/>
    <x v="5"/>
    <x v="5"/>
    <x v="1"/>
    <s v="face - glasses"/>
    <x v="4"/>
    <x v="1"/>
    <x v="5"/>
    <s v="Q1, FY24"/>
  </r>
  <r>
    <s v="INC3256"/>
    <d v="2023-08-21T08:35:00"/>
    <d v="2023-08-21T06:45:00"/>
    <s v="VELIKA STALEVSKA"/>
    <s v="THOMAS WILLIAMS"/>
    <s v="S910 Supply Chain"/>
    <m/>
    <s v="Safety Near Miss"/>
    <m/>
    <s v="container reversed above the ramp height - the container was on the dock and almost hit the top of the dock door. "/>
    <x v="0"/>
    <x v="0"/>
    <x v="0"/>
    <s v=""/>
    <x v="0"/>
    <x v="1"/>
    <x v="5"/>
    <s v="Q1, FY24"/>
  </r>
  <r>
    <s v="INC3276"/>
    <d v="2023-08-22T15:07:00"/>
    <d v="2023-08-22T05:45:00"/>
    <s v="CINDY LOPES"/>
    <s v="THOMAS WILLIAMS"/>
    <s v="S910 Supply Chain"/>
    <s v="SONALBEN PAREKH"/>
    <s v="Team Member Injury"/>
    <s v="First Aid Treatment"/>
    <s v="Sonal was walking to the clock machines when she slipped and twisted her ankle Left ankle "/>
    <x v="6"/>
    <x v="2"/>
    <x v="15"/>
    <s v="left ankle"/>
    <x v="1"/>
    <x v="1"/>
    <x v="5"/>
    <s v="Q1, FY24"/>
  </r>
  <r>
    <s v="INC3300"/>
    <d v="2023-08-23T19:40:00"/>
    <d v="2023-08-23T18:20:00"/>
    <s v="VEERAPPA KATHIRVELU"/>
    <s v="STEVEN HARRISON"/>
    <s v="S910 Supply Chain"/>
    <m/>
    <s v="Safety Near Miss"/>
    <m/>
    <s v="Elio moving the pallets near the door, when he turned he hit the safety pole near the door and tynes got damaged Near Roller door 9. "/>
    <x v="0"/>
    <x v="0"/>
    <x v="0"/>
    <s v=""/>
    <x v="0"/>
    <x v="2"/>
    <x v="5"/>
    <s v="Q1, FY24"/>
  </r>
  <r>
    <s v="INC3302"/>
    <d v="2023-08-24T08:15:00"/>
    <d v="2023-08-23T13:40:00"/>
    <s v="VELIKA STALEVSKA"/>
    <s v="THOMAS WILLIAMS"/>
    <s v="S910 Supply Chain"/>
    <m/>
    <s v="Safety Near Miss"/>
    <m/>
    <s v="I was gathering ERO bins to stack when the forklift tines hit the yellow barriers (concrete barriers), the tine has been bent back "/>
    <x v="0"/>
    <x v="0"/>
    <x v="0"/>
    <s v=""/>
    <x v="0"/>
    <x v="1"/>
    <x v="5"/>
    <s v="Q1, FY24"/>
  </r>
  <r>
    <s v="INC3344"/>
    <d v="2023-08-28T09:00:00"/>
    <d v="2023-08-25T11:00:00"/>
    <s v="VELIKA STALEVSKA"/>
    <s v="THOMAS WILLIAMS"/>
    <s v="S910 Supply Chain"/>
    <m/>
    <s v="Safety Near Miss"/>
    <m/>
    <s v="as the vehicle was entering the premises the boom gates only opened on one side, as the vehicle drove onto the site the truck hit the left boom gate "/>
    <x v="0"/>
    <x v="0"/>
    <x v="0"/>
    <s v=""/>
    <x v="0"/>
    <x v="1"/>
    <x v="5"/>
    <s v="Q1, FY24"/>
  </r>
  <r>
    <s v="INC3345"/>
    <d v="2023-08-28T09:08:00"/>
    <d v="2023-08-25T11:12:00"/>
    <s v="VELIKA STALEVSKA"/>
    <s v="THOMAS WILLIAMS"/>
    <s v="S910 Supply Chain"/>
    <m/>
    <s v="Safety Near Miss"/>
    <m/>
    <s v="task was to check the product /pallet prior to scanning for wrapping,  box was loose and fell infront  of me.  Box did not hit Poppy  team member pulling the pallet was mohommed. "/>
    <x v="0"/>
    <x v="0"/>
    <x v="0"/>
    <s v=""/>
    <x v="0"/>
    <x v="1"/>
    <x v="5"/>
    <s v="Q1, FY24"/>
  </r>
  <r>
    <s v="INC3350"/>
    <d v="2023-08-28T12:34:00"/>
    <d v="2023-08-25T12:31:00"/>
    <s v="VELIKA STALEVSKA"/>
    <s v="THOMAS WILLIAMS"/>
    <s v="S910 Supply Chain"/>
    <m/>
    <s v="Customer / Contractor"/>
    <m/>
    <s v="cut to my lips.  the tape got stuck on my lips whilst I was going to bite it off."/>
    <x v="1"/>
    <x v="1"/>
    <x v="1"/>
    <s v="lips"/>
    <x v="0"/>
    <x v="1"/>
    <x v="5"/>
    <s v="Q1, FY24"/>
  </r>
  <r>
    <s v="INC3351"/>
    <d v="2023-08-28T12:53:00"/>
    <d v="2023-08-25T11:15:00"/>
    <s v="VELIKA STALEVSKA"/>
    <s v="THOMAS WILLIAMS"/>
    <s v="S910 Supply Chain"/>
    <m/>
    <s v="Safety Near Miss"/>
    <m/>
    <s v="whilst turning the forklift the tines hit the bollard in front of the cross dock conveyor.  was trying to assist the other forklift driver as the pallet was leaning so I tried to re align the pallets but the space was tight and the tines hit the bollard. "/>
    <x v="0"/>
    <x v="0"/>
    <x v="0"/>
    <s v=""/>
    <x v="0"/>
    <x v="1"/>
    <x v="5"/>
    <s v="Q1, FY24"/>
  </r>
  <r>
    <s v="INC3352"/>
    <d v="2023-08-28T12:56:00"/>
    <d v="2023-08-28T07:30:00"/>
    <s v="VELIKA STALEVSKA"/>
    <s v="THOMAS WILLIAMS"/>
    <s v="S910 Supply Chain"/>
    <m/>
    <s v="Customer / Contractor"/>
    <m/>
    <s v="whilst working suddenly felt dizzy and had a sharp pain in my head "/>
    <x v="3"/>
    <x v="6"/>
    <x v="1"/>
    <s v="head"/>
    <x v="0"/>
    <x v="1"/>
    <x v="6"/>
    <s v="Q1, FY24"/>
  </r>
  <r>
    <s v="INC3375"/>
    <d v="2023-08-30T12:54:00"/>
    <d v="2023-08-30T10:00:00"/>
    <s v="VELIKA STALEVSKA"/>
    <s v="THOMAS WILLIAMS"/>
    <s v="S910 Supply Chain"/>
    <s v="ELIZABETH POPPLETON"/>
    <s v="Team Member Injury"/>
    <m/>
    <s v="fragile box was on top of a stack of boxes upside down, trying to reach the box and remove, the box slipped out of my fingers and I lost balance and hurt left shoulder. was standing between two pallets "/>
    <x v="4"/>
    <x v="3"/>
    <x v="16"/>
    <s v="Left Shoulder"/>
    <x v="1"/>
    <x v="1"/>
    <x v="6"/>
    <s v="Q1, FY24"/>
  </r>
  <r>
    <s v="INC3440"/>
    <d v="2023-09-04T10:26:00"/>
    <d v="2023-08-08T11:00:00"/>
    <s v="VELIKA STALEVSKA"/>
    <s v="THOMAS WILLIAMS"/>
    <s v="S910 Supply Chain"/>
    <s v="DALJIT KAUR"/>
    <s v="Team Member Injury"/>
    <s v="First Aid Treatment"/>
    <s v="sustained a sore Right shoulder pain due to lifting heavy boxes at Cross dock, "/>
    <x v="2"/>
    <x v="2"/>
    <x v="6"/>
    <s v="right shoulder"/>
    <x v="1"/>
    <x v="1"/>
    <x v="5"/>
    <s v="Q1, FY24"/>
  </r>
  <r>
    <s v="INC3471"/>
    <d v="2023-09-05T19:42:00"/>
    <d v="2023-09-01T16:30:00"/>
    <s v="VEERAPPA KATHIRVELU"/>
    <s v="STEVEN HARRISON"/>
    <s v="S910 Supply Chain"/>
    <m/>
    <s v="Safety Near Miss"/>
    <m/>
    <s v="Pallet collapsed when unloading the truck with Harris Scarfe stock"/>
    <x v="0"/>
    <x v="0"/>
    <x v="0"/>
    <s v=""/>
    <x v="0"/>
    <x v="2"/>
    <x v="6"/>
    <s v="Q1, FY24"/>
  </r>
  <r>
    <s v="INC3531"/>
    <d v="2023-09-11T09:43:00"/>
    <d v="2023-09-08T13:05:00"/>
    <s v="DOMENICO MARTELLO"/>
    <s v="THOMAS WILLIAMS"/>
    <s v="S910 Supply Chain"/>
    <m/>
    <s v="Safety Near Miss"/>
    <m/>
    <s v="While Picking with a high reach from aisle 50 there are black bins on the end of aisle 16, Denyon was backing out has come to contact with the black bin and the racking forcing the damage to the racking. The front of the MHE impacted with the racking causing damage to the cross beams - racking needs to be destacked "/>
    <x v="0"/>
    <x v="0"/>
    <x v="0"/>
    <s v=""/>
    <x v="0"/>
    <x v="1"/>
    <x v="6"/>
    <s v="Q1, FY24"/>
  </r>
  <r>
    <s v="INC3546"/>
    <d v="2023-09-12T08:40:00"/>
    <d v="2023-09-08T12:40:00"/>
    <s v="MICHAEL MARKOVICAN"/>
    <s v="STEVEN HARRISON"/>
    <s v="S910 Supply Chain"/>
    <m/>
    <s v="Safety Near Miss"/>
    <m/>
    <s v="Casual staff member Srujan Balagar reversed from store lane after put away and accidently accelerated into lower racking upright with tugger."/>
    <x v="0"/>
    <x v="0"/>
    <x v="0"/>
    <s v=""/>
    <x v="0"/>
    <x v="2"/>
    <x v="6"/>
    <s v="Q1, FY24"/>
  </r>
  <r>
    <s v="INC3598"/>
    <d v="2023-09-15T13:30:00"/>
    <d v="2023-09-15T11:35:00"/>
    <s v="CINDY LOPES"/>
    <s v="THOMAS WILLIAMS"/>
    <s v="S910 Supply Chain"/>
    <s v="JYOTI JYOTI"/>
    <s v="Team Member Injury"/>
    <s v="First Aid Treatment"/>
    <s v="was pulling out a box when a roll of shrink rolled an hit her hand "/>
    <x v="4"/>
    <x v="3"/>
    <x v="13"/>
    <s v="index finger on left hand"/>
    <x v="4"/>
    <x v="1"/>
    <x v="6"/>
    <s v="Q1, FY24"/>
  </r>
  <r>
    <s v="INC3640"/>
    <d v="2023-09-19T14:11:00"/>
    <d v="2023-09-08T13:34:00"/>
    <s v="VELIKA STALEVSKA"/>
    <s v="THOMAS WILLIAMS"/>
    <s v="S910 Supply Chain"/>
    <m/>
    <s v="Customer / Contractor"/>
    <m/>
    <s v="whilst I was pulling the pallet jack it hit the back of my foot.  whilst pulling the pallet jack I stopped and my foot was in the way "/>
    <x v="7"/>
    <x v="3"/>
    <x v="17"/>
    <s v="left foot at the back"/>
    <x v="0"/>
    <x v="1"/>
    <x v="6"/>
    <s v="Q1, FY24"/>
  </r>
  <r>
    <s v="INC3641"/>
    <d v="2023-09-19T14:17:00"/>
    <d v="2023-09-05T08:00:00"/>
    <s v="VELIKA STALEVSKA"/>
    <s v="THOMAS WILLIAMS"/>
    <s v="S910 Supply Chain"/>
    <m/>
    <s v="Customer / Contractor"/>
    <m/>
    <s v="went to pick up cardboard to make boxes and the paper cardboard went into my eye.  the cardboard flew into my eye "/>
    <x v="1"/>
    <x v="5"/>
    <x v="18"/>
    <s v="eye left.."/>
    <x v="0"/>
    <x v="1"/>
    <x v="6"/>
    <s v="Q1, FY24"/>
  </r>
  <r>
    <s v="INC3642"/>
    <d v="2023-09-19T15:11:00"/>
    <d v="2023-09-06T15:07:00"/>
    <s v="VELIKA STALEVSKA"/>
    <s v="THOMAS WILLIAMS"/>
    <s v="S910 Supply Chain"/>
    <m/>
    <s v="Safety Near Miss"/>
    <m/>
    <s v="Neeraj and Mohammed Abdul had a misunderstanding.  Abdul believed that Neeraj told him to F...off. both team members were spoken to and it was explained that a misunderstanding occurred. the two team members are to be more courteous to each other when speaking "/>
    <x v="0"/>
    <x v="0"/>
    <x v="0"/>
    <s v=""/>
    <x v="0"/>
    <x v="1"/>
    <x v="6"/>
    <s v="Q1, FY24"/>
  </r>
  <r>
    <s v="INC3653"/>
    <d v="2023-09-19T17:42:00"/>
    <d v="2023-09-18T19:00:00"/>
    <s v="AJAYPAL SINGH"/>
    <s v="ANTONIO LAI PATRICIO COELHO"/>
    <s v="S910 Supply Chain"/>
    <m/>
    <s v="Safety Near Miss"/>
    <m/>
    <s v="Forklift Operator Jai Parkash was bringing a pallet down from level 5 in Aisle 14 when a carton from that pallet fell down as the  pallet was not safely wrapped/taped. "/>
    <x v="0"/>
    <x v="0"/>
    <x v="0"/>
    <s v=""/>
    <x v="0"/>
    <x v="2"/>
    <x v="6"/>
    <s v="Q1, FY24"/>
  </r>
  <r>
    <s v="INC3709"/>
    <d v="2023-09-25T08:53:00"/>
    <d v="2023-09-22T12:26:00"/>
    <s v="VELIKA STALEVSKA"/>
    <s v="THOMAS WILLIAMS"/>
    <s v="S910 Supply Chain"/>
    <m/>
    <s v="Safety Near Miss"/>
    <m/>
    <s v="I was picking in aisle 10 whilst driving little bit forward I cant see the black pole because it was my blind spot and I hit with the high reach unit  ESR 1015. driving forward with tines, vision restricted by mast.."/>
    <x v="0"/>
    <x v="0"/>
    <x v="0"/>
    <s v=""/>
    <x v="0"/>
    <x v="1"/>
    <x v="6"/>
    <s v="Q1, FY24"/>
  </r>
  <r>
    <s v="INC3748"/>
    <d v="2023-09-27T10:51:00"/>
    <d v="2023-09-04T11:00:00"/>
    <s v="VELIKA STALEVSKA"/>
    <s v="THOMAS WILLIAMS"/>
    <s v="S910 Supply Chain"/>
    <m/>
    <s v="Safety Near Miss"/>
    <m/>
    <s v="Boxes fell off a pallet as it was raised to be unstacked and placed near the conveyor. boxes fell onto the safety rails in the Koo area damaging the railing  "/>
    <x v="0"/>
    <x v="0"/>
    <x v="0"/>
    <s v=""/>
    <x v="0"/>
    <x v="1"/>
    <x v="6"/>
    <s v="Q1, FY24"/>
  </r>
  <r>
    <s v="INC3749"/>
    <d v="2023-09-27T10:54:00"/>
    <d v="2023-09-19T13:31:00"/>
    <s v="VELIKA STALEVSKA"/>
    <s v="THOMAS WILLIAMS"/>
    <s v="S910 Supply Chain"/>
    <s v="KARL SAN JOSE"/>
    <s v="Team Member Injury"/>
    <m/>
    <s v="wood splinter on Right middle finger whilst lifting timber pallet by hand "/>
    <x v="1"/>
    <x v="5"/>
    <x v="8"/>
    <s v="right middle finger"/>
    <x v="4"/>
    <x v="1"/>
    <x v="6"/>
    <s v="Q1, FY24"/>
  </r>
  <r>
    <s v="INC3752"/>
    <d v="2023-09-27T11:03:00"/>
    <d v="2023-09-26T11:00:00"/>
    <s v="VELIKA STALEVSKA"/>
    <s v="THOMAS WILLIAMS"/>
    <s v="S910 Supply Chain"/>
    <m/>
    <s v="Safety Near Miss"/>
    <m/>
    <s v="unsafe double stack damaging stock. unsafe and improper double stacking  "/>
    <x v="0"/>
    <x v="0"/>
    <x v="0"/>
    <s v=""/>
    <x v="0"/>
    <x v="1"/>
    <x v="7"/>
    <s v="Q2, FY24"/>
  </r>
  <r>
    <s v="INC3753"/>
    <d v="2023-09-27T11:06:00"/>
    <d v="2023-09-26T11:04:00"/>
    <s v="VELIKA STALEVSKA"/>
    <s v="THOMAS WILLIAMS"/>
    <s v="S910 Supply Chain"/>
    <m/>
    <s v="Safety Near Miss"/>
    <m/>
    <s v="pallets stock pushed against the pedestrian walkway barrier. "/>
    <x v="0"/>
    <x v="0"/>
    <x v="0"/>
    <s v=""/>
    <x v="0"/>
    <x v="1"/>
    <x v="7"/>
    <s v="Q2, FY24"/>
  </r>
  <r>
    <s v="INC3754"/>
    <d v="2023-09-27T11:08:00"/>
    <d v="2023-09-26T11:06:00"/>
    <s v="VELIKA STALEVSKA"/>
    <s v="THOMAS WILLIAMS"/>
    <s v="S910 Supply Chain"/>
    <m/>
    <s v="Safety Near Miss"/>
    <m/>
    <s v="stock damaged due to improper double stacking practice. "/>
    <x v="0"/>
    <x v="0"/>
    <x v="0"/>
    <s v=""/>
    <x v="0"/>
    <x v="1"/>
    <x v="7"/>
    <s v="Q2, FY24"/>
  </r>
  <r>
    <s v="INC3930"/>
    <d v="2023-10-12T22:19:00"/>
    <d v="2023-10-09T17:30:00"/>
    <s v="VEERAPPA KATHIRVELU"/>
    <s v="STEVEN HARRISON"/>
    <s v="S910 Supply Chain"/>
    <m/>
    <s v="Safety Near Miss"/>
    <m/>
    <s v="Pallet tripped over when unloading due to weight on one side"/>
    <x v="0"/>
    <x v="0"/>
    <x v="0"/>
    <s v=""/>
    <x v="0"/>
    <x v="2"/>
    <x v="7"/>
    <s v="Q2, FY24"/>
  </r>
  <r>
    <s v="INC3969"/>
    <d v="2023-10-17T08:55:00"/>
    <d v="2023-10-16T13:55:00"/>
    <s v="VELIKA STALEVSKA"/>
    <s v="THOMAS WILLIAMS"/>
    <s v="S910 Supply Chain"/>
    <m/>
    <s v="Safety Near Miss"/>
    <m/>
    <s v="Team member (Edgar San Jose) was travelling in reverse carry a stillage, he was travelling from the despatch area to the loose load area, approximately 100 meters in reverse at speed.  Managers were conducting inspections in the wrapping area and noticed Edgar speeding, he was told to stop and exit the counter balance pending investigation "/>
    <x v="0"/>
    <x v="0"/>
    <x v="0"/>
    <s v=""/>
    <x v="0"/>
    <x v="1"/>
    <x v="7"/>
    <s v="Q2, FY24"/>
  </r>
  <r>
    <s v="INC3996"/>
    <d v="2023-10-19T09:35:00"/>
    <d v="2023-10-18T15:32:00"/>
    <s v="VELIKA STALEVSKA"/>
    <s v="THOMAS WILLIAMS"/>
    <s v="S910 Supply Chain"/>
    <m/>
    <s v="Safety Near Miss"/>
    <m/>
    <s v="driving reach truck tynes forward, hit the witches hat and column upright, thought location was a lot further "/>
    <x v="0"/>
    <x v="0"/>
    <x v="0"/>
    <s v=""/>
    <x v="0"/>
    <x v="1"/>
    <x v="7"/>
    <s v="Q2, FY24"/>
  </r>
  <r>
    <s v="INC3998"/>
    <d v="2023-10-19T10:46:00"/>
    <d v="2023-10-12T10:20:00"/>
    <s v="VELIKA STALEVSKA"/>
    <s v="THOMAS WILLIAMS"/>
    <s v="S910 Supply Chain"/>
    <m/>
    <s v="Safety Near Miss"/>
    <m/>
    <s v="I wanted to enter the driveway and the opposite person wanted to enter the same driveway, we were too close and the tynes from one tugger and the other tugger got hit."/>
    <x v="0"/>
    <x v="0"/>
    <x v="0"/>
    <s v=""/>
    <x v="0"/>
    <x v="1"/>
    <x v="7"/>
    <s v="Q2, FY24"/>
  </r>
  <r>
    <s v="INC4032"/>
    <d v="2023-10-23T06:58:00"/>
    <d v="2023-10-20T10:10:00"/>
    <s v="DOMENICO MARTELLO"/>
    <s v="THOMAS WILLIAMS"/>
    <s v="S910 Supply Chain"/>
    <m/>
    <s v="Safety Near Miss"/>
    <m/>
    <s v="Jovan (reach driver) was adhoc pallets into empty locations, went to put-away a pallet on 6 level product was a little high and hit the water sprinkler.  "/>
    <x v="0"/>
    <x v="0"/>
    <x v="0"/>
    <s v=""/>
    <x v="0"/>
    <x v="1"/>
    <x v="7"/>
    <s v="Q2, FY24"/>
  </r>
  <r>
    <s v="INC4033"/>
    <d v="2023-10-23T09:11:00"/>
    <d v="2023-10-06T09:08:00"/>
    <s v="VELIKA STALEVSKA"/>
    <s v="THOMAS WILLIAMS"/>
    <s v="S910 Supply Chain"/>
    <m/>
    <s v="Safety Near Miss"/>
    <m/>
    <s v="carrying double stacked pallets, not wrapped correctly pallet collapsed and product damaged "/>
    <x v="0"/>
    <x v="0"/>
    <x v="0"/>
    <s v=""/>
    <x v="0"/>
    <x v="1"/>
    <x v="7"/>
    <s v="Q2, FY24"/>
  </r>
  <r>
    <s v="INC4037"/>
    <d v="2023-10-23T11:02:00"/>
    <d v="2023-10-23T08:15:00"/>
    <s v="VELIKA STALEVSKA"/>
    <s v="THOMAS WILLIAMS"/>
    <s v="S910 Supply Chain"/>
    <m/>
    <s v="Customer / Contractor"/>
    <m/>
    <s v="taking out product from the box twisted wrist.."/>
    <x v="2"/>
    <x v="3"/>
    <x v="19"/>
    <s v="wrist left"/>
    <x v="0"/>
    <x v="1"/>
    <x v="8"/>
    <s v="Q2, FY24"/>
  </r>
  <r>
    <s v="INC4187"/>
    <d v="2023-11-01T13:45:00"/>
    <d v="2023-11-01T09:10:00"/>
    <s v="VELIKA STALEVSKA"/>
    <s v="THOMAS WILLIAMS"/>
    <s v="S910 Supply Chain"/>
    <m/>
    <s v="Customer / Contractor"/>
    <m/>
    <s v="moving the plastic pallet it hit his right leg (ankle)  broken part of the pallet "/>
    <x v="1"/>
    <x v="3"/>
    <x v="20"/>
    <s v="right ankle small but and buise"/>
    <x v="0"/>
    <x v="1"/>
    <x v="8"/>
    <s v="Q2, FY24"/>
  </r>
  <r>
    <s v="INC4188"/>
    <d v="2023-11-01T13:50:00"/>
    <d v="2023-10-31T07:30:00"/>
    <s v="VELIKA STALEVSKA"/>
    <s v="THOMAS WILLIAMS"/>
    <s v="S910 Supply Chain"/>
    <m/>
    <s v="Customer / Contractor"/>
    <m/>
    <s v="was picking up a fairly heavy box and felt a sharp pain on my lower back. "/>
    <x v="2"/>
    <x v="2"/>
    <x v="12"/>
    <s v="lower back"/>
    <x v="0"/>
    <x v="1"/>
    <x v="8"/>
    <s v="Q2, FY24"/>
  </r>
  <r>
    <s v="INC4208"/>
    <d v="2023-11-02T15:17:00"/>
    <d v="2023-10-31T15:13:00"/>
    <s v="VELIKA STALEVSKA"/>
    <s v="THOMAS WILLIAMS"/>
    <s v="S910 Supply Chain"/>
    <m/>
    <s v="Safety Near Miss"/>
    <m/>
    <s v="rugs packing into a cardboard box had collapsed due to the weight and unbalanced load.  "/>
    <x v="0"/>
    <x v="0"/>
    <x v="0"/>
    <s v=""/>
    <x v="0"/>
    <x v="1"/>
    <x v="8"/>
    <s v="Q2, FY24"/>
  </r>
  <r>
    <s v="INC4211"/>
    <d v="2023-11-02T15:52:00"/>
    <d v="2023-11-02T11:00:00"/>
    <s v="VELIKA STALEVSKA"/>
    <s v="THOMAS WILLIAMS"/>
    <s v="S910 Supply Chain"/>
    <m/>
    <s v="Safety Near Miss"/>
    <m/>
    <s v="whilst conducting a let down, reversing the reach, reach slid and hit the beam behind "/>
    <x v="0"/>
    <x v="0"/>
    <x v="0"/>
    <s v=""/>
    <x v="0"/>
    <x v="1"/>
    <x v="8"/>
    <s v="Q2, FY24"/>
  </r>
  <r>
    <s v="INC4264"/>
    <d v="2023-11-08T08:00:00"/>
    <d v="2023-11-04T09:56:00"/>
    <s v="VELIKA STALEVSKA"/>
    <s v="THOMAS WILLIAMS"/>
    <s v="S910 Supply Chain"/>
    <s v="NAMONKOAH NIPOE"/>
    <s v="Team Member Injury"/>
    <s v="First Aid Treatment"/>
    <s v="was driving a tugger and the plastic on the floor made the tugger swing cut my little finger Right finger "/>
    <x v="5"/>
    <x v="3"/>
    <x v="8"/>
    <s v="right little finger"/>
    <x v="4"/>
    <x v="1"/>
    <x v="8"/>
    <s v="Q2, FY24"/>
  </r>
  <r>
    <s v="INC4272"/>
    <d v="2023-11-08T14:40:00"/>
    <d v="2023-11-01T13:15:00"/>
    <s v="VELIKA STALEVSKA"/>
    <s v="THOMAS WILLIAMS"/>
    <s v="S910 Supply Chain"/>
    <m/>
    <s v="Safety Near Miss"/>
    <m/>
    <s v="MHE operator was pushing product forward - in the allocation feed in area, pedestrian wanted to pick some product from this area, the product in the line near the pedestrian was pushed forward. "/>
    <x v="0"/>
    <x v="0"/>
    <x v="0"/>
    <s v=""/>
    <x v="0"/>
    <x v="1"/>
    <x v="8"/>
    <s v="Q2, FY24"/>
  </r>
  <r>
    <s v="INC4273"/>
    <d v="2023-11-08T15:57:00"/>
    <d v="2023-11-08T15:06:00"/>
    <s v="MICHELLE SLOVIK"/>
    <s v="STEVEN HARRISON"/>
    <s v="S910 Supply Chain"/>
    <m/>
    <s v="Team Member Injury"/>
    <m/>
    <s v="whilst pushing a carton down lane 9, a little carton was passing by which the staff member saw last minuite, the staff members then scraped his right forearm up againt the guard, which resulted in a gash on the worker right fore arm approx 3cm long, staff went to the toilet and washed the blood off and approched our 1st aid team member. wound was then cleaned and antiseptic applied, gauze applied and then bandaged up. team member was then advise/informed to go to the doctor to check up wound."/>
    <x v="0"/>
    <x v="0"/>
    <x v="0"/>
    <s v=""/>
    <x v="0"/>
    <x v="2"/>
    <x v="8"/>
    <s v="Q2, FY24"/>
  </r>
  <r>
    <s v="INC4315"/>
    <d v="2023-11-13T12:49:00"/>
    <d v="2023-11-06T06:30:00"/>
    <s v="VELIKA STALEVSKA"/>
    <s v="THOMAS WILLIAMS"/>
    <s v="S910 Supply Chain"/>
    <m/>
    <s v="Customer / Contractor"/>
    <m/>
    <s v="I was fixing the pallet, one box fell on my hand and cut a my finger, some bleeding, middle finger "/>
    <x v="4"/>
    <x v="1"/>
    <x v="21"/>
    <s v="middle finger"/>
    <x v="0"/>
    <x v="1"/>
    <x v="8"/>
    <s v="Q2, FY24"/>
  </r>
  <r>
    <s v="INC4318"/>
    <d v="2023-11-13T16:48:00"/>
    <d v="2023-11-13T16:15:00"/>
    <s v="VEERAPPA KATHIRVELU"/>
    <s v="STEVEN HARRISON"/>
    <s v="S910 Supply Chain"/>
    <m/>
    <s v="Safety Near Miss"/>
    <m/>
    <s v="Shaliman was turning and didn't notice Charles coming and he hit the Charles Lo machine."/>
    <x v="0"/>
    <x v="0"/>
    <x v="0"/>
    <s v=""/>
    <x v="0"/>
    <x v="2"/>
    <x v="8"/>
    <s v="Q2, FY24"/>
  </r>
  <r>
    <s v="INC4376"/>
    <d v="2023-11-18T13:35:00"/>
    <d v="2023-11-18T13:00:00"/>
    <s v="RAJANKUMAR VINODKUMAR BHAVSAR"/>
    <s v="STEVEN HARRISON"/>
    <s v="S910 Supply Chain"/>
    <m/>
    <s v="Safety Near Miss"/>
    <m/>
    <s v="One of the wrapping team member Charles wal was driving forklift and hit Aisle 15 with stock and damage location A15-21-215 "/>
    <x v="0"/>
    <x v="0"/>
    <x v="0"/>
    <s v=""/>
    <x v="0"/>
    <x v="2"/>
    <x v="8"/>
    <s v="Q2, FY24"/>
  </r>
  <r>
    <s v="INC4428"/>
    <d v="2023-11-23T07:47:00"/>
    <d v="2023-11-22T11:30:00"/>
    <s v="CINDY LOPES"/>
    <s v="THOMAS WILLIAMS"/>
    <s v="S910 Supply Chain"/>
    <s v="NINDA TRIANTY"/>
    <s v="Team Member Injury"/>
    <s v="First Aid Treatment"/>
    <s v="Team member hit the side of her left ankle with the cage trolley while moving it "/>
    <x v="7"/>
    <x v="1"/>
    <x v="22"/>
    <s v="Left inside of ankle"/>
    <x v="4"/>
    <x v="1"/>
    <x v="8"/>
    <s v="Q2, FY24"/>
  </r>
  <r>
    <s v="INC4454"/>
    <d v="2023-11-24T18:52:00"/>
    <d v="2023-11-24T14:30:00"/>
    <s v="AJAYPAL SINGH"/>
    <s v="ANTONIO LAI PATRICIO COELHO"/>
    <s v="S910 Supply Chain"/>
    <s v="AJAYPAL SINGH"/>
    <s v="Team Member Injury"/>
    <m/>
    <s v="Battery of LO  Machine VR11200 came out and started leaking. I was walking near by and the acid drops fell all over my legs and arms. My trouser was all damaged and I felt some irritation so I had to take a shower and change my cloths. "/>
    <x v="3"/>
    <x v="3"/>
    <x v="23"/>
    <s v="Legs and Arms"/>
    <x v="5"/>
    <x v="2"/>
    <x v="8"/>
    <s v="Q2, FY24"/>
  </r>
  <r>
    <s v="INC4455"/>
    <d v="2023-11-24T19:03:00"/>
    <d v="2023-11-24T14:30:00"/>
    <s v="AJAYPAL SINGH"/>
    <s v="ANTONIO LAI PATRICIO COELHO"/>
    <s v="S910 Supply Chain"/>
    <s v="NATHAN HUYNH"/>
    <s v="Team Member Injury"/>
    <m/>
    <s v="Battery of LO  Machine VR11200 came out and started leaking. I was walking near by and the liquid drops fell all over my legs. My trouser was all damaged and I felt some irritation so I had to take a shower and change my cloths. "/>
    <x v="3"/>
    <x v="3"/>
    <x v="24"/>
    <s v="Legs and feet"/>
    <x v="6"/>
    <x v="2"/>
    <x v="8"/>
    <s v="Q2, FY24"/>
  </r>
  <r>
    <s v="INC4599"/>
    <d v="2023-12-07T11:07:00"/>
    <d v="2023-12-07T05:58:00"/>
    <s v="VELIKA STALEVSKA"/>
    <s v="THOMAS WILLIAMS"/>
    <s v="S910 Supply Chain"/>
    <m/>
    <s v="Safety Near Miss"/>
    <m/>
    <s v="team member was disconnecting the charging cable from the counterbalance, the battery cells exploded.  small plastic flew into the air and fell to the ground. The explosion was very loud and could be hear at the far end of the warehouse.  Team member stated that he has some ringing in his ears, this settled after an hour.   unit number 486, this unit was not charged on the corresponding battery charging unit.  No pre starts were completed.  no one was responsible for the filling of the battery cells. "/>
    <x v="0"/>
    <x v="0"/>
    <x v="0"/>
    <s v=""/>
    <x v="0"/>
    <x v="1"/>
    <x v="9"/>
    <s v="Q2, FY24"/>
  </r>
  <r>
    <s v="INC4600"/>
    <d v="2023-12-07T11:52:00"/>
    <d v="2023-12-07T10:25:00"/>
    <s v="BRADLEE FEILO-HASINI"/>
    <s v="THOMAS WILLIAMS"/>
    <s v="S910 Supply Chain"/>
    <s v="BRADLEE FEILO-HASINI"/>
    <s v="Safety Near Miss"/>
    <m/>
    <s v="CONTRACTOR - HUTCHINSON, JARRED Stock (tables) fell off the pallet onto the team member. The tables were stacked on top of a light box which became unbalanced. It pushed the other tables that were stacked upright to fall onto the team member while he was crouching to write SSCC number on the pallet. Team member braced as the table fell which hit his arm and head."/>
    <x v="0"/>
    <x v="0"/>
    <x v="0"/>
    <s v=""/>
    <x v="4"/>
    <x v="1"/>
    <x v="9"/>
    <s v="Q2, FY24"/>
  </r>
  <r>
    <s v="INC4638"/>
    <d v="2023-12-11T12:36:00"/>
    <d v="2023-12-11T11:00:00"/>
    <s v="VELIKA STALEVSKA"/>
    <s v="THOMAS WILLIAMS"/>
    <s v="S910 Supply Chain"/>
    <m/>
    <s v="Safety Near Miss"/>
    <m/>
    <s v="vehicle was parked in the loading bays, curtains and gates open, second vehicle semi trailer was exiting the site, as he turned his vehicle he clipped the trucks gate slightly bending the gate."/>
    <x v="0"/>
    <x v="0"/>
    <x v="0"/>
    <s v=""/>
    <x v="0"/>
    <x v="1"/>
    <x v="9"/>
    <s v="Q2, FY24"/>
  </r>
  <r>
    <s v="INC4669"/>
    <d v="2023-12-13T08:22:00"/>
    <d v="2023-12-07T08:19:00"/>
    <s v="VELIKA STALEVSKA"/>
    <s v="THOMAS WILLIAMS"/>
    <s v="S910 Supply Chain"/>
    <m/>
    <s v="Customer / Contractor"/>
    <m/>
    <s v="cut myself with the blade of the tape gun, left middle finger"/>
    <x v="1"/>
    <x v="1"/>
    <x v="25"/>
    <s v="middle finger left hand"/>
    <x v="0"/>
    <x v="1"/>
    <x v="9"/>
    <s v="Q2, FY24"/>
  </r>
  <r>
    <s v="INC4671"/>
    <d v="2023-12-13T08:26:00"/>
    <d v="2023-12-13T06:08:00"/>
    <s v="VELIKA STALEVSKA"/>
    <s v="THOMAS WILLIAMS"/>
    <s v="S910 Supply Chain"/>
    <m/>
    <s v="Customer / Contractor"/>
    <m/>
    <s v="top heavy stacking  heavy boxes fell on head and shoulder.  "/>
    <x v="4"/>
    <x v="3"/>
    <x v="26"/>
    <s v="head and shoulder sore from the box falling"/>
    <x v="0"/>
    <x v="1"/>
    <x v="9"/>
    <s v="Q2, FY24"/>
  </r>
  <r>
    <s v="INC4726"/>
    <d v="2023-12-18T08:26:00"/>
    <d v="2023-12-07T06:22:00"/>
    <s v="VELIKA STALEVSKA"/>
    <s v="THOMAS WILLIAMS"/>
    <s v="S910 Supply Chain"/>
    <s v="DENNY VETEHA"/>
    <s v="Team Member Injury"/>
    <s v="Potential LTI"/>
    <s v="battery cells exploded. Team member states that he has some ringing in his ears."/>
    <x v="3"/>
    <x v="5"/>
    <x v="4"/>
    <s v="ears"/>
    <x v="7"/>
    <x v="1"/>
    <x v="9"/>
    <s v="Q2, FY24"/>
  </r>
  <r>
    <s v="INC4727"/>
    <d v="2023-12-18T10:05:00"/>
    <d v="2023-12-18T06:40:00"/>
    <s v="VELIKA STALEVSKA"/>
    <s v="THOMAS WILLIAMS"/>
    <s v="S910 Supply Chain"/>
    <s v="DANIEL KUOL"/>
    <s v="Team Member Injury"/>
    <s v="Medical Treatment"/>
    <s v="was lifting blinds to place into the bin, felt pain on lower back"/>
    <x v="2"/>
    <x v="2"/>
    <x v="2"/>
    <s v="lower back"/>
    <x v="1"/>
    <x v="1"/>
    <x v="9"/>
    <s v="Q2, FY24"/>
  </r>
  <r>
    <s v="INC4738"/>
    <d v="2023-12-18T12:53:00"/>
    <d v="2023-12-18T07:30:00"/>
    <s v="RAJANKUMAR VINODKUMAR BHAVSAR"/>
    <s v="STEVEN HARRISON"/>
    <s v="S910 Supply Chain"/>
    <s v="ELIZABETH POPPLETON"/>
    <s v="Team Member Injury"/>
    <s v="First Aid Treatment"/>
    <s v="put one pallet in allocation empty pallet area, pallet in that area not stack properly one of the pallet just move and hit leg."/>
    <x v="2"/>
    <x v="1"/>
    <x v="3"/>
    <s v="right leg"/>
    <x v="4"/>
    <x v="2"/>
    <x v="9"/>
    <s v="Q2, FY24"/>
  </r>
  <r>
    <s v="INC4864"/>
    <d v="2023-12-28T18:55:00"/>
    <d v="2023-12-28T13:00:00"/>
    <s v="CINDY LOPES"/>
    <s v="THOMAS WILLIAMS"/>
    <s v="S910 Supply Chain"/>
    <m/>
    <s v="Customer / Contractor"/>
    <m/>
    <s v="when the b-double entered the yard, it was busy, the driver head to the end to do a u-turn to park against the fence, when he missed judge the area, hitting the railing with the back part of the trailer, he then became stuck"/>
    <x v="0"/>
    <x v="0"/>
    <x v="0"/>
    <s v=""/>
    <x v="0"/>
    <x v="1"/>
    <x v="10"/>
    <s v="Q3, FY24"/>
  </r>
  <r>
    <s v="INC4870"/>
    <d v="2023-12-29T07:38:00"/>
    <d v="2023-12-28T08:00:00"/>
    <s v="RAJANKUMAR VINODKUMAR BHAVSAR"/>
    <s v="STEVEN HARRISON"/>
    <s v="S910 Supply Chain"/>
    <m/>
    <s v="Team Member Injury"/>
    <m/>
    <s v="Steve Harrison and I investigated a fight between Amiin Duale and Daruisz Wisnniewski in the toilet. According to witness 1 (Chol Majok), he walked into the toilet and witnessed Amiin and Daruisz fighting. Both Amiin and Daruisz had blood on them, resulting from the injuries they sustained during the fight. Witness 2( Ayoub Galaidos)  detailed a similar story to Chol. He attempted to separate Amiin and Daruisz. Amiin alleged that Daruisz assaulted him when he encountered Daruisz in the toilet. Daruisz alleged that Amiin had approached him in a threatening manner and he attempted to push him away. "/>
    <x v="0"/>
    <x v="0"/>
    <x v="0"/>
    <s v=""/>
    <x v="0"/>
    <x v="2"/>
    <x v="10"/>
    <s v="Q3, FY24"/>
  </r>
  <r>
    <s v="INC5071"/>
    <d v="2024-01-15T12:35:00"/>
    <d v="2024-01-10T12:28:00"/>
    <s v="ANTONIO LAI PATRICIO COELHO"/>
    <s v="STEVEN HARRISON"/>
    <s v="S910 Supply Chain"/>
    <m/>
    <s v="Safety Near Miss"/>
    <m/>
    <s v="Mohamed had a disagreement with the lady in despatch, she was rude to him"/>
    <x v="0"/>
    <x v="0"/>
    <x v="0"/>
    <s v=""/>
    <x v="0"/>
    <x v="2"/>
    <x v="10"/>
    <s v="Q3, FY24"/>
  </r>
  <r>
    <s v="INC5079"/>
    <d v="2024-01-15T17:47:00"/>
    <d v="2024-01-09T22:10:00"/>
    <s v="VEERAPPA KATHIRVELU"/>
    <s v="STEVEN HARRISON"/>
    <s v="S910 Supply Chain"/>
    <m/>
    <s v="Safety Near Miss"/>
    <m/>
    <s v="While reversing the forklift Danish hit the safety pole near door 1."/>
    <x v="0"/>
    <x v="0"/>
    <x v="0"/>
    <s v=""/>
    <x v="0"/>
    <x v="2"/>
    <x v="10"/>
    <s v="Q3, FY24"/>
  </r>
  <r>
    <s v="INC5124"/>
    <d v="2024-01-19T08:32:00"/>
    <d v="2024-01-18T08:15:00"/>
    <s v="EVANS DZADEY"/>
    <s v="STEVEN HARRISON"/>
    <s v="S910 Supply Chain"/>
    <s v="EVANS DZADEY"/>
    <s v="Customer / Contractor"/>
    <m/>
    <s v="Team member's leg was caught on a pallet left on the floor whilst attempting to lift a pallet with another team member."/>
    <x v="3"/>
    <x v="5"/>
    <x v="12"/>
    <s v="left side of lower back"/>
    <x v="1"/>
    <x v="2"/>
    <x v="10"/>
    <s v="Q3, FY24"/>
  </r>
  <r>
    <s v="INC5206"/>
    <d v="2024-01-25T19:56:00"/>
    <d v="2024-01-16T17:30:00"/>
    <s v="ANTONIO LAI PATRICIO COELHO"/>
    <s v="STEVEN HARRISON"/>
    <s v="S910 Supply Chain"/>
    <m/>
    <s v="Customer / Contractor"/>
    <m/>
    <s v="Supervisor Fabio from Despatch noticed Jimmy Zainat a contractor from OZ staff driving and falling asleep on an LO machine, I've asked Jimmy to step out of the machine and contacted his Agency immediately, Jimmy was advised to go home by his Agency."/>
    <x v="3"/>
    <x v="5"/>
    <x v="27"/>
    <s v="the whole body"/>
    <x v="0"/>
    <x v="2"/>
    <x v="10"/>
    <s v="Q3, FY24"/>
  </r>
  <r>
    <s v="INC5277"/>
    <d v="2024-01-31T18:33:00"/>
    <d v="2024-01-31T12:00:00"/>
    <s v="ANTONIO LAI PATRICIO COELHO"/>
    <s v="STEVEN HARRISON"/>
    <s v="S910 Supply Chain"/>
    <m/>
    <s v="Customer / Contractor"/>
    <m/>
    <s v="Driver was using the phone in the Linehaul Transit lane"/>
    <x v="3"/>
    <x v="5"/>
    <x v="1"/>
    <s v="NA"/>
    <x v="0"/>
    <x v="2"/>
    <x v="11"/>
    <s v="Q3, FY24"/>
  </r>
  <r>
    <s v="INC5278"/>
    <d v="2024-01-31T19:09:00"/>
    <d v="2024-01-30T14:30:00"/>
    <s v="ANTONIO LAI PATRICIO COELHO"/>
    <s v="STEVEN HARRISON"/>
    <s v="S910 Supply Chain"/>
    <m/>
    <s v="Customer / Contractor"/>
    <m/>
    <s v="Two forklifts collided with each other  "/>
    <x v="8"/>
    <x v="5"/>
    <x v="1"/>
    <s v="NA"/>
    <x v="0"/>
    <x v="2"/>
    <x v="11"/>
    <s v="Q3, FY24"/>
  </r>
  <r>
    <s v="INC5290"/>
    <d v="2024-02-02T13:11:00"/>
    <d v="2024-02-01T12:00:00"/>
    <s v="VINCENZO D'ALESSANDRO"/>
    <s v="STEVEN HARRISON"/>
    <s v="S811 Spotlight DC"/>
    <s v="DENNY VETEHA"/>
    <s v="Team Member Injury"/>
    <s v="Medical Treatment"/>
    <s v="Team member was loading WA truck and suddenly the hydraulic hose burst and oil spread into eyes"/>
    <x v="3"/>
    <x v="5"/>
    <x v="1"/>
    <s v="eyes"/>
    <x v="8"/>
    <x v="2"/>
    <x v="11"/>
    <s v="Q3, FY24"/>
  </r>
  <r>
    <s v="INC5329"/>
    <d v="2024-02-05T21:33:00"/>
    <d v="2024-02-05T21:10:00"/>
    <s v="VEERAPPA KATHIRVELU"/>
    <s v="STEVEN HARRISON"/>
    <s v="S910 Supply Chain"/>
    <m/>
    <s v="Safety Near Miss"/>
    <m/>
    <s v="Mark was coming out of aisle 23 after picking and he hit the pole at the end of aisle 23 by mistake."/>
    <x v="0"/>
    <x v="0"/>
    <x v="0"/>
    <s v=""/>
    <x v="0"/>
    <x v="2"/>
    <x v="11"/>
    <s v="Q3, FY24"/>
  </r>
  <r>
    <s v="INC5566"/>
    <d v="2024-02-22T20:51:00"/>
    <d v="2024-02-22T19:15:00"/>
    <s v="VEERAPPA KATHIRVELU"/>
    <s v="STEVEN HARRISON"/>
    <s v="S910 Supply Chain"/>
    <m/>
    <s v="Customer / Contractor"/>
    <m/>
    <s v="He was restacking couple of pallets which had heavy boxes and after he felt some pain at the back."/>
    <x v="2"/>
    <x v="3"/>
    <x v="12"/>
    <s v="BACK"/>
    <x v="0"/>
    <x v="2"/>
    <x v="11"/>
    <s v="Q3, FY24"/>
  </r>
  <r>
    <s v="INC5674"/>
    <d v="2024-03-01T20:05:00"/>
    <d v="2024-02-29T15:10:00"/>
    <s v="ANTONIO LAI PATRICIO COELHO"/>
    <s v="STEVEN HARRISON"/>
    <s v="S910 Supply Chain"/>
    <s v="GAGANDEEP KAUR"/>
    <s v="Team Member Injury"/>
    <s v="Potential LTI"/>
    <s v="Team member Gagandeep Kaur was wrapping a stack of empty plastic pallets when the top pallet came loose and fell on her hitting her face and shoulder, she fell to the ground hitting her ribs on a metal stillage"/>
    <x v="4"/>
    <x v="7"/>
    <x v="28"/>
    <s v="right face, right shoulder and left ribs"/>
    <x v="4"/>
    <x v="2"/>
    <x v="12"/>
    <s v="Q3, FY24"/>
  </r>
  <r>
    <s v="INC5698"/>
    <d v="2024-03-04T13:34:00"/>
    <d v="2024-02-23T11:00:00"/>
    <s v="EVANS DZADEY"/>
    <s v="STEVEN HARRISON"/>
    <s v="S910 Supply Chain"/>
    <m/>
    <s v="Customer / Contractor"/>
    <m/>
    <s v="A fight between Michael Mitchell and Mohammed Hamad"/>
    <x v="0"/>
    <x v="0"/>
    <x v="0"/>
    <s v=""/>
    <x v="0"/>
    <x v="2"/>
    <x v="11"/>
    <s v="Q3, FY24"/>
  </r>
  <r>
    <s v="INC5721"/>
    <d v="2024-03-06T10:07:00"/>
    <d v="2024-02-28T08:01:00"/>
    <s v="RAJANKUMAR VINODKUMAR BHAVSAR"/>
    <s v="STEVEN HARRISON"/>
    <s v="S910 Supply Chain"/>
    <s v="RAJANKUMAR VINODKUMAR BHAVSAR"/>
    <s v="Customer / Contractor"/>
    <s v="First Aid Treatment"/>
    <s v="Team member was trying to lift stock from the pallet when he felt pain in his ribs."/>
    <x v="0"/>
    <x v="0"/>
    <x v="0"/>
    <s v=""/>
    <x v="1"/>
    <x v="2"/>
    <x v="12"/>
    <s v="Q3, FY24"/>
  </r>
  <r>
    <s v="INC5722"/>
    <d v="2024-03-06T10:20:00"/>
    <d v="2024-02-01T12:16:00"/>
    <s v="RAJANKUMAR VINODKUMAR BHAVSAR"/>
    <s v="STEVEN HARRISON"/>
    <s v="S910 Supply Chain"/>
    <s v="RAJANKUMAR VINODKUMAR BHAVSAR"/>
    <s v="Customer / Contractor"/>
    <m/>
    <s v="Trying to open a box and got cut on my  middle finger."/>
    <x v="0"/>
    <x v="0"/>
    <x v="0"/>
    <s v=""/>
    <x v="1"/>
    <x v="2"/>
    <x v="11"/>
    <s v="Q3, FY24"/>
  </r>
  <r>
    <s v="INC5723"/>
    <d v="2024-03-06T10:45:00"/>
    <d v="2024-02-15T10:01:00"/>
    <s v="RAJANKUMAR VINODKUMAR BHAVSAR"/>
    <s v="STEVEN HARRISON"/>
    <s v="S910 Supply Chain"/>
    <s v="RAJANKUMAR VINODKUMAR BHAVSAR"/>
    <s v="Customer / Contractor"/>
    <s v="First Aid Treatment"/>
    <s v="When I lift top box and box very heavy I got injury my back."/>
    <x v="0"/>
    <x v="0"/>
    <x v="0"/>
    <s v=""/>
    <x v="1"/>
    <x v="2"/>
    <x v="11"/>
    <s v="Q3, FY24"/>
  </r>
  <r>
    <s v="INC5736"/>
    <d v="2024-03-06T17:41:00"/>
    <d v="2024-03-05T22:00:00"/>
    <s v="AJAYPAL SINGH"/>
    <s v="STEVEN HARRISON"/>
    <s v="S910 Supply Chain"/>
    <s v="ALVIN CHAND"/>
    <s v="Team Member Injury"/>
    <s v="First Aid Treatment"/>
    <s v="I was using pallet jack to move the bins and then it suddenly jerked due the plastic pieces getting stuck under the tyres. This caused a sharp pain in my right shoulder/upper right back."/>
    <x v="2"/>
    <x v="2"/>
    <x v="29"/>
    <s v="Right Shoulder/Upper Right Back"/>
    <x v="4"/>
    <x v="2"/>
    <x v="12"/>
    <s v="Q3, FY24"/>
  </r>
  <r>
    <s v="INC5896"/>
    <d v="2024-03-19T18:02:00"/>
    <d v="2024-03-18T22:10:00"/>
    <s v="AJAYPAL SINGH"/>
    <s v="STEVEN HARRISON"/>
    <s v="S910 Supply Chain"/>
    <s v="MODITHA RANAHANSA PEDURU ARACHCHIGE"/>
    <s v="Team Member Injury"/>
    <s v="Medical Treatment"/>
    <s v="The team member was moving full pallets into wrapping area when his left  foot got  caught between the pallets and the electric pallet jack."/>
    <x v="5"/>
    <x v="3"/>
    <x v="22"/>
    <s v="Left foot/pinkie finger"/>
    <x v="1"/>
    <x v="2"/>
    <x v="12"/>
    <s v="Q3, FY24"/>
  </r>
  <r>
    <s v="INC6204"/>
    <d v="2024-04-12T15:17:00"/>
    <d v="2024-04-11T18:55:00"/>
    <s v="VEERAPPA KATHIRVELU"/>
    <s v="STEVEN HARRISON"/>
    <s v="S910 Supply Chain"/>
    <m/>
    <s v="Safety Near Miss"/>
    <m/>
    <s v="Kiran was loading broken SRG timber pallets into the Harry's truck, as he was loading one of the stack fell on the forklift. "/>
    <x v="0"/>
    <x v="0"/>
    <x v="0"/>
    <s v=""/>
    <x v="0"/>
    <x v="2"/>
    <x v="13"/>
    <s v="Q4, FY24"/>
  </r>
  <r>
    <s v="INC6277"/>
    <d v="2024-04-19T14:06:00"/>
    <d v="2024-04-18T08:40:00"/>
    <s v="MARK BOYD"/>
    <s v="MICHELLE SLOVIK"/>
    <s v="S910 Supply Chain"/>
    <m/>
    <s v="Customer / Contractor"/>
    <m/>
    <s v="Team member was loading in dispatch. A truck (land transport) from receiving's that had been unloaded was not looking at where he was going.  The driver was looking at something inside his truck on the bottom left-hand side. The truck driver then proceeded to go through the safety chain and destroying it with some bollards as well. We believe he did not stop at the stop sign or red line on the ground.  The HS team member was hitting his horn frantically on the forklift to get the drivers attention to stop, but he did not even look up to see why a forklift driver was sounding his horn and went through the area still not looking where he was going.  Driver's name: Ali Registration Plate: RXJ 761 Transport company: Land transport.  "/>
    <x v="9"/>
    <x v="5"/>
    <x v="1"/>
    <s v="N/A"/>
    <x v="0"/>
    <x v="0"/>
    <x v="13"/>
    <s v="Q4, FY24"/>
  </r>
  <r>
    <s v="INC6282"/>
    <d v="2024-04-19T19:01:00"/>
    <d v="2024-04-19T08:52:00"/>
    <s v="ANTONIO LAI PATRICIO COELHO"/>
    <s v="STEVEN HARRISON"/>
    <s v="S910 Supply Chain"/>
    <m/>
    <s v="Safety Near Miss"/>
    <m/>
    <s v="Rolls of fabric on oversized pallet got caught on truck frame"/>
    <x v="0"/>
    <x v="0"/>
    <x v="0"/>
    <s v=""/>
    <x v="0"/>
    <x v="2"/>
    <x v="13"/>
    <s v="Q4, FY24"/>
  </r>
  <r>
    <s v="INC6299"/>
    <d v="2024-04-22T10:34:00"/>
    <d v="2024-04-22T10:10:00"/>
    <s v="MARK BOYD"/>
    <s v="MICHELLE SLOVIK"/>
    <s v="S910 Supply Chain"/>
    <s v="SINAPATI REUPENA"/>
    <s v="Team Member Injury"/>
    <s v="First Aid Treatment"/>
    <s v="Staff member went to restart the sortation system. The safety switch in the middle of the belt had to be reset, while team member was resetting the safety his finger slipped and cut his index finger on the left hand. Team member was given a band aid from the Manager. No first aid required. "/>
    <x v="3"/>
    <x v="1"/>
    <x v="13"/>
    <s v="Index finger"/>
    <x v="4"/>
    <x v="0"/>
    <x v="14"/>
    <s v="Q4, FY24"/>
  </r>
  <r>
    <s v="INC6323"/>
    <d v="2024-04-23T14:38:00"/>
    <d v="2024-04-23T14:05:00"/>
    <s v="MARK BOYD"/>
    <s v="MICHELLE SLOVIK"/>
    <s v="S910 Supply Chain"/>
    <s v="MARK BOYD"/>
    <s v="Customer / Contractor"/>
    <s v="First Aid Treatment"/>
    <s v="while unloading the container in bay 3 outside the team member was carrying a carton to the pallets and scraped the top of his knuckles on the right hand on the outside wall to another warehouse. "/>
    <x v="5"/>
    <x v="8"/>
    <x v="30"/>
    <s v="grazed knuckles on the front of the right hand"/>
    <x v="0"/>
    <x v="0"/>
    <x v="14"/>
    <s v="Q4, FY24"/>
  </r>
  <r>
    <s v="INC6346"/>
    <d v="2024-04-24T15:14:00"/>
    <d v="2024-04-24T14:00:00"/>
    <s v="MICHELLE SLOVIK"/>
    <s v="STEVEN HARRISON"/>
    <s v="S910 Supply Chain"/>
    <m/>
    <s v="Customer / Contractor"/>
    <m/>
    <s v="a b-double was loaded in dispatch  with vic pallets, rego ZJH957 - GEBS transport. as driver was exiting the premises, through the exit gate, the back of the truck hit the gate. driver did not stop, as he may not have realized he hit the gate, but the team leader on site saw the incident occur and advised the manager. GEBS transport was contacted and informed of the incident. the gate is now bent and will be hard to close, so repair required here."/>
    <x v="0"/>
    <x v="0"/>
    <x v="0"/>
    <s v=""/>
    <x v="0"/>
    <x v="2"/>
    <x v="14"/>
    <s v="Q4, FY24"/>
  </r>
  <r>
    <s v="INC6411"/>
    <d v="2024-04-30T08:08:00"/>
    <d v="2024-04-29T07:00:00"/>
    <s v="EVANS DZADEY"/>
    <s v="STEVEN HARRISON"/>
    <s v="S910 Supply Chain"/>
    <s v="AGUM GUEM"/>
    <s v="Team Member Injury"/>
    <s v="Medical Treatment"/>
    <s v="Team member's finger was accidently cut by another team member when she attempted to assist in removing the plastic covering of a pallet containing stock."/>
    <x v="10"/>
    <x v="1"/>
    <x v="8"/>
    <s v="finger on the right hand"/>
    <x v="1"/>
    <x v="2"/>
    <x v="14"/>
    <s v="Q4, FY24"/>
  </r>
  <r>
    <s v="INC6422"/>
    <d v="2024-05-01T11:55:00"/>
    <d v="2024-04-30T10:30:00"/>
    <s v="MARK BOYD"/>
    <s v="MICHELLE SLOVIK"/>
    <s v="S910 Supply Chain"/>
    <s v="MARK BOYD"/>
    <s v="Team Member Injury"/>
    <m/>
    <s v="While pulling out pallets in the staging area to straighten up the loscam pallets for dispatching back to loscam, a plain pallet to segregate between the two warehouses (fire safety) was jammed in the bottom of the loscam pallet. the team member was trying to pull out the plain pallet manually the stack of loscams wobbled and fell over on top of the team member.  "/>
    <x v="4"/>
    <x v="1"/>
    <x v="2"/>
    <s v="middle of the back, scratches"/>
    <x v="4"/>
    <x v="0"/>
    <x v="14"/>
    <s v="Q4, FY24"/>
  </r>
  <r>
    <s v="INC6426"/>
    <d v="2024-05-01T15:08:00"/>
    <d v="2024-04-30T20:40:00"/>
    <s v="FABIO D'ALESSANDRO"/>
    <s v="STEVEN HARRISON"/>
    <s v="S811 Spotlight DC"/>
    <m/>
    <s v="Customer / Contractor"/>
    <m/>
    <s v="Crown Tugger hit rack leg and dented it. Could not brake as wheels locked. Rear wheels locked up on the floor plastic and crown tugger slide sideway."/>
    <x v="5"/>
    <x v="5"/>
    <x v="1"/>
    <s v="NA"/>
    <x v="0"/>
    <x v="2"/>
    <x v="14"/>
    <s v="Q4, FY24"/>
  </r>
  <r>
    <s v="INC6505"/>
    <d v="2024-05-07T11:17:00"/>
    <d v="2024-05-07T06:13:00"/>
    <s v="RAJANKUMAR VINODKUMAR BHAVSAR"/>
    <s v="STEVEN HARRISON"/>
    <s v="S910 Supply Chain"/>
    <m/>
    <s v="Customer / Contractor"/>
    <m/>
    <s v="I was opening the door 4 it got stuck. I thought it is open fully and got hit."/>
    <x v="4"/>
    <x v="5"/>
    <x v="1"/>
    <s v="only door damage no injury"/>
    <x v="0"/>
    <x v="2"/>
    <x v="14"/>
    <s v="Q4, FY24"/>
  </r>
  <r>
    <s v="INC6546"/>
    <d v="2024-05-10T08:30:00"/>
    <d v="2024-05-10T08:00:00"/>
    <s v="RAJANKUMAR VINODKUMAR BHAVSAR"/>
    <s v="STEVEN HARRISON"/>
    <s v="S910 Supply Chain"/>
    <m/>
    <s v="Customer / Contractor"/>
    <m/>
    <s v="Earlier a jack hit my left ankle but did not feel till around 8AM helping Ali; left ankle felt very sore and hurt to put pressure on it. "/>
    <x v="7"/>
    <x v="3"/>
    <x v="17"/>
    <s v="Left ankle"/>
    <x v="0"/>
    <x v="2"/>
    <x v="14"/>
    <s v="Q4, FY24"/>
  </r>
  <r>
    <s v="INC6670"/>
    <d v="2024-05-17T20:25:00"/>
    <d v="2024-05-17T14:45:00"/>
    <s v="FABIO D'ALESSANDRO"/>
    <s v="STEVEN HARRISON"/>
    <s v="S811 Spotlight DC"/>
    <m/>
    <s v="Customer / Contractor"/>
    <m/>
    <s v="Tugger Driver Hit the forklift with a pallet "/>
    <x v="1"/>
    <x v="5"/>
    <x v="1"/>
    <s v="NONE"/>
    <x v="0"/>
    <x v="2"/>
    <x v="14"/>
    <s v="Q4, FY24"/>
  </r>
  <r>
    <s v="INC6704"/>
    <d v="2024-05-20T09:48:00"/>
    <d v="2024-05-20T09:34:00"/>
    <s v="DOMENICO MARTELLO"/>
    <s v="THOMAS WILLIAMS"/>
    <s v="S910 Supply Chain"/>
    <s v="JOVARN BUSH"/>
    <s v="Team Member Injury"/>
    <m/>
    <s v="Jovarn was operating the high reach while diving back to reviving, near aisle 25 when the machine suddenly stop causing him to fall out of his seat and falling to the ground and injuring his ribs. "/>
    <x v="11"/>
    <x v="3"/>
    <x v="31"/>
    <s v="Left side rib cage"/>
    <x v="5"/>
    <x v="1"/>
    <x v="14"/>
    <s v="Q4, FY24"/>
  </r>
  <r>
    <s v="INC6789"/>
    <d v="2024-05-24T14:17:00"/>
    <d v="2024-05-24T12:40:00"/>
    <s v="MARK BOYD"/>
    <s v="MICHELLE SLOVIK"/>
    <s v="S910 Supply Chain"/>
    <m/>
    <s v="Customer / Contractor"/>
    <m/>
    <s v="While driving reach forklift in isle E the team member was looking at a piece of paper for the next task, as he looked up at the direction of travel, they realised that they were on path to hit an empty stack of pallets at that stage it was too late to avoid and then collided with the pallets which then pushed them into the rack guard. Team member moved all the empty pallets from the area. Team member then reported to their supervisor. "/>
    <x v="3"/>
    <x v="5"/>
    <x v="1"/>
    <s v="N/A"/>
    <x v="0"/>
    <x v="0"/>
    <x v="14"/>
    <s v="Q4, FY24"/>
  </r>
  <r>
    <s v="INC6873"/>
    <d v="2024-05-29T17:06:00"/>
    <d v="2024-05-29T11:00:00"/>
    <s v="FABIO D'ALESSANDRO"/>
    <s v="STEVEN HARRISON"/>
    <s v="S811 Spotlight DC"/>
    <m/>
    <s v="Customer / Contractor"/>
    <m/>
    <s v="Reversing to pick a Pallet and the machine got stuck at the other side Pallet."/>
    <x v="12"/>
    <x v="5"/>
    <x v="1"/>
    <s v="NONE"/>
    <x v="0"/>
    <x v="2"/>
    <x v="15"/>
    <s v="Q4, FY24"/>
  </r>
  <r>
    <s v="INC6906"/>
    <d v="2024-05-31T12:54:00"/>
    <d v="2024-05-31T11:00:00"/>
    <s v="MARK BOYD"/>
    <s v="MICHELLE SLOVIK"/>
    <s v="S812  Harris Scarfe DC"/>
    <s v="SERGIO MU"/>
    <s v="Team Member Injury"/>
    <s v="First Aid Treatment"/>
    <s v="Team member was in warehouse 2 getting the black hand wrap to send to the store, and when the team member was opening the walkway safety gate with the hand wrap. the wrap started to slip from the team members left hand a then jammed the right-hand middle finger in the gate  "/>
    <x v="5"/>
    <x v="3"/>
    <x v="8"/>
    <s v="middle finger"/>
    <x v="1"/>
    <x v="0"/>
    <x v="15"/>
    <s v="Q4, FY24"/>
  </r>
  <r>
    <s v="INC6910"/>
    <d v="2024-05-31T15:37:00"/>
    <d v="2024-05-31T07:00:00"/>
    <s v="FABIO D'ALESSANDRO"/>
    <s v="STEVEN HARRISON"/>
    <s v="S811 Spotlight DC"/>
    <m/>
    <s v="Customer / Contractor"/>
    <m/>
    <s v="Pallet was incorrectly stacked fell on to a wrapping worker . The pallet it was incorrectly made.  "/>
    <x v="4"/>
    <x v="5"/>
    <x v="32"/>
    <s v="Head / Shoulder"/>
    <x v="0"/>
    <x v="2"/>
    <x v="15"/>
    <s v="Q4, FY24"/>
  </r>
  <r>
    <s v="INC6967"/>
    <d v="2024-06-04T20:52:00"/>
    <d v="2024-06-04T15:15:00"/>
    <s v="FABIO D'ALESSANDRO"/>
    <s v="STEVEN HARRISON"/>
    <s v="S811 Spotlight DC"/>
    <m/>
    <s v="Customer / Contractor"/>
    <m/>
    <s v="Forklift was unloading the freight and damaged the truck Curtain."/>
    <x v="3"/>
    <x v="5"/>
    <x v="1"/>
    <s v="NONE"/>
    <x v="0"/>
    <x v="2"/>
    <x v="15"/>
    <s v="Q4, FY24"/>
  </r>
  <r>
    <s v="INC7102"/>
    <d v="2024-06-13T14:03:00"/>
    <d v="2024-06-12T10:45:00"/>
    <s v="BRADLEE FEILO-HASINI"/>
    <s v="THOMAS WILLIAMS"/>
    <s v="S810 Anaconda DC"/>
    <s v="ABDUL RAOOF MOHAMMED"/>
    <s v="Team Member Injury"/>
    <s v="Potential LTI"/>
    <s v="Abdul Raoof was team-lifting stock with Dawit into store A092. Dawit was lifting the bottom of the carton while Abdul grabbed the strap on the top as this box was awkward and heavy. The strap broke and Abdul whipped himself in the face, catching the left eye area. Abdul had a sore eye and an icepack was given. He was icing his eye and flushing it out for around 20 minutes before going on break. Earl and I (team leaders for allocation) have checked his eye and did not see anything out of the ordinary. He had informed us he was fine, although there was some general soreness/discomfort around the eye."/>
    <x v="13"/>
    <x v="3"/>
    <x v="4"/>
    <s v="Left Eye"/>
    <x v="4"/>
    <x v="1"/>
    <x v="15"/>
    <s v="Q4, FY24"/>
  </r>
  <r>
    <s v="INC7184"/>
    <d v="2024-06-18T14:09:00"/>
    <d v="2024-06-18T13:45:00"/>
    <s v="MICHELLE SLOVIK"/>
    <s v="STEVEN HARRISON"/>
    <s v="S910 Supply Chain"/>
    <m/>
    <s v="Safety Near Miss"/>
    <m/>
    <s v="Driver stopped at the stop zone area in front of the safety chain, then heard forklift horns assuming he had to move forward a bit more, the driver accidently moved a bit to far forward and front wheels ran over the safety chain. driver then stopped and released he went to far forward, then manager was advised"/>
    <x v="0"/>
    <x v="0"/>
    <x v="0"/>
    <s v=""/>
    <x v="0"/>
    <x v="2"/>
    <x v="15"/>
    <s v="Q4, FY24"/>
  </r>
  <r>
    <s v="INC7209"/>
    <d v="2024-06-20T16:09:00"/>
    <d v="2024-06-20T10:50:00"/>
    <s v="MICHELLE SLOVIK"/>
    <s v="STEVEN HARRISON"/>
    <s v="S910 Supply Chain"/>
    <m/>
    <s v="Safety Near Miss"/>
    <m/>
    <s v="a pony express driver used our site as a thoroughfare and didnâ€™t follow the traffic rules and went straight though a stop zone over a pedestrian walkway and out to the front gate exceeding the required site speed putting our team at risk."/>
    <x v="0"/>
    <x v="0"/>
    <x v="0"/>
    <s v=""/>
    <x v="0"/>
    <x v="2"/>
    <x v="15"/>
    <s v="Q4, FY24"/>
  </r>
  <r>
    <s v="INC7313"/>
    <d v="2024-06-27T20:02:00"/>
    <d v="2024-06-26T11:30:00"/>
    <s v="FABIO D'ALESSANDRO"/>
    <s v="STEVEN HARRISON"/>
    <s v="S811 Spotlight DC"/>
    <m/>
    <s v="Customer / Contractor"/>
    <m/>
    <s v="A truck was reversing into the bay 8 ( super B Double) the driver couldn`t see the yellow markings through his rear view mirrors and he back into the pallets damaging the freight."/>
    <x v="3"/>
    <x v="5"/>
    <x v="1"/>
    <s v="NONE"/>
    <x v="0"/>
    <x v="2"/>
    <x v="15"/>
    <s v="Q4, FY24"/>
  </r>
  <r>
    <s v="INC7429"/>
    <d v="2024-07-04T07:43:00"/>
    <d v="2024-07-03T06:23:00"/>
    <s v="DOMENICO MARTELLO"/>
    <s v="THOMAS WILLIAMS"/>
    <s v="S810 Anaconda DC"/>
    <m/>
    <s v="Safety Near Miss"/>
    <m/>
    <s v="Tri Nguyen (Reach Driver) working in afternoon shift was working in aisle 27 while lowering the mask after soring a pallet from a higher level the battery cable got caught between the mask and body of machine, causing electrical spark from the force of the cable getting cut. Reach was stopped, emergency button was activated to stop all power."/>
    <x v="0"/>
    <x v="0"/>
    <x v="0"/>
    <s v=""/>
    <x v="0"/>
    <x v="1"/>
    <x v="16"/>
    <s v="Q1, FY25"/>
  </r>
  <r>
    <s v="INC7630"/>
    <d v="2024-07-18T13:07:00"/>
    <d v="2024-07-18T11:25:00"/>
    <s v="RAJANKUMAR VINODKUMAR BHAVSAR"/>
    <s v="STEVEN HARRISON"/>
    <s v="S811 Spotlight DC"/>
    <m/>
    <s v="Customer / Contractor"/>
    <m/>
    <s v="I fall don on the ground on my knees; There was the plastic so my leg was pulled from the plastic and tripped."/>
    <x v="4"/>
    <x v="3"/>
    <x v="11"/>
    <s v="Right leg knee"/>
    <x v="0"/>
    <x v="2"/>
    <x v="16"/>
    <s v="Q1, FY25"/>
  </r>
  <r>
    <s v="INC7651"/>
    <d v="2024-07-19T13:07:00"/>
    <d v="2024-07-19T12:00:00"/>
    <s v="EVANS DZADEY"/>
    <s v="STEVEN HARRISON"/>
    <s v="S811 Spotlight DC"/>
    <m/>
    <s v="Customer / Contractor"/>
    <m/>
    <s v="Team member sprained his right wrist whilst attempting to stack boxes onto pallet."/>
    <x v="2"/>
    <x v="2"/>
    <x v="30"/>
    <s v="wrist"/>
    <x v="0"/>
    <x v="2"/>
    <x v="16"/>
    <s v="Q1, FY25"/>
  </r>
  <r>
    <s v="INC7792"/>
    <d v="2024-07-30T10:23:00"/>
    <d v="2024-07-30T10:08:00"/>
    <s v="JOSEPH JEFFERY"/>
    <s v="THOMAS WILLIAMS"/>
    <s v="S813 HS Dark Store"/>
    <s v="JYOTI JYOTI"/>
    <s v="Team Member Injury"/>
    <s v="First Aid Treatment"/>
    <s v="Jyoti was picking dinner set 20kg from 3c-68-01 as per her she lifts the dinner set not in correct posture due to rushing to pick orders from that she felt irritation in her lower back ."/>
    <x v="2"/>
    <x v="2"/>
    <x v="2"/>
    <s v="bottom of lower back"/>
    <x v="1"/>
    <x v="0"/>
    <x v="17"/>
    <s v="Q1, FY25"/>
  </r>
  <r>
    <s v="INC7804"/>
    <d v="2024-07-31T06:59:00"/>
    <d v="2024-07-30T10:30:00"/>
    <s v="RAJANKUMAR VINODKUMAR BHAVSAR"/>
    <s v="STEVEN HARRISON"/>
    <s v="S811 Spotlight DC"/>
    <s v="RAYMOND VELLA"/>
    <s v="Team Member Injury"/>
    <m/>
    <s v="In Containers PA area while taking pallet for PA one of the FL driver push the pallet from back."/>
    <x v="7"/>
    <x v="3"/>
    <x v="33"/>
    <s v="UPPER BACKAND NECK"/>
    <x v="4"/>
    <x v="2"/>
    <x v="17"/>
    <s v="Q1, FY25"/>
  </r>
  <r>
    <s v="INC7806"/>
    <d v="2024-07-31T07:41:00"/>
    <d v="2024-07-22T11:39:00"/>
    <s v="RAJANKUMAR VINODKUMAR BHAVSAR"/>
    <s v="STEVEN HARRISON"/>
    <s v="S811 Spotlight DC"/>
    <m/>
    <s v="Customer / Contractor"/>
    <m/>
    <s v="I WASEVERSING THE LO MACHINE AND HIT THE SAFETY BARRIGATE"/>
    <x v="7"/>
    <x v="5"/>
    <x v="1"/>
    <s v="NO"/>
    <x v="0"/>
    <x v="2"/>
    <x v="16"/>
    <s v="Q1, FY25"/>
  </r>
  <r>
    <s v="INC7843"/>
    <d v="2024-08-02T14:40:00"/>
    <d v="2024-08-02T14:16:00"/>
    <s v="MARK BOYD"/>
    <s v="MICHELLE SLOVIK"/>
    <s v="S812  Harris Scarfe DC"/>
    <m/>
    <s v="Customer / Contractor"/>
    <m/>
    <s v="While unloading cartons in the sorter system a stack of 3 pallets were uneven and i tried to straighten them up for the forklift driver and then pinched my skin on the right-side of the leg "/>
    <x v="2"/>
    <x v="3"/>
    <x v="11"/>
    <s v="Right leg above knee Approximately the size of a 20 cent coin"/>
    <x v="0"/>
    <x v="0"/>
    <x v="17"/>
    <s v="Q1, FY25"/>
  </r>
  <r>
    <s v="INC7869"/>
    <d v="2024-08-05T10:38:00"/>
    <d v="2024-07-16T12:31:00"/>
    <s v="RAHUL NAIK AMGOTH"/>
    <s v="STEVEN HARRISON"/>
    <s v="S811 Spotlight DC"/>
    <s v="IVAN KACUNIC"/>
    <s v="Team Member Injury"/>
    <m/>
    <s v="Toilet cubical assistance bar dislocated from the wall mount and hit the head "/>
    <x v="5"/>
    <x v="3"/>
    <x v="14"/>
    <s v="LHS head towards the back and side"/>
    <x v="4"/>
    <x v="2"/>
    <x v="16"/>
    <s v="Q1, FY25"/>
  </r>
  <r>
    <s v="INC7898"/>
    <d v="2024-08-07T10:31:00"/>
    <d v="2024-08-05T06:30:00"/>
    <s v="TUAN MAI"/>
    <s v="STEVEN HARRISON"/>
    <s v="S811 Spotlight DC"/>
    <m/>
    <s v="Customer / Contractor"/>
    <m/>
    <s v="Employee was transporting pallets from the yard to the workshop in reverse and hit a wall. "/>
    <x v="5"/>
    <x v="5"/>
    <x v="1"/>
    <s v="None"/>
    <x v="0"/>
    <x v="2"/>
    <x v="17"/>
    <s v="Q1, FY25"/>
  </r>
  <r>
    <s v="INC8032"/>
    <d v="2024-08-16T07:07:00"/>
    <d v="2024-08-16T05:50:00"/>
    <s v="TUAN MAI"/>
    <s v="STEVEN HARRISON"/>
    <s v="S811 Spotlight DC"/>
    <m/>
    <s v="Customer / Contractor"/>
    <m/>
    <s v="Ozstaff employee car (Muddasir Hussain X-DOCK) was hit from behind on the right side of the car by Truck with rego: XV78IT While waiting for the stop sign at the main road as you come out of spotlight carpark lot. "/>
    <x v="3"/>
    <x v="5"/>
    <x v="1"/>
    <s v="No injury"/>
    <x v="0"/>
    <x v="2"/>
    <x v="17"/>
    <s v="Q1, FY25"/>
  </r>
  <r>
    <s v="INC8071"/>
    <d v="2024-08-19T15:42:00"/>
    <d v="2024-08-16T11:24:00"/>
    <s v="SREEKANTH SARIKONDA"/>
    <s v="SUE-ANNE KROPIK"/>
    <s v="S811 Spotlight DC"/>
    <m/>
    <s v="Safety Near Miss"/>
    <m/>
    <s v="As the team member Jaymark was loading a B-double trailer, the curtains on the trailers  flapped and came into contact with the forklift pallets being loaded causing damage to the curtain rod rendering it unsafe to close the curtain for good transportation.. "/>
    <x v="0"/>
    <x v="0"/>
    <x v="0"/>
    <s v=""/>
    <x v="0"/>
    <x v="2"/>
    <x v="17"/>
    <s v="Q1, FY25"/>
  </r>
  <r>
    <s v="INC8074"/>
    <d v="2024-08-19T19:57:00"/>
    <d v="2024-08-15T19:40:00"/>
    <s v="VEERAPPA KATHIRVELU"/>
    <s v="STEVEN HARRISON"/>
    <s v="S811 Spotlight DC"/>
    <m/>
    <s v="Customer / Contractor"/>
    <m/>
    <s v="Solomon was working with Moditha and when he was moving a palletjack infront of him, the picker Moditha was coming behind Solomon and he got hit with the pallet at the back of his ankle."/>
    <x v="7"/>
    <x v="3"/>
    <x v="17"/>
    <s v="Left bank ankle"/>
    <x v="0"/>
    <x v="2"/>
    <x v="17"/>
    <s v="Q1, FY25"/>
  </r>
  <r>
    <s v="INC8076"/>
    <d v="2024-08-20T10:13:00"/>
    <d v="2024-08-20T10:08:00"/>
    <s v="TUAN MAI"/>
    <s v="STEVEN HARRISON"/>
    <s v="S811 Spotlight DC"/>
    <m/>
    <s v="Safety Near Miss"/>
    <m/>
    <s v="A pallet from GNS wholesale came in and tipped over in the truck prior to arrival. The stock was then transferred to another pallet and was on the way to the pallet wrapper when a box came off and got ran over. That pallet had 132 small boxes when it fell over."/>
    <x v="0"/>
    <x v="0"/>
    <x v="0"/>
    <s v=""/>
    <x v="0"/>
    <x v="2"/>
    <x v="17"/>
    <s v="Q1, FY25"/>
  </r>
  <r>
    <s v="INC9043"/>
    <d v="2024-08-20T13:51:00"/>
    <d v="2024-08-16T12:00:00"/>
    <s v="EVANS DZADEY"/>
    <s v="STEVEN HARRISON"/>
    <s v="S811 Spotlight DC"/>
    <m/>
    <s v="Customer / Contractor"/>
    <m/>
    <s v="Ahmed Mohammed attempted to lift a heavy carton whilst holding a scanner in his right hand."/>
    <x v="2"/>
    <x v="2"/>
    <x v="34"/>
    <s v="wrist"/>
    <x v="0"/>
    <x v="2"/>
    <x v="17"/>
    <s v="Q1, FY25"/>
  </r>
  <r>
    <s v="INC9053"/>
    <d v="2024-08-21T08:36:00"/>
    <d v="2024-08-21T08:33:00"/>
    <s v="TUAN MAI"/>
    <s v="STEVEN HARRISON"/>
    <s v="S811 Spotlight DC"/>
    <m/>
    <s v="Safety Near Miss"/>
    <m/>
    <s v="Pallet with stock was pushed in the lane and overlapped another pallet"/>
    <x v="0"/>
    <x v="0"/>
    <x v="0"/>
    <s v=""/>
    <x v="0"/>
    <x v="2"/>
    <x v="17"/>
    <s v="Q1, FY25"/>
  </r>
  <r>
    <s v="INC9067"/>
    <d v="2024-08-21T14:16:00"/>
    <d v="2024-08-21T10:00:00"/>
    <s v="MICHELLE SLOVIK"/>
    <s v="STEVEN HARRISON"/>
    <s v="HS2057 SUNSHINE DC"/>
    <m/>
    <s v="Safety Near Miss"/>
    <m/>
    <s v="I was placing a pallet in the regional load zones and withdrawing back out of the pallet into the roadway/loading zone. I was 2 pallets spaces in, placing a pallet in the 3rd space in from the roadway. I had pallets to my left but no pallets to my right. As I withdrew from placing the pallet down I reversed back out towards the roadway as is required however once clear of the pallets to my left i saw a white ford ute moving at approximately 10km an hour towards me on the roadway. I braked immediately in order to avoid reversing into this vehicle, and instinctively drove forward away from the potential danger back into the placed pallets. At the same time the white ute also braked hard, i noticed its load shifted slightly. There were no receivals this day so this vehicle was not delivering  or visiting sunshine DC for any reason other than a mistake on the drivers part or taking a short cut."/>
    <x v="0"/>
    <x v="0"/>
    <x v="0"/>
    <s v=""/>
    <x v="0"/>
    <x v="0"/>
    <x v="17"/>
    <s v="Q1, FY25"/>
  </r>
  <r>
    <s v="INC9073"/>
    <d v="2024-08-21T18:27:00"/>
    <d v="2024-08-20T18:00:00"/>
    <s v="FABIO D'ALESSANDRO"/>
    <s v="STEVEN HARRISON"/>
    <s v="S811 Spotlight DC"/>
    <m/>
    <s v="Customer / Contractor"/>
    <m/>
    <s v="Truck was leaking Diesel "/>
    <x v="3"/>
    <x v="5"/>
    <x v="1"/>
    <s v="NONE"/>
    <x v="0"/>
    <x v="2"/>
    <x v="17"/>
    <s v="Q1, FY25"/>
  </r>
  <r>
    <s v="INC9074"/>
    <d v="2024-08-21T21:10:00"/>
    <d v="2024-08-21T20:30:00"/>
    <s v="FABIO D'ALESSANDRO"/>
    <s v="STEVEN HARRISON"/>
    <s v="S811 Spotlight DC"/>
    <m/>
    <s v="Customer / Contractor"/>
    <m/>
    <s v="Reversing B-Double Truck and hit one staging Pallet."/>
    <x v="3"/>
    <x v="5"/>
    <x v="1"/>
    <s v="NONE"/>
    <x v="0"/>
    <x v="2"/>
    <x v="17"/>
    <s v="Q1, FY25"/>
  </r>
  <r>
    <s v="INC9075"/>
    <d v="2024-08-22T10:09:00"/>
    <d v="2024-08-20T12:00:00"/>
    <s v="GEMMA DRAKOPOULOS"/>
    <s v="DAMIAN KAVANAGH"/>
    <s v="S910 Supply Chain"/>
    <m/>
    <s v="Safety Near Miss"/>
    <m/>
    <s v="The truck driver from ATG was reversing into the dock, but there was a bollard in his blind spot. He hit the bollard-low impact. The bollard is intact however the concrete ground is slightly cracked."/>
    <x v="0"/>
    <x v="0"/>
    <x v="0"/>
    <s v=""/>
    <x v="0"/>
    <x v="2"/>
    <x v="17"/>
    <s v="Q1, FY25"/>
  </r>
  <r>
    <s v="INC9148"/>
    <d v="2024-08-27T11:28:00"/>
    <d v="2024-08-27T10:55:00"/>
    <s v="GEMMA DRAKOPOULOS"/>
    <s v="DAMIAN KAVANAGH"/>
    <s v="S910 Supply Chain"/>
    <m/>
    <s v="Safety Near Miss"/>
    <m/>
    <s v="Truck driver was reversing into dock. While he was reversing, he hit a pallet with the truck. Truck driver advised that due to the size of the truck (Supa BDOUBLE), the blind spots prevent him from reversing safety."/>
    <x v="0"/>
    <x v="0"/>
    <x v="0"/>
    <s v=""/>
    <x v="0"/>
    <x v="2"/>
    <x v="17"/>
    <s v="Q1, FY25"/>
  </r>
  <r>
    <s v="INC9211"/>
    <d v="2024-08-30T10:40:00"/>
    <d v="2024-08-28T14:00:00"/>
    <s v="DOMENICO MARTELLO"/>
    <s v="THOMAS WILLIAMS"/>
    <s v="S810 Anaconda DC"/>
    <m/>
    <s v="Safety Near Miss"/>
    <m/>
    <s v="Daniel (Forklift Driver) was preparing to unload a truck when suddenly smoke was coming out of the battery bay followed with sparks and a small fire which turn into smoke. Forklift was observed which had wires from the connector to the battery that they where loose and live."/>
    <x v="0"/>
    <x v="0"/>
    <x v="0"/>
    <s v=""/>
    <x v="0"/>
    <x v="1"/>
    <x v="17"/>
    <s v="Q1, FY25"/>
  </r>
  <r>
    <s v="INC9401"/>
    <d v="2024-09-11T10:41:00"/>
    <d v="2024-09-11T10:25:00"/>
    <s v="RAJANKUMAR VINODKUMAR BHAVSAR"/>
    <s v="STEVEN HARRISON"/>
    <s v="S811 Spotlight DC"/>
    <s v="ZAIN CHATTHA"/>
    <s v="Team Member Injury"/>
    <m/>
    <s v="I was picking full pallet and having problem while picking so I go to the leading hand to describe him. there is some stock in front of the desk and by mistake my feet stuck on rack only pallet and twist little bit."/>
    <x v="7"/>
    <x v="3"/>
    <x v="22"/>
    <s v="Left foot (Front)"/>
    <x v="1"/>
    <x v="2"/>
    <x v="18"/>
    <s v="Q1, FY25"/>
  </r>
  <r>
    <s v="INC9429"/>
    <d v="2024-09-13T13:22:00"/>
    <d v="2024-09-13T10:30:00"/>
    <s v="BRADLEE FEILO-HASINI"/>
    <s v="THOMAS WILLIAMS"/>
    <s v="S810 Anaconda DC"/>
    <m/>
    <s v="Customer / Contractor"/>
    <m/>
    <s v="A B- Double which was leaving the site after loading pallets obstructed the closing of the boom gate by stopping midway. The gate got stuck and stopped working for a while. "/>
    <x v="3"/>
    <x v="9"/>
    <x v="1"/>
    <s v="None"/>
    <x v="0"/>
    <x v="1"/>
    <x v="18"/>
    <s v="Q1, FY25"/>
  </r>
  <r>
    <s v="INC9762"/>
    <d v="2024-10-07T13:39:00"/>
    <d v="2024-10-03T10:00:00"/>
    <s v="EVANS DZADEY"/>
    <s v="STEVEN HARRISON"/>
    <s v="S811 Spotlight DC"/>
    <m/>
    <s v="Customer / Contractor"/>
    <m/>
    <s v="Team member's left middle finger got stuck between the Euro bin and the carton he attempted to place at the bottom of the bin."/>
    <x v="5"/>
    <x v="2"/>
    <x v="25"/>
    <s v="Middle finger on left hand"/>
    <x v="0"/>
    <x v="2"/>
    <x v="19"/>
    <s v="Q2, FY25"/>
  </r>
  <r>
    <s v="INC9879"/>
    <d v="2024-10-16T16:48:00"/>
    <d v="2024-10-15T16:34:00"/>
    <s v="FABIO D'ALESSANDRO"/>
    <s v="STEVEN HARRISON"/>
    <s v="S811 Spotlight DC"/>
    <m/>
    <s v="Customer / Contractor"/>
    <m/>
    <s v="Was picking up the Pallets in Victoria area and hit a pillar."/>
    <x v="5"/>
    <x v="5"/>
    <x v="1"/>
    <s v="NONE"/>
    <x v="0"/>
    <x v="2"/>
    <x v="19"/>
    <s v="Q2, FY25"/>
  </r>
  <r>
    <s v="INC9908"/>
    <d v="2024-10-18T10:33:00"/>
    <d v="2024-10-17T13:31:00"/>
    <s v="EARL DAVID"/>
    <s v="THOMAS WILLIAMS"/>
    <s v="S810 Anaconda DC"/>
    <m/>
    <s v="Customer / Contractor"/>
    <m/>
    <s v="while pushing and dropping a wooden pallet dust or unknown particle went into Daniel Garcia right eye from cornerstone, he felt irritation in hi right eye and reported the incident, we gave him first aid by repeatedly washing his eye with eye wash, he felt better when the irritation stopped and he returned back to his normal duties. The incident was reported to Tom Williams and Sreekanth.  "/>
    <x v="3"/>
    <x v="5"/>
    <x v="1"/>
    <s v="some irritation to the right eye"/>
    <x v="0"/>
    <x v="1"/>
    <x v="19"/>
    <s v="Q2, FY25"/>
  </r>
  <r>
    <s v="INC9950"/>
    <d v="2024-10-21T13:38:00"/>
    <d v="2024-10-21T13:20:00"/>
    <s v="RAJANKUMAR VINODKUMAR BHAVSAR"/>
    <s v="STEVEN HARRISON"/>
    <s v="S811 Spotlight DC"/>
    <m/>
    <s v="Customer / Contractor"/>
    <m/>
    <s v="Box fall on head while restacking full pallet. "/>
    <x v="4"/>
    <x v="3"/>
    <x v="18"/>
    <s v="Right side head"/>
    <x v="0"/>
    <x v="2"/>
    <x v="19"/>
    <s v="Q2, FY25"/>
  </r>
  <r>
    <s v="INC9998"/>
    <d v="2024-10-24T13:15:00"/>
    <d v="2024-10-24T11:55:00"/>
    <s v="MICHELLE SLOVIK"/>
    <s v="STEVEN HARRISON"/>
    <s v="S910 Supply Chain"/>
    <m/>
    <s v="Customer / Contractor"/>
    <m/>
    <s v="Staff member was unpacking a container and whilst reaching to grab a cartons from over shoulder height, the box was wedged in tightly next to other boxes it finally came loose and hit the staff member in the side of his forehead"/>
    <x v="0"/>
    <x v="0"/>
    <x v="0"/>
    <s v=""/>
    <x v="0"/>
    <x v="2"/>
    <x v="19"/>
    <s v="Q2, FY25"/>
  </r>
  <r>
    <s v="INC10081"/>
    <d v="2024-10-29T12:16:00"/>
    <d v="2024-10-28T08:30:00"/>
    <s v="DOMENICO MARTELLO"/>
    <s v="THOMAS WILLIAMS"/>
    <s v="S810 Anaconda DC"/>
    <m/>
    <s v="Customer / Contractor"/>
    <m/>
    <s v="Jaskaranjit from the container unloading team was coming back from break getting the paper work from the work station and walking across to the container dock to unloading. He was not aware that a forklift was reversing back. Contact was made on his foot which First Aid was attended. Ravi who was operating the forklift did not use the horn or check surrounding."/>
    <x v="1"/>
    <x v="3"/>
    <x v="21"/>
    <s v="Right Foot"/>
    <x v="0"/>
    <x v="1"/>
    <x v="20"/>
    <s v="Q2, FY25"/>
  </r>
  <r>
    <s v="INC10093"/>
    <d v="2024-10-30T07:13:00"/>
    <d v="2024-10-25T11:30:00"/>
    <s v="GEMMA DRAKOPOULOS"/>
    <s v="DAMIAN KAVANAGH"/>
    <s v="S910 Supply Chain"/>
    <m/>
    <s v="Safety Near Miss"/>
    <m/>
    <s v="Near miss hitting a team member reversing out of Door 19"/>
    <x v="0"/>
    <x v="0"/>
    <x v="0"/>
    <s v=""/>
    <x v="0"/>
    <x v="2"/>
    <x v="19"/>
    <s v="Q2, FY25"/>
  </r>
  <r>
    <s v="INC10136"/>
    <d v="2024-11-01T16:12:00"/>
    <d v="2024-11-01T12:00:00"/>
    <s v="VEERAPPA KATHIRVELU"/>
    <s v="STEVEN HARRISON"/>
    <s v="S811 Spotlight DC"/>
    <m/>
    <s v="Safety Near Miss"/>
    <m/>
    <s v="The forklift operator reversing to put his machine on charge, accidently the forklift slipped fell down."/>
    <x v="0"/>
    <x v="0"/>
    <x v="0"/>
    <s v=""/>
    <x v="0"/>
    <x v="2"/>
    <x v="20"/>
    <s v="Q2, FY25"/>
  </r>
  <r>
    <s v="INC10137"/>
    <d v="2024-11-01T16:15:00"/>
    <d v="2024-11-01T12:00:00"/>
    <s v="VEERAPPA KATHIRVELU"/>
    <s v="STEVEN HARRISON"/>
    <s v="S811 Spotlight DC"/>
    <m/>
    <s v="Safety Near Miss"/>
    <m/>
    <s v="The forklift operator was reversing his machine to charge, Did not brake on time causing the forklift to drop off the  small single step at the dock leveler near door 16"/>
    <x v="0"/>
    <x v="0"/>
    <x v="0"/>
    <s v=""/>
    <x v="0"/>
    <x v="2"/>
    <x v="20"/>
    <s v="Q2, FY25"/>
  </r>
  <r>
    <s v="INC10209"/>
    <d v="2024-11-06T18:34:00"/>
    <d v="2024-10-30T18:10:00"/>
    <s v="AJAYPAL SINGH"/>
    <s v="STEVEN HARRISON"/>
    <s v="S811 Spotlight DC"/>
    <m/>
    <s v="Customer / Contractor"/>
    <m/>
    <s v="The team member was putting stock on a pallet when the boxes from the next pallet fell on him due to bad stacking."/>
    <x v="14"/>
    <x v="3"/>
    <x v="26"/>
    <s v="Back of the head."/>
    <x v="0"/>
    <x v="2"/>
    <x v="20"/>
    <s v="Q2, FY25"/>
  </r>
  <r>
    <s v="INC10249"/>
    <d v="2024-11-08T19:17:00"/>
    <d v="2024-11-08T18:50:00"/>
    <s v="AJAYPAL SINGH"/>
    <s v="STEVEN HARRISON"/>
    <s v="S811 Spotlight DC"/>
    <m/>
    <s v="Customer / Contractor"/>
    <m/>
    <s v="While reversing, reach driver Christopher Vaz reversed into the racking A24.64."/>
    <x v="9"/>
    <x v="5"/>
    <x v="1"/>
    <s v="No Injury, Only property dammage."/>
    <x v="0"/>
    <x v="2"/>
    <x v="20"/>
    <s v="Q2, FY25"/>
  </r>
  <r>
    <s v="INC10278"/>
    <d v="2024-11-12T06:29:00"/>
    <d v="2024-11-11T10:00:00"/>
    <s v="MICHELLE SLOVIK"/>
    <s v="STEVEN HARRISON"/>
    <s v="HS2057 SUNSHINE DC"/>
    <m/>
    <s v="Safety Near Miss"/>
    <m/>
    <s v="Dennis was unloading a truck from its right hand side due to its load configuration. Andrew was organising pallets next to a container being unpacked. As Dennis was positioning with the long tyne forklift to lift the pallet he was somewhat stationary. Andrew was reversing slightly to the right to drive forwards with the pallets and position them for unpack. Dennis and Andrew sounded horn, Andrew to reverse, Dennis to alert. Andrew applied his brakes but due to the limited space the two forklifts  touched. There was no damage sustained. This area of operations is tight with vehicles including forklifts and trucks operating in close proximity."/>
    <x v="0"/>
    <x v="0"/>
    <x v="0"/>
    <s v=""/>
    <x v="0"/>
    <x v="0"/>
    <x v="20"/>
    <s v="Q2, FY25"/>
  </r>
  <r>
    <s v="INC10285"/>
    <d v="2024-11-12T13:53:00"/>
    <d v="2024-11-01T13:32:00"/>
    <s v="EVANS DZADEY"/>
    <s v="STEVEN HARRISON"/>
    <s v="S811 Spotlight DC"/>
    <m/>
    <s v="Safety Near Miss"/>
    <m/>
    <s v="Forklift driver hit the pedestrian walkway gate at intersection of driveway and walkway."/>
    <x v="0"/>
    <x v="0"/>
    <x v="0"/>
    <s v=""/>
    <x v="0"/>
    <x v="2"/>
    <x v="20"/>
    <s v="Q2, FY25"/>
  </r>
  <r>
    <s v="INC10357"/>
    <d v="2024-11-16T16:43:00"/>
    <d v="2024-11-16T12:40:00"/>
    <s v="VEERAPPA KATHIRVELU"/>
    <s v="STEVEN HARRISON"/>
    <s v="S811 Spotlight DC"/>
    <m/>
    <s v="Customer / Contractor"/>
    <m/>
    <s v="Nikunj Patel was trying to fix the pallet and the wooden chip went under his nail."/>
    <x v="2"/>
    <x v="3"/>
    <x v="1"/>
    <s v="Left index finger nail"/>
    <x v="0"/>
    <x v="2"/>
    <x v="20"/>
    <s v="Q2, FY25"/>
  </r>
  <r>
    <s v="INC10378"/>
    <d v="2024-11-18T20:24:00"/>
    <d v="2024-11-18T15:00:00"/>
    <s v="FABIO D'ALESSANDRO"/>
    <s v="STEVEN HARRISON"/>
    <s v="S811 Spotlight DC"/>
    <m/>
    <s v="Customer / Contractor"/>
    <m/>
    <s v="FORKLIFT DRIVER WAS UNLOADING THE MHU OFF THE TRUCK AT DOOR 20. HE HAD 2 STACKS OF TIMBER PALLETS ON THE FRONT AND BEHIND THERE WAS A STILLAGE WHICH HE DIDN`T SEE IT AND WITH THE TYNES HE HIT THE STILLAGE AND THE STILLAGE SLIDE OFF TO THE OTHER SIDE OF THE TRUCK DAMAGING THE CURTAIN AND CAUSING A CUT. "/>
    <x v="3"/>
    <x v="5"/>
    <x v="1"/>
    <s v="NONE"/>
    <x v="0"/>
    <x v="2"/>
    <x v="20"/>
    <s v="Q2, FY25"/>
  </r>
  <r>
    <s v="INC10407"/>
    <d v="2024-11-20T18:33:00"/>
    <d v="2024-11-20T17:05:00"/>
    <s v="AJAYKUMAR HIRAPARA"/>
    <s v="STEVEN HARRISON"/>
    <s v="S810 Anaconda DC"/>
    <m/>
    <s v="Customer / Contractor"/>
    <m/>
    <s v="While getting empty pallet box from the pallet of stacked boxes picker didn't realise that empty wooden pallet and pallet jack was too close behind him. he picked the pallet box, turn around and tripped on pallet behind him."/>
    <x v="6"/>
    <x v="3"/>
    <x v="35"/>
    <s v="left thigh"/>
    <x v="0"/>
    <x v="1"/>
    <x v="20"/>
    <s v="Q2, FY25"/>
  </r>
  <r>
    <s v="INC10423"/>
    <d v="2024-11-21T20:28:00"/>
    <d v="2024-11-20T18:00:00"/>
    <s v="FABIO D'ALESSANDRO"/>
    <s v="STEVEN HARRISON"/>
    <s v="S811 Spotlight DC"/>
    <m/>
    <s v="Customer / Contractor"/>
    <m/>
    <s v="DRIVING FORKLIFT AND COLLIDED WITH ANOTHER FORKLIFT"/>
    <x v="3"/>
    <x v="5"/>
    <x v="1"/>
    <s v="NONE"/>
    <x v="0"/>
    <x v="2"/>
    <x v="20"/>
    <s v="Q2, FY25"/>
  </r>
  <r>
    <s v="INC10429"/>
    <d v="2024-11-22T13:39:00"/>
    <d v="2024-11-21T12:32:00"/>
    <s v="DOMENICO MARTELLO"/>
    <s v="THOMAS WILLIAMS"/>
    <s v="S810 Anaconda DC"/>
    <m/>
    <s v="Safety Near Miss"/>
    <m/>
    <s v="Ansh from the container team (forklift driver) was taking pallets from the unloading area to the put way bays and thought the drive way, there was a reach parked and didn't look both ways and hit the parked reach."/>
    <x v="0"/>
    <x v="0"/>
    <x v="0"/>
    <s v=""/>
    <x v="0"/>
    <x v="1"/>
    <x v="20"/>
    <s v="Q2, FY25"/>
  </r>
  <r>
    <s v="INC10430"/>
    <d v="2024-11-22T14:34:00"/>
    <d v="2024-11-22T10:00:00"/>
    <s v="MICHELLE SLOVIK"/>
    <s v="STEVEN HARRISON"/>
    <s v="HS2057 SUNSHINE DC"/>
    <m/>
    <s v="Safety Near Miss"/>
    <m/>
    <s v="A team member was working the 2nd decline around pallet site 2048. Another team member was using the walkie stacker to retrieve completed pallets. The 2048  pallet was fully packed and 1.8 metres tall creating a blind spot between it and the decline. A new team member with limited experience working the controls on the walkie stacker did not sound the horn before inserting the tynes and lifting the 2048 pallet. The pallet moved forward slightly as it was elevated. Subsequently the team member working the decline who was in the blind spot was touched by the pallet being retrieved."/>
    <x v="0"/>
    <x v="0"/>
    <x v="0"/>
    <s v=""/>
    <x v="0"/>
    <x v="0"/>
    <x v="20"/>
    <s v="Q2, FY25"/>
  </r>
  <r>
    <s v="INC10562"/>
    <d v="2024-12-03T09:33:00"/>
    <d v="2024-12-03T07:15:00"/>
    <s v="GEMMA DRAKOPOULOS"/>
    <s v="DAMIAN KAVANAGH"/>
    <s v="S910 Supply Chain"/>
    <m/>
    <s v="Customer / Contractor"/>
    <m/>
    <s v="The Concept logistics driver was reversing into dock 8 with a SUPER BDOUBLE. While he was reversing, he clipped a pallet without realising as the sunlight was directly hitting his mirror and eyes causing an obstruction in his mirrors at that time of morning."/>
    <x v="15"/>
    <x v="5"/>
    <x v="1"/>
    <s v="none"/>
    <x v="0"/>
    <x v="2"/>
    <x v="21"/>
    <s v="Q2, FY25"/>
  </r>
  <r>
    <s v="INC10582"/>
    <d v="2024-12-04T13:40:00"/>
    <d v="2024-12-04T13:29:00"/>
    <s v="MARK BOYD"/>
    <s v="MICHELLE SLOVIK"/>
    <s v="S812  Harris Scarfe DC"/>
    <m/>
    <s v="Customer / Contractor"/>
    <m/>
    <s v="Leaving TOP Logistics reversing out of the gate, Michael Wedding was doing a 3-point turn to drive forwards out of the main driveway. While doing the last part of the 3- point turn i Accidently hit the yellow bollard that protect the main gate for the Harris Scarfe Sunshine DC."/>
    <x v="9"/>
    <x v="5"/>
    <x v="1"/>
    <s v="none"/>
    <x v="0"/>
    <x v="0"/>
    <x v="21"/>
    <s v="Q2, FY25"/>
  </r>
  <r>
    <s v="INC10639"/>
    <d v="2024-12-10T12:19:00"/>
    <d v="2024-12-05T11:10:00"/>
    <s v="MICHELLE SLOVIK"/>
    <s v="STEVEN HARRISON"/>
    <s v="HS2057 SUNSHINE DC"/>
    <m/>
    <s v="Customer / Contractor"/>
    <m/>
    <s v="Worker was repairing broken board on pallet with hammer and nail. Worker was holding the nail and striking when they missed and impacted there index finger. Worker was wearing gloves."/>
    <x v="5"/>
    <x v="3"/>
    <x v="30"/>
    <s v="right hand index finger"/>
    <x v="0"/>
    <x v="0"/>
    <x v="21"/>
    <s v="Q2, FY25"/>
  </r>
  <r>
    <s v="INC10642"/>
    <d v="2024-12-10T13:29:00"/>
    <d v="2024-12-05T11:18:00"/>
    <s v="MICHELLE SLOVIK"/>
    <s v="STEVEN HARRISON"/>
    <s v="HS2057 SUNSHINE DC"/>
    <m/>
    <s v="Customer / Contractor"/>
    <m/>
    <s v="Worker was doing a team lift to move a broken pallet to the corresponding broken pallet stack. Worker had a splinter lodge in there finger whilst doing so. Worker was not wearing gloves."/>
    <x v="1"/>
    <x v="1"/>
    <x v="30"/>
    <s v="right hand index finger"/>
    <x v="0"/>
    <x v="0"/>
    <x v="21"/>
    <s v="Q2, FY25"/>
  </r>
  <r>
    <s v="INC10671"/>
    <d v="2024-12-12T11:49:00"/>
    <d v="2024-12-11T07:30:00"/>
    <s v="EVANS DZADEY"/>
    <s v="STEVEN HARRISON"/>
    <s v="S811 Spotlight DC"/>
    <m/>
    <s v="Customer / Contractor"/>
    <m/>
    <s v="Team member injured her back (twisted) whilst attempting to lift a relatively heavy carton (approx. 10.2kg). "/>
    <x v="2"/>
    <x v="2"/>
    <x v="12"/>
    <s v="Middle to lower back"/>
    <x v="0"/>
    <x v="2"/>
    <x v="21"/>
    <s v="Q2, FY25"/>
  </r>
  <r>
    <s v="INC10686"/>
    <d v="2024-12-12T15:58:00"/>
    <d v="2024-12-10T19:15:00"/>
    <s v="VEERAPPA KATHIRVELU"/>
    <s v="STEVEN HARRISON"/>
    <s v="S811 Spotlight DC"/>
    <m/>
    <s v="Customer / Contractor"/>
    <m/>
    <s v="Hazar truck had diesel leakage, spill kit is used to contain the diesel on the floor. Hazar removed the truck from the site as he could not fix the issue."/>
    <x v="0"/>
    <x v="0"/>
    <x v="0"/>
    <s v=""/>
    <x v="0"/>
    <x v="2"/>
    <x v="21"/>
    <s v="Q2, FY25"/>
  </r>
  <r>
    <s v="INC10753"/>
    <d v="2024-12-17T07:46:00"/>
    <d v="2024-12-11T11:30:00"/>
    <s v="RAHUL NAIK AMGOTH"/>
    <s v="STEVEN HARRISON"/>
    <s v="S811 Spotlight DC"/>
    <s v="RAHUL NAIK AMGOTH"/>
    <s v="Customer / Contractor"/>
    <s v="First Aid Treatment"/>
    <s v="several cartons fell on from a full pallet on her"/>
    <x v="6"/>
    <x v="3"/>
    <x v="36"/>
    <s v="left leg knee"/>
    <x v="0"/>
    <x v="2"/>
    <x v="21"/>
    <s v="Q2, FY25"/>
  </r>
  <r>
    <s v="INC10765"/>
    <d v="2024-12-17T12:59:00"/>
    <d v="2024-12-17T08:30:00"/>
    <s v="ANTONIO LAI PATRICIO COELHO"/>
    <s v="STEVEN HARRISON"/>
    <s v="S910 Supply Chain"/>
    <s v="ANASTASIA KOFTEROS"/>
    <s v="Team Member Injury"/>
    <s v="First Aid Treatment"/>
    <s v="Team member was trying to grab a fabric roll on a pallet . She stepped on to the pallet to reach for the roll,she accidentally placed her foot between the pallets slats and injured her right ankle.  "/>
    <x v="6"/>
    <x v="3"/>
    <x v="37"/>
    <s v="right ankle"/>
    <x v="4"/>
    <x v="2"/>
    <x v="21"/>
    <s v="Q2, FY25"/>
  </r>
  <r>
    <s v="INC10796"/>
    <d v="2024-12-19T12:51:00"/>
    <d v="2024-12-18T18:15:00"/>
    <s v="GEMMA DRAKOPOULOS"/>
    <s v="DAMIAN KAVANAGH"/>
    <s v="S910 Supply Chain"/>
    <m/>
    <s v="Customer / Contractor"/>
    <m/>
    <s v="Ran over his right food when he was reversing the pallet jack machine"/>
    <x v="16"/>
    <x v="5"/>
    <x v="38"/>
    <s v="Right foot"/>
    <x v="0"/>
    <x v="2"/>
    <x v="21"/>
    <s v="Q2, FY25"/>
  </r>
  <r>
    <s v="INC10806"/>
    <d v="2024-12-20T10:26:00"/>
    <d v="2024-12-20T09:40:00"/>
    <s v="GEMMA DRAKOPOULOS"/>
    <s v="DAMIAN KAVANAGH"/>
    <s v="S910 Supply Chain"/>
    <m/>
    <s v="Customer / Contractor"/>
    <m/>
    <s v="Hit the barricade in wrapping with the tugger while trying to give someone there water bottle "/>
    <x v="5"/>
    <x v="5"/>
    <x v="1"/>
    <s v="none"/>
    <x v="0"/>
    <x v="2"/>
    <x v="21"/>
    <s v="Q2, FY25"/>
  </r>
  <r>
    <s v="INC10991"/>
    <d v="2025-01-03T09:17:00"/>
    <d v="2024-12-31T08:00:00"/>
    <s v="BRADLEE FEILO-HASINI"/>
    <s v="THOMAS WILLIAMS"/>
    <s v="S810 Anaconda DC"/>
    <m/>
    <s v="Customer / Contractor"/>
    <m/>
    <s v="The driver Keith was reversing the B-double in the despatch yard then he hit the bollards."/>
    <x v="17"/>
    <x v="9"/>
    <x v="1"/>
    <s v="None"/>
    <x v="0"/>
    <x v="1"/>
    <x v="22"/>
    <s v="Q3, FY25"/>
  </r>
  <r>
    <s v="INC11052"/>
    <d v="2025-01-07T19:28:00"/>
    <d v="2025-01-07T18:05:00"/>
    <s v="VEERAPPA KATHIRVELU"/>
    <s v="STEVEN HARRISON"/>
    <s v="S811 Spotlight DC"/>
    <m/>
    <s v="Customer / Contractor"/>
    <m/>
    <s v="Ayush Parikh parked his tugger close to safety railing near despatch tugger charging area and went to his break by jumping over the safety rail barrier. After break, he was trying to climb back on the tugger by jumping from the walkway to the tugger over the railing barrier and he got hurt under his knees."/>
    <x v="5"/>
    <x v="3"/>
    <x v="11"/>
    <s v="below right knees"/>
    <x v="0"/>
    <x v="2"/>
    <x v="22"/>
    <s v="Q3, FY25"/>
  </r>
  <r>
    <s v="INC11139"/>
    <d v="2025-01-14T09:22:00"/>
    <d v="2025-01-13T18:10:00"/>
    <s v="GEMMA DRAKOPOULOS"/>
    <s v="DAMIAN KAVANAGH"/>
    <s v="S910 Supply Chain"/>
    <m/>
    <s v="Customer / Contractor"/>
    <m/>
    <s v="Team member was reversing a long tines forklift with 2 stacks of  euro bins ( 8 bins per stack) to  take them to a designated location for use. Whilst reversing and turning, the stack closest to the mast had lost the top 4 euro bins as the 4rth euro bin in the stack was unstable due to one of the feet being damaged, causing the top 4 bins to fall to the ground against rack A12 and A13. No one was injured or any of the racking impacted. "/>
    <x v="5"/>
    <x v="5"/>
    <x v="1"/>
    <s v="none"/>
    <x v="0"/>
    <x v="2"/>
    <x v="22"/>
    <s v="Q3, FY25"/>
  </r>
  <r>
    <s v="INC11154"/>
    <d v="2025-01-15T07:58:00"/>
    <d v="2024-11-22T11:45:00"/>
    <s v="BRADLEE FEILO-HASINI"/>
    <s v="THOMAS WILLIAMS"/>
    <s v="S810 Anaconda DC"/>
    <m/>
    <s v="Customer / Contractor"/>
    <m/>
    <s v="Forklift driver Naresh was going to load the truck when he slightly struck Linga Reddy in the leg. Linga Reddy was giving paperwork to the driver when this happened. The fork driver did not see him when he was going to load the truck (he had a double tines forklift with 2 pallets front loading).Linga Reddy and the truck driver were not in the driver safe zone as  well."/>
    <x v="16"/>
    <x v="3"/>
    <x v="20"/>
    <s v="Right Ankle/Lower leg"/>
    <x v="0"/>
    <x v="1"/>
    <x v="20"/>
    <s v="Q2, FY25"/>
  </r>
  <r>
    <s v="INC11165"/>
    <d v="2025-01-15T15:26:00"/>
    <d v="2025-01-14T14:39:00"/>
    <s v="VEERAPPA KATHIRVELU"/>
    <s v="STEVEN HARRISON"/>
    <s v="S811 Spotlight DC"/>
    <m/>
    <s v="Customer / Contractor"/>
    <m/>
    <s v="One of the morning shift staff rejected the load of United Living as the pallet quantity didn't match with our paper work, he advised the driver drive around and wait at the back so that he can contact his company and sort things out, as there were other trucks waiting to be unloaded. As i walked in at 2:30pm unaware of the situation and the driver comes in and starts swearing and cursing the morning shift in a very loud voice, he had an argument with Mohammad as well and was not willing to listen what we have to say. He said he was upset because he had been waiting for a long time to unload and then you reject me then send me around, had to wait again and later you are ready to accept the load (instructed by Jill to accept the load).Few minutes later, I got a call from Manish (dispatch) saying, when the driver was coming around, he had an argument with another driver(GEBS) on   door 19. So, there was a B-double already reversing in door-19 and this driver tried to cut in and nearly hit the B-double and they had an argument. So, I spoke to Jill and informed about both the incidents and Jill advised me to reject the load, when we informed the driver he said this wrong brother, you guys are doing wrong with me, but we explained to him the matter and the procedure and then sat back in his truck, he was on the phone for about 10mins and later left the premises."/>
    <x v="3"/>
    <x v="4"/>
    <x v="1"/>
    <s v="NIL"/>
    <x v="0"/>
    <x v="2"/>
    <x v="22"/>
    <s v="Q3, FY25"/>
  </r>
  <r>
    <s v="INC11188"/>
    <d v="2025-01-16T19:03:00"/>
    <d v="2025-01-16T11:35:00"/>
    <s v="NEERAJ NEERAJ"/>
    <s v="DAMIAN KAVANAGH"/>
    <s v="S910 Supply Chain"/>
    <m/>
    <s v="Safety Near Miss"/>
    <m/>
    <s v="Two team member driving the tugger. and team member A stop the tugger suddenly. and member B hit the other tugger slightly. because of less gap between the both tuggers while driving. "/>
    <x v="0"/>
    <x v="0"/>
    <x v="0"/>
    <s v=""/>
    <x v="0"/>
    <x v="2"/>
    <x v="22"/>
    <s v="Q3, FY25"/>
  </r>
  <r>
    <s v="INC11261"/>
    <d v="2025-01-22T12:42:00"/>
    <d v="2025-01-22T10:56:00"/>
    <s v="SHAYINA SHARMA"/>
    <s v="STEVEN HARRISON"/>
    <s v="S811 Spotlight DC"/>
    <m/>
    <s v="Safety Near Miss"/>
    <m/>
    <s v="reach operator was driving past the distro area, another forklift operator pushed a line of euro bins towards the reach that was driving past and narrowly missed the reach driver. forklift operator didn't have line of sight"/>
    <x v="0"/>
    <x v="0"/>
    <x v="0"/>
    <s v=""/>
    <x v="0"/>
    <x v="2"/>
    <x v="22"/>
    <s v="Q3, FY25"/>
  </r>
  <r>
    <s v="INC11262"/>
    <d v="2025-01-22T13:01:00"/>
    <d v="2025-01-22T11:47:00"/>
    <s v="SHAYINA SHARMA"/>
    <s v="STEVEN HARRISON"/>
    <s v="S811 Spotlight DC"/>
    <m/>
    <s v="Safety Near Miss"/>
    <m/>
    <s v="Reach truck driver was placing on top level (level 7) a pallet full of goods (ceramic ware) weighing up to 450kg. As he removed the tines from the pallet- after placing the pallet on the rack, a nearby reach driver noticed that along with the tines the goods had moved off the placed pallet onto the tines. The reach driver then tried to push the goods back to position, in doing so the goods dropped down to ground. "/>
    <x v="0"/>
    <x v="0"/>
    <x v="0"/>
    <s v=""/>
    <x v="0"/>
    <x v="2"/>
    <x v="22"/>
    <s v="Q3, FY25"/>
  </r>
  <r>
    <s v="INC11266"/>
    <d v="2025-01-22T14:10:00"/>
    <d v="2025-01-13T11:20:00"/>
    <s v="SHAYINA SHARMA"/>
    <s v="STEVEN HARRISON"/>
    <s v="S811 Spotlight DC"/>
    <s v="AGUM GUEM"/>
    <s v="Team Member Injury"/>
    <s v="Potential LTI"/>
    <s v="Team member was standing next to conveyor when forklift driver went to place a euro bin adjacent to the conveyor so articles can be loaded onto conveyor. While doing this he hit the conveyor with the euro bin causing the first section of the conveyor to move out of place, followed by the second section to topple over. Team member in the vicinity tried to move away quickly and in doing so she sprained her left thigh. Although team member is much better, she took today off to have an X-ray for investigative purposes."/>
    <x v="7"/>
    <x v="2"/>
    <x v="22"/>
    <s v="Left thigh front"/>
    <x v="4"/>
    <x v="2"/>
    <x v="22"/>
    <s v="Q3, FY25"/>
  </r>
  <r>
    <s v="INC11275"/>
    <d v="2025-01-23T10:26:00"/>
    <d v="2025-01-10T13:50:00"/>
    <s v="EARL DAVID"/>
    <s v="THOMAS WILLIAMS"/>
    <s v="S810 Anaconda DC"/>
    <m/>
    <s v="Safety Near Miss"/>
    <m/>
    <s v="When Noah was moving Pallets to the receiving area ( reversing backward ) he collided with a stationary High reach ( Shaun ) who was waiting to line up is double stack pallets in the allocation feeding area. unfortunately Noah did not see or ear Shaun shout out and  he collided  at the right corner of the high reach MHE ."/>
    <x v="0"/>
    <x v="0"/>
    <x v="0"/>
    <s v=""/>
    <x v="0"/>
    <x v="1"/>
    <x v="22"/>
    <s v="Q3, FY25"/>
  </r>
  <r>
    <s v="INC11354"/>
    <d v="2025-01-30T11:27:00"/>
    <d v="2025-01-30T07:00:00"/>
    <s v="BRADLEE FEILO-HASINI"/>
    <s v="THOMAS WILLIAMS"/>
    <s v="S810 Anaconda DC"/>
    <m/>
    <s v="Customer / Contractor"/>
    <m/>
    <s v="While moving kayaks from stillage to stillage, the kayak slipped out of Jeffery's hand which grazed his right shin."/>
    <x v="5"/>
    <x v="1"/>
    <x v="21"/>
    <s v="Right Shin"/>
    <x v="0"/>
    <x v="1"/>
    <x v="23"/>
    <s v="Q3, FY25"/>
  </r>
  <r>
    <s v="INC11545"/>
    <d v="2025-02-12T06:37:00"/>
    <d v="2025-02-11T13:52:00"/>
    <s v="JOSEPH JEFFERY"/>
    <s v="THOMAS WILLIAMS"/>
    <s v="S813 HS Dark Store"/>
    <m/>
    <s v="Safety Near Miss"/>
    <m/>
    <s v="John the forklift driver was grabbing pallets (14 pallets) from a truck and continually going up and down through the warehouse to place the pallets in their correct spots. on the 3rd or 4th trip John was going back towards the truck as a team member (Sowjanya) started to walk across hiss path towards one of the bins.  John was continually beeping his horn as he was heading back to the truck. Around 10-11m away from the team member John had increased the amount of beeping of the horn as he noticed he would come into contact with this team member because they weren't paying attention. The team member had continued to walk across the path and around 6m away John had switched to holding the horn and had to come to a full stop closing in to 3m away from the team member.  I (Joseph) had a brief conversation with this team member about why they had continued to walk across the pathway. &quot;I thought this was a truck horn and I did notice John but he was aware of where I was&quot; was the comment I got back. Sowji had just recently come back from A/L and I had a catch up with her about safety the day before this happened and in this safety talk we went over the safety around forklifts and traffic management."/>
    <x v="0"/>
    <x v="0"/>
    <x v="0"/>
    <s v=""/>
    <x v="0"/>
    <x v="0"/>
    <x v="23"/>
    <s v="Q3, FY25"/>
  </r>
  <r>
    <s v="INC11552"/>
    <d v="2025-02-12T14:49:00"/>
    <d v="2025-02-11T20:00:00"/>
    <s v="NEERAJ NEERAJ"/>
    <s v="DAMIAN KAVANAGH"/>
    <s v="S910 Supply Chain"/>
    <m/>
    <s v="Customer / Contractor"/>
    <m/>
    <s v="when Munya was picking the pallets with Double tine forklift from the overflow, he wanted to reverse his forklift in the overflow area itself but since the machine is too long to maneuver he hit the wrapping machine which is staged next to the overflow. It was purely the operator's mistake. "/>
    <x v="3"/>
    <x v="5"/>
    <x v="1"/>
    <s v="NO"/>
    <x v="0"/>
    <x v="2"/>
    <x v="23"/>
    <s v="Q3, FY25"/>
  </r>
  <r>
    <s v="INC11566"/>
    <d v="2025-02-13T10:48:00"/>
    <d v="2025-02-13T10:30:00"/>
    <s v="MARK BOYD"/>
    <s v="MICHELLE SLOVIK"/>
    <s v="S812  Harris Scarfe DC"/>
    <m/>
    <s v="Customer / Contractor"/>
    <m/>
    <s v="The first shuttle truck was being loaded by mark, while they were putting the pallets in the wind picked up and moved the curtain which then was touched by the forklift operator. There is a slight bend in the pole Rana (truck driver) is aware of the issue. I then rang harry to inform him of the issue and asked what the safe work practice is he replied the curtains are to be secured to the truck by the driver before loading is to start&quot;. I informed him that this was not   done and resulted in minor damage to the pole   Driver name: Rana Rego: XN802Y  Forklift operator: Mark Boyd "/>
    <x v="9"/>
    <x v="5"/>
    <x v="1"/>
    <s v="none"/>
    <x v="0"/>
    <x v="0"/>
    <x v="23"/>
    <s v="Q3, FY25"/>
  </r>
  <r>
    <s v="INC11590"/>
    <d v="2025-02-14T14:13:00"/>
    <d v="2025-02-14T08:00:00"/>
    <s v="EVANS DZADEY"/>
    <s v="ANASTASIA KOFTEROS"/>
    <s v="S910 Supply Chain"/>
    <m/>
    <s v="Safety Near Miss"/>
    <m/>
    <s v="A team member attempted to move a Euro bin full of stock with an electric pallet jack. The bin fell near where another team member was working."/>
    <x v="0"/>
    <x v="0"/>
    <x v="0"/>
    <s v=""/>
    <x v="0"/>
    <x v="2"/>
    <x v="23"/>
    <s v="Q3, FY25"/>
  </r>
  <r>
    <s v="INC11762"/>
    <d v="2025-02-27T09:18:00"/>
    <d v="2025-02-26T07:50:00"/>
    <s v="GEMMA DRAKOPOULOS"/>
    <s v="DAMIAN KAVANAGH"/>
    <s v="S910 Supply Chain"/>
    <m/>
    <s v="Safety Near Miss"/>
    <m/>
    <s v="Truck driver was going to exit the warehouse, instead he drove through the car park, he left through the entry gate and instead of going around the roundabout to come back inside the warehouse, he drove the wrong way on the service road "/>
    <x v="0"/>
    <x v="0"/>
    <x v="0"/>
    <s v=""/>
    <x v="0"/>
    <x v="2"/>
    <x v="23"/>
    <s v="Q3, FY25"/>
  </r>
  <r>
    <s v="INC11764"/>
    <d v="2025-02-27T09:27:00"/>
    <d v="2025-02-27T08:40:00"/>
    <s v="GEMMA DRAKOPOULOS"/>
    <s v="DAMIAN KAVANAGH"/>
    <s v="S910 Supply Chain"/>
    <m/>
    <s v="Safety Near Miss"/>
    <m/>
    <s v="Driver was exiting the warehouse to go back around inside, but instead of going around the roundabout, he unsafely drove the wrong way through the service lane to enter"/>
    <x v="0"/>
    <x v="0"/>
    <x v="0"/>
    <s v=""/>
    <x v="0"/>
    <x v="2"/>
    <x v="23"/>
    <s v="Q3, FY25"/>
  </r>
  <r>
    <s v="INC11772"/>
    <d v="2025-02-27T13:36:00"/>
    <d v="2025-02-27T12:15:00"/>
    <s v="MICHELLE SLOVIK"/>
    <s v="STEVEN HARRISON"/>
    <s v="S910 Supply Chain"/>
    <m/>
    <s v="Customer / Contractor"/>
    <m/>
    <s v="Staff member was cutting the plastic of the pallet which was on the pallet lifter, and cut his left pointer finger slightly. team member then wrapped it up with tissues and advised a supervisor. they had 1st aid treatment, which was washing the wound and sanitizing and band aid applied "/>
    <x v="0"/>
    <x v="0"/>
    <x v="0"/>
    <s v=""/>
    <x v="0"/>
    <x v="2"/>
    <x v="23"/>
    <s v="Q3, FY25"/>
  </r>
  <r>
    <s v="INC11869"/>
    <d v="2025-03-06T13:48:00"/>
    <d v="2025-03-06T10:35:00"/>
    <s v="GEMMA DRAKOPOULOS"/>
    <s v="DAMIAN KAVANAGH"/>
    <s v="S910 Supply Chain"/>
    <m/>
    <s v="Customer / Contractor"/>
    <m/>
    <s v="Phong was driving the tugger to turn left at the walkway, when he was turning, he tried to avoid the stillages that were placed on the driveway, and lost control and smashed into the racking, from the impact of the crash, hes upper back was impacted. worker advised of no injury however was pale and was taken to the tea room for observation, and was provided a glass of water, the worker went home after this."/>
    <x v="12"/>
    <x v="5"/>
    <x v="39"/>
    <s v="Back"/>
    <x v="0"/>
    <x v="2"/>
    <x v="24"/>
    <s v="Q3, FY25"/>
  </r>
  <r>
    <s v="INC11943"/>
    <d v="2025-03-13T13:36:00"/>
    <d v="2025-03-12T11:00:00"/>
    <s v="GEMMA DRAKOPOULOS"/>
    <s v="DAMIAN KAVANAGH"/>
    <s v="S910 Supply Chain"/>
    <m/>
    <s v="Customer / Contractor"/>
    <m/>
    <s v="Machine wrap dropped suddenly on Melissas hand / wrist / cartridge"/>
    <x v="4"/>
    <x v="3"/>
    <x v="40"/>
    <s v="Hand / wrist / cartridge"/>
    <x v="0"/>
    <x v="2"/>
    <x v="24"/>
    <s v="Q3, FY25"/>
  </r>
  <r>
    <s v="INC12000"/>
    <d v="2025-03-17T12:42:00"/>
    <d v="2025-03-11T10:50:00"/>
    <s v="EVANS DZADEY"/>
    <s v="ANASTASIA KOFTEROS"/>
    <s v="S910 Supply Chain"/>
    <m/>
    <s v="Customer / Contractor"/>
    <m/>
    <s v="Team member injured his lower back whilst attempting to stack a carton into a Euro bin."/>
    <x v="2"/>
    <x v="2"/>
    <x v="12"/>
    <s v="middle of lower back"/>
    <x v="0"/>
    <x v="2"/>
    <x v="24"/>
    <s v="Q3, FY25"/>
  </r>
  <r>
    <s v="INC12025"/>
    <d v="2025-03-19T10:24:00"/>
    <d v="2025-03-19T08:45:00"/>
    <s v="MICHELLE SLOVIK"/>
    <s v="STEVEN HARRISON"/>
    <s v="HS2057 SUNSHINE DC"/>
    <m/>
    <s v="Customer / Contractor"/>
    <m/>
    <s v="A gust of wind blew dust and grit from the warehouse floor, resulting in team member getting some grit in their eye."/>
    <x v="3"/>
    <x v="5"/>
    <x v="18"/>
    <s v="left eye"/>
    <x v="0"/>
    <x v="0"/>
    <x v="24"/>
    <s v="Q3, FY25"/>
  </r>
  <r>
    <s v="INC12027"/>
    <d v="2025-03-19T11:18:00"/>
    <d v="2025-03-19T10:50:00"/>
    <s v="GEMMA DRAKOPOULOS"/>
    <s v="DAMIAN KAVANAGH"/>
    <s v="S910 Supply Chain"/>
    <m/>
    <s v="Customer / Contractor"/>
    <m/>
    <s v="A truck driver ran into the boom gate and broke the right arm."/>
    <x v="18"/>
    <x v="5"/>
    <x v="1"/>
    <s v="nothing"/>
    <x v="0"/>
    <x v="2"/>
    <x v="24"/>
    <s v="Q3, FY25"/>
  </r>
  <r>
    <s v="INC12028"/>
    <d v="2025-03-19T11:48:00"/>
    <d v="2025-03-07T09:30:00"/>
    <s v="MICHELLE SLOVIK"/>
    <s v="STEVEN HARRISON"/>
    <s v="HS2057 SUNSHINE DC"/>
    <m/>
    <s v="Customer / Contractor"/>
    <m/>
    <s v="Truck driver from Butler Freight Service was reversing out of Top logistics Australia (TLA) warehouse and hit bollard protecting  Harris Scarfe receivals gate."/>
    <x v="3"/>
    <x v="5"/>
    <x v="1"/>
    <s v="No Injury."/>
    <x v="0"/>
    <x v="0"/>
    <x v="24"/>
    <s v="Q3, FY25"/>
  </r>
  <r>
    <s v="INC12044"/>
    <d v="2025-03-20T11:27:00"/>
    <d v="2025-03-19T08:20:00"/>
    <s v="GEMMA DRAKOPOULOS"/>
    <s v="DAMIAN KAVANAGH"/>
    <s v="S910 Supply Chain"/>
    <m/>
    <s v="Customer / Contractor"/>
    <m/>
    <s v="The truck driver was trying to get closer to the call button but went to fast and his side mirror hit the intercom camera"/>
    <x v="0"/>
    <x v="0"/>
    <x v="0"/>
    <s v=""/>
    <x v="0"/>
    <x v="2"/>
    <x v="24"/>
    <s v="Q3, FY25"/>
  </r>
  <r>
    <s v="INC12140"/>
    <d v="2025-03-26T14:53:00"/>
    <d v="2025-03-25T08:50:00"/>
    <s v="GEMMA DRAKOPOULOS"/>
    <s v="DAMIAN KAVANAGH"/>
    <s v="S910 Supply Chain"/>
    <m/>
    <s v="Safety Near Miss"/>
    <m/>
    <s v="When we open the container the empty pallets fell out and nearly hit Emelito."/>
    <x v="0"/>
    <x v="0"/>
    <x v="0"/>
    <s v=""/>
    <x v="0"/>
    <x v="2"/>
    <x v="24"/>
    <s v="Q3, FY25"/>
  </r>
  <r>
    <s v="INC12228"/>
    <d v="2025-03-31T11:42:00"/>
    <d v="2025-03-19T08:45:00"/>
    <s v="MICHELLE SLOVIK"/>
    <s v="STEVEN HARRISON"/>
    <s v="HS2057 SUNSHINE DC"/>
    <m/>
    <s v="Customer / Contractor"/>
    <m/>
    <s v="A gust of wind blew dust and grit from the warehouse floor, resulting in team member getting something in their eye."/>
    <x v="3"/>
    <x v="5"/>
    <x v="18"/>
    <s v="left eye"/>
    <x v="0"/>
    <x v="0"/>
    <x v="24"/>
    <s v="Q3, FY25"/>
  </r>
  <r>
    <s v="INC12347"/>
    <d v="2025-04-08T10:29:00"/>
    <d v="2025-04-07T08:20:00"/>
    <s v="GEMMA DRAKOPOULOS"/>
    <s v="DAMIAN KAVANAGH"/>
    <s v="S910 Supply Chain"/>
    <m/>
    <s v="Safety Near Miss"/>
    <m/>
    <s v="Concept driver was backing into door 8, then while he was driving forward a container driver from Silk drove in front of him."/>
    <x v="0"/>
    <x v="0"/>
    <x v="0"/>
    <s v=""/>
    <x v="0"/>
    <x v="2"/>
    <x v="25"/>
    <s v="Q4, FY25"/>
  </r>
  <r>
    <s v="INC12386"/>
    <d v="2025-04-10T14:35:00"/>
    <d v="2025-04-09T09:15:00"/>
    <s v="SURYANARAYANA NYALAKANTI"/>
    <s v="DAMIAN KAVANAGH"/>
    <s v="S910 Supply Chain"/>
    <m/>
    <s v="Safety Near Miss"/>
    <m/>
    <s v="as per the 3PL QLD TI'S   feedback below.  â€¢ The driver failed to stop at our stop sign prior to exiting the premises. â€¢ Upon return, we asked if he had done a site induction, which he hadnâ€™t - so we got that sorted and discussed slowing down in the yard and that we witnessed the first event  â€¢ After completing his induction, he exited the site again and failed to stop at the same stop sign a second time. "/>
    <x v="0"/>
    <x v="0"/>
    <x v="0"/>
    <s v=""/>
    <x v="0"/>
    <x v="2"/>
    <x v="25"/>
    <s v="Q4, FY25"/>
  </r>
  <r>
    <s v="INC12390"/>
    <d v="2025-04-10T15:07:00"/>
    <d v="2025-04-10T13:50:00"/>
    <s v="MARK BOYD"/>
    <s v="MICHELLE SLOVIK"/>
    <s v="S812  Harris Scarfe DC"/>
    <m/>
    <s v="Safety Near Miss"/>
    <m/>
    <s v="Team member was placing a pallet in bay 1C - 32 - 01. the team member was coming into the bay from the left-hand side and accidently hit the blue main beam on the right-hand side "/>
    <x v="0"/>
    <x v="0"/>
    <x v="0"/>
    <s v=""/>
    <x v="0"/>
    <x v="0"/>
    <x v="25"/>
    <s v="Q4, FY25"/>
  </r>
  <r>
    <s v="INC12394"/>
    <d v="2025-04-10T17:19:00"/>
    <d v="2025-04-10T16:00:00"/>
    <s v="VEERAPPA KATHIRVELU"/>
    <s v="ANASTASIA KOFTEROS"/>
    <s v="S811 Spotlight DC"/>
    <m/>
    <s v="Safety Near Miss"/>
    <m/>
    <s v="Ross moving euro bins from despatch to X-dock staging area, one of the stack fell down near Victoria pallets staging area."/>
    <x v="0"/>
    <x v="0"/>
    <x v="0"/>
    <s v=""/>
    <x v="0"/>
    <x v="2"/>
    <x v="25"/>
    <s v="Q4, FY25"/>
  </r>
  <r>
    <s v="INC12398"/>
    <d v="2025-04-10T20:45:00"/>
    <d v="2025-04-10T19:20:00"/>
    <s v="AJAYPAL SINGH"/>
    <s v="ANASTASIA KOFTEROS"/>
    <s v="S811 Spotlight DC"/>
    <s v="CHARLES WOL"/>
    <s v="Team Member Injury"/>
    <s v="Medical Treatment"/>
    <s v="When Charles was pulling a pallet for picking, he heard a sound from his left hip and he started feeling a bad pain."/>
    <x v="2"/>
    <x v="2"/>
    <x v="41"/>
    <s v="Left hip"/>
    <x v="1"/>
    <x v="2"/>
    <x v="25"/>
    <s v="Q4, FY25"/>
  </r>
  <r>
    <s v="INC12407"/>
    <d v="2025-04-11T14:58:00"/>
    <d v="2025-04-11T11:13:00"/>
    <s v="EVANS DZADEY"/>
    <s v="ANASTASIA KOFTEROS"/>
    <s v="S910 Supply Chain"/>
    <m/>
    <s v="Safety Near Miss"/>
    <m/>
    <s v="Forklift driver attempted to unload empty stillages from truck. Stillages got caught in a strap and fell, scratching driver's side of truck."/>
    <x v="0"/>
    <x v="0"/>
    <x v="0"/>
    <s v=""/>
    <x v="0"/>
    <x v="2"/>
    <x v="25"/>
    <s v="Q4, FY25"/>
  </r>
  <r>
    <s v="INC12676"/>
    <d v="2025-04-30T10:44:00"/>
    <d v="2025-04-17T09:42:00"/>
    <s v="MARGIE ROBINSON"/>
    <s v="SUE-ANNE KROPIK"/>
    <s v="S813 HS Dark Store"/>
    <s v="PIYUSH BUDHRAJA"/>
    <s v="Team Member Injury"/>
    <s v="Potential LTI"/>
    <s v="Piyush put his resume forward for the Leading Hand roll and going through the process of the roll didn't get the position. Piyush had then asked his manager (Joseph Jeffery) for a reason why he wasn't selected. A conversation took place of feedback and Piyush wasn't satisfied with the answer, Leading to a claim of acute stress from the work place."/>
    <x v="3"/>
    <x v="5"/>
    <x v="4"/>
    <s v="Mental Health"/>
    <x v="1"/>
    <x v="0"/>
    <x v="25"/>
    <s v="Q4, FY25"/>
  </r>
  <r>
    <s v="INC12783"/>
    <d v="2025-05-08T08:13:00"/>
    <d v="2025-05-07T03:25:00"/>
    <s v="GEMMA DRAKOPOULOS"/>
    <s v="DAMIAN KAVANAGH"/>
    <s v="S910 Supply Chain"/>
    <m/>
    <s v="Safety Near Miss"/>
    <m/>
    <s v="The items in the truck were not secured, once the wind picked up the item flew out and nearly hit the forklift driver in the head."/>
    <x v="0"/>
    <x v="0"/>
    <x v="0"/>
    <s v=""/>
    <x v="0"/>
    <x v="2"/>
    <x v="26"/>
    <s v="Q4, FY25"/>
  </r>
  <r>
    <s v="INC12862"/>
    <d v="2025-05-13T14:28:00"/>
    <d v="2025-05-12T10:40:00"/>
    <s v="GEMMA DRAKOPOULOS"/>
    <s v="DAMIAN KAVANAGH"/>
    <s v="S910 Supply Chain"/>
    <m/>
    <s v="Safety Near Miss"/>
    <m/>
    <s v="The container driver had his truck lifted too high, so whilst he was backing into the dock he went through the roller door slightly.  The reason this happened was because, the container didn't align with the rubber stoppers on every container dock, causing him to not know when to stop.  This incident caused damage to the hinges that kept the roller door in place."/>
    <x v="0"/>
    <x v="0"/>
    <x v="0"/>
    <s v=""/>
    <x v="0"/>
    <x v="2"/>
    <x v="26"/>
    <s v="Q4, FY25"/>
  </r>
  <r>
    <s v="INC12905"/>
    <d v="2025-05-16T11:18:00"/>
    <d v="2025-05-16T09:15:00"/>
    <s v="MARK BOYD"/>
    <s v="MICHELLE SLOVIK"/>
    <s v="S812  Harris Scarfe DC"/>
    <s v="FALEALAGO KOLIO"/>
    <s v="Team Member Injury"/>
    <s v="First Aid Treatment"/>
    <s v="While collecting the floor mats to be thrown out, the team member hit the right elbow on the top of the bin. The team member  then kept cleaning and informed his supervisor at 9:30am before first break. After the break the team member informed the supervisor that he wanted to keep cleaning and leave after the job was completed. At 11:00am the supervisor noticed that they were using a broom with 1 hand. Supervisor has then said to team member we will go fill out the incident report so the team member can go home. "/>
    <x v="5"/>
    <x v="3"/>
    <x v="5"/>
    <s v="right elbow"/>
    <x v="1"/>
    <x v="0"/>
    <x v="26"/>
    <s v="Q4, FY25"/>
  </r>
  <r>
    <s v="INC12950"/>
    <d v="2025-05-19T09:00:00"/>
    <d v="2025-05-16T11:30:00"/>
    <s v="EARL DAVID"/>
    <s v="THOMAS WILLIAMS"/>
    <s v="S810 Anaconda DC"/>
    <m/>
    <s v="Customer / Contractor"/>
    <m/>
    <s v="Around 11.30 AM container truck driver reverse the truck and hit the pole at the entry gate."/>
    <x v="0"/>
    <x v="0"/>
    <x v="0"/>
    <s v=""/>
    <x v="0"/>
    <x v="1"/>
    <x v="26"/>
    <s v="Q4, FY25"/>
  </r>
  <r>
    <s v="INC13002"/>
    <d v="2025-05-21T19:14:00"/>
    <d v="2025-05-21T15:00:00"/>
    <s v="AJAYPAL SINGH"/>
    <s v="ANASTASIA KOFTEROS"/>
    <s v="S811 Spotlight DC"/>
    <s v="MODITHA RANAHANSA PEDURU ARACHCHIGE"/>
    <s v="Team Member Injury"/>
    <s v="Medical Treatment"/>
    <s v="Moditha was stacking pallet for S120 when Charles came next to him. Charles was using an electric pallet jack which hit Moditha's picking pallet. The corner of the pallet hit Moditha's left leg (calf) and he had to sit down at the spot as he was feeling a terrible pain."/>
    <x v="7"/>
    <x v="3"/>
    <x v="3"/>
    <s v="Right Calf"/>
    <x v="1"/>
    <x v="2"/>
    <x v="26"/>
    <s v="Q4, FY25"/>
  </r>
  <r>
    <s v="INC13008"/>
    <d v="2025-05-22T13:45:00"/>
    <d v="2025-05-22T07:40:00"/>
    <s v="RAHUL NAIK AMGOTH"/>
    <s v="ANASTASIA KOFTEROS"/>
    <s v="S811 Spotlight DC"/>
    <m/>
    <s v="Customer / Contractor"/>
    <m/>
    <s v="Foot Got stuck under a pallet."/>
    <x v="7"/>
    <x v="3"/>
    <x v="21"/>
    <s v="Top of Right Foot."/>
    <x v="0"/>
    <x v="2"/>
    <x v="26"/>
    <s v="Q4, FY25"/>
  </r>
  <r>
    <s v="INC13060"/>
    <d v="2025-05-26T12:31:00"/>
    <d v="2025-05-13T09:00:00"/>
    <s v="MARK BOYD"/>
    <s v="MICHELLE SLOVIK"/>
    <s v="S812  Harris Scarfe DC"/>
    <m/>
    <s v="Customer / Contractor"/>
    <m/>
    <s v="Casual staff member was on the high reach moving pallets from the racks, team member cut though the wrapping area and hit the support beam that is on a angle near A2 vent."/>
    <x v="3"/>
    <x v="5"/>
    <x v="1"/>
    <s v="none"/>
    <x v="0"/>
    <x v="0"/>
    <x v="26"/>
    <s v="Q4, FY25"/>
  </r>
  <r>
    <m/>
    <m/>
    <m/>
    <m/>
    <m/>
    <m/>
    <m/>
    <m/>
    <m/>
    <m/>
    <x v="19"/>
    <x v="10"/>
    <x v="1"/>
    <m/>
    <x v="0"/>
    <x v="3"/>
    <x v="27"/>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B6087C-E064-4B43-84AD-242B9B1A958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8" firstHeaderRow="1" firstDataRow="2" firstDataCol="1" rowPageCount="1" colPageCount="1"/>
  <pivotFields count="18">
    <pivotField showAll="0"/>
    <pivotField numFmtId="22" showAll="0"/>
    <pivotField numFmtId="164" showAll="0"/>
    <pivotField showAll="0"/>
    <pivotField showAll="0"/>
    <pivotField showAll="0"/>
    <pivotField showAll="0"/>
    <pivotField showAll="0"/>
    <pivotField showAll="0"/>
    <pivotField showAll="0"/>
    <pivotField axis="axisRow" dataField="1" showAll="0">
      <items count="21">
        <item x="1"/>
        <item x="4"/>
        <item x="14"/>
        <item x="7"/>
        <item x="16"/>
        <item x="5"/>
        <item x="13"/>
        <item x="12"/>
        <item x="2"/>
        <item x="3"/>
        <item x="6"/>
        <item x="9"/>
        <item x="17"/>
        <item h="1" x="19"/>
        <item h="1" x="8"/>
        <item h="1" x="10"/>
        <item h="1" x="11"/>
        <item h="1" x="15"/>
        <item h="1" x="18"/>
        <item h="1" x="0"/>
        <item t="default"/>
      </items>
    </pivotField>
    <pivotField showAll="0"/>
    <pivotField showAll="0"/>
    <pivotField showAll="0"/>
    <pivotField showAll="0"/>
    <pivotField axis="axisCol" showAll="0">
      <items count="5">
        <item x="1"/>
        <item x="0"/>
        <item x="2"/>
        <item x="3"/>
        <item t="default"/>
      </items>
    </pivotField>
    <pivotField axis="axisPage" multipleItemSelectionAllowed="1" showAll="0">
      <items count="29">
        <item x="13"/>
        <item x="25"/>
        <item x="17"/>
        <item x="21"/>
        <item x="11"/>
        <item x="23"/>
        <item x="10"/>
        <item x="22"/>
        <item x="16"/>
        <item x="15"/>
        <item x="12"/>
        <item x="24"/>
        <item x="14"/>
        <item x="20"/>
        <item x="19"/>
        <item x="18"/>
        <item x="27"/>
        <item x="0"/>
        <item x="1"/>
        <item x="2"/>
        <item x="3"/>
        <item x="4"/>
        <item x="5"/>
        <item x="6"/>
        <item x="7"/>
        <item x="8"/>
        <item x="9"/>
        <item x="26"/>
        <item t="default"/>
      </items>
    </pivotField>
    <pivotField showAll="0"/>
  </pivotFields>
  <rowFields count="1">
    <field x="10"/>
  </rowFields>
  <rowItems count="14">
    <i>
      <x/>
    </i>
    <i>
      <x v="1"/>
    </i>
    <i>
      <x v="2"/>
    </i>
    <i>
      <x v="3"/>
    </i>
    <i>
      <x v="4"/>
    </i>
    <i>
      <x v="5"/>
    </i>
    <i>
      <x v="6"/>
    </i>
    <i>
      <x v="7"/>
    </i>
    <i>
      <x v="8"/>
    </i>
    <i>
      <x v="9"/>
    </i>
    <i>
      <x v="10"/>
    </i>
    <i>
      <x v="11"/>
    </i>
    <i>
      <x v="12"/>
    </i>
    <i t="grand">
      <x/>
    </i>
  </rowItems>
  <colFields count="1">
    <field x="15"/>
  </colFields>
  <colItems count="4">
    <i>
      <x/>
    </i>
    <i>
      <x v="1"/>
    </i>
    <i>
      <x v="2"/>
    </i>
    <i t="grand">
      <x/>
    </i>
  </colItems>
  <pageFields count="1">
    <pageField fld="16" hier="-1"/>
  </pageFields>
  <dataFields count="1">
    <dataField name="Count of Mechanism of Injury"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C4F305-DC6D-46F2-808A-038DA8FEE1E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4:L29" firstHeaderRow="1" firstDataRow="2" firstDataCol="1" rowPageCount="1" colPageCount="1"/>
  <pivotFields count="18">
    <pivotField showAll="0"/>
    <pivotField numFmtId="22" showAll="0"/>
    <pivotField numFmtId="164"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0">
        <item x="1"/>
        <item x="4"/>
        <item x="8"/>
        <item h="1" x="0"/>
        <item h="1" x="5"/>
        <item h="1" x="2"/>
        <item h="1" x="3"/>
        <item h="1" x="6"/>
        <item h="1" x="7"/>
        <item t="default"/>
      </items>
    </pivotField>
    <pivotField axis="axisCol" showAll="0">
      <items count="5">
        <item x="1"/>
        <item x="0"/>
        <item x="2"/>
        <item x="3"/>
        <item t="default"/>
      </items>
    </pivotField>
    <pivotField axis="axisPage" multipleItemSelectionAllowed="1" showAll="0">
      <items count="29">
        <item x="13"/>
        <item x="25"/>
        <item x="17"/>
        <item x="21"/>
        <item x="11"/>
        <item x="23"/>
        <item x="10"/>
        <item x="22"/>
        <item x="16"/>
        <item x="15"/>
        <item x="12"/>
        <item x="24"/>
        <item x="14"/>
        <item x="20"/>
        <item x="19"/>
        <item x="18"/>
        <item x="27"/>
        <item x="0"/>
        <item x="1"/>
        <item x="2"/>
        <item x="3"/>
        <item x="4"/>
        <item x="5"/>
        <item x="6"/>
        <item x="7"/>
        <item x="8"/>
        <item x="9"/>
        <item x="26"/>
        <item t="default"/>
      </items>
    </pivotField>
    <pivotField showAll="0"/>
  </pivotFields>
  <rowFields count="1">
    <field x="14"/>
  </rowFields>
  <rowItems count="4">
    <i>
      <x/>
    </i>
    <i>
      <x v="1"/>
    </i>
    <i>
      <x v="2"/>
    </i>
    <i t="grand">
      <x/>
    </i>
  </rowItems>
  <colFields count="1">
    <field x="15"/>
  </colFields>
  <colItems count="4">
    <i>
      <x/>
    </i>
    <i>
      <x v="1"/>
    </i>
    <i>
      <x v="2"/>
    </i>
    <i t="grand">
      <x/>
    </i>
  </colItems>
  <pageFields count="1">
    <pageField fld="16" hier="-1"/>
  </pageFields>
  <dataFields count="1">
    <dataField name="Count of Agency of Injury"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9182D9-1DBA-4005-AA68-E2486F46706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E45" firstHeaderRow="1" firstDataRow="2" firstDataCol="1" rowPageCount="1" colPageCount="1"/>
  <pivotFields count="18">
    <pivotField showAll="0"/>
    <pivotField numFmtId="22" showAll="0"/>
    <pivotField numFmtId="164" showAll="0"/>
    <pivotField showAll="0"/>
    <pivotField showAll="0"/>
    <pivotField showAll="0"/>
    <pivotField showAll="0"/>
    <pivotField showAll="0"/>
    <pivotField showAll="0"/>
    <pivotField showAll="0"/>
    <pivotField showAll="0"/>
    <pivotField showAll="0"/>
    <pivotField axis="axisRow" showAll="0">
      <items count="43">
        <item x="17"/>
        <item x="20"/>
        <item x="34"/>
        <item x="26"/>
        <item x="35"/>
        <item x="12"/>
        <item x="21"/>
        <item x="25"/>
        <item x="30"/>
        <item x="11"/>
        <item x="36"/>
        <item x="14"/>
        <item x="4"/>
        <item x="18"/>
        <item x="32"/>
        <item x="22"/>
        <item x="2"/>
        <item x="8"/>
        <item x="33"/>
        <item h="1" x="1"/>
        <item h="1" x="27"/>
        <item h="1" x="28"/>
        <item h="1" x="29"/>
        <item h="1" x="13"/>
        <item h="1" x="31"/>
        <item h="1" x="37"/>
        <item h="1" x="38"/>
        <item h="1" x="39"/>
        <item h="1" x="40"/>
        <item h="1" x="41"/>
        <item h="1" x="0"/>
        <item h="1" x="3"/>
        <item h="1" x="5"/>
        <item h="1" x="6"/>
        <item h="1" x="7"/>
        <item h="1" x="9"/>
        <item h="1" x="10"/>
        <item h="1" x="15"/>
        <item h="1" x="16"/>
        <item h="1" x="19"/>
        <item h="1" x="23"/>
        <item h="1" x="24"/>
        <item t="default"/>
      </items>
    </pivotField>
    <pivotField dataField="1" showAll="0" sortType="descending">
      <autoSortScope>
        <pivotArea dataOnly="0" outline="0" fieldPosition="0">
          <references count="2">
            <reference field="4294967294" count="1" selected="0">
              <x v="0"/>
            </reference>
            <reference field="15" count="1" selected="0">
              <x v="0"/>
            </reference>
          </references>
        </pivotArea>
      </autoSortScope>
    </pivotField>
    <pivotField showAll="0"/>
    <pivotField axis="axisCol" showAll="0">
      <items count="5">
        <item x="1"/>
        <item x="0"/>
        <item x="2"/>
        <item x="3"/>
        <item t="default"/>
      </items>
    </pivotField>
    <pivotField axis="axisPage" multipleItemSelectionAllowed="1" showAll="0">
      <items count="29">
        <item x="13"/>
        <item x="25"/>
        <item x="17"/>
        <item x="21"/>
        <item x="11"/>
        <item x="23"/>
        <item x="10"/>
        <item x="22"/>
        <item x="16"/>
        <item x="15"/>
        <item x="12"/>
        <item x="24"/>
        <item x="14"/>
        <item x="20"/>
        <item x="19"/>
        <item x="18"/>
        <item x="27"/>
        <item x="0"/>
        <item x="1"/>
        <item x="2"/>
        <item x="3"/>
        <item x="4"/>
        <item x="5"/>
        <item x="6"/>
        <item x="7"/>
        <item x="8"/>
        <item x="9"/>
        <item x="26"/>
        <item t="default"/>
      </items>
    </pivotField>
    <pivotField showAll="0"/>
  </pivotFields>
  <rowFields count="1">
    <field x="12"/>
  </rowFields>
  <rowItems count="20">
    <i>
      <x/>
    </i>
    <i>
      <x v="1"/>
    </i>
    <i>
      <x v="2"/>
    </i>
    <i>
      <x v="3"/>
    </i>
    <i>
      <x v="4"/>
    </i>
    <i>
      <x v="5"/>
    </i>
    <i>
      <x v="6"/>
    </i>
    <i>
      <x v="7"/>
    </i>
    <i>
      <x v="8"/>
    </i>
    <i>
      <x v="9"/>
    </i>
    <i>
      <x v="10"/>
    </i>
    <i>
      <x v="11"/>
    </i>
    <i>
      <x v="12"/>
    </i>
    <i>
      <x v="13"/>
    </i>
    <i>
      <x v="14"/>
    </i>
    <i>
      <x v="15"/>
    </i>
    <i>
      <x v="16"/>
    </i>
    <i>
      <x v="17"/>
    </i>
    <i>
      <x v="18"/>
    </i>
    <i t="grand">
      <x/>
    </i>
  </rowItems>
  <colFields count="1">
    <field x="15"/>
  </colFields>
  <colItems count="4">
    <i>
      <x/>
    </i>
    <i>
      <x v="1"/>
    </i>
    <i>
      <x v="2"/>
    </i>
    <i t="grand">
      <x/>
    </i>
  </colItems>
  <pageFields count="1">
    <pageField fld="16" hier="-1"/>
  </pageFields>
  <dataFields count="1">
    <dataField name="Count of Body Parts"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6C68CB-D09A-4544-BE34-B4DDE06F017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L10" firstHeaderRow="1" firstDataRow="2" firstDataCol="1" rowPageCount="1" colPageCount="1"/>
  <pivotFields count="18">
    <pivotField showAll="0"/>
    <pivotField numFmtId="22" showAll="0"/>
    <pivotField numFmtId="164" showAll="0"/>
    <pivotField showAll="0"/>
    <pivotField showAll="0"/>
    <pivotField showAll="0"/>
    <pivotField showAll="0"/>
    <pivotField showAll="0"/>
    <pivotField showAll="0"/>
    <pivotField showAll="0"/>
    <pivotField showAll="0"/>
    <pivotField axis="axisRow" dataField="1" showAll="0">
      <items count="12">
        <item x="3"/>
        <item x="1"/>
        <item x="5"/>
        <item x="9"/>
        <item x="2"/>
        <item h="1" x="10"/>
        <item h="1" x="7"/>
        <item h="1" x="8"/>
        <item h="1" x="4"/>
        <item h="1" x="0"/>
        <item h="1" x="6"/>
        <item t="default"/>
      </items>
    </pivotField>
    <pivotField showAll="0"/>
    <pivotField showAll="0"/>
    <pivotField showAll="0"/>
    <pivotField axis="axisCol" showAll="0">
      <items count="5">
        <item x="1"/>
        <item x="0"/>
        <item x="2"/>
        <item x="3"/>
        <item t="default"/>
      </items>
    </pivotField>
    <pivotField axis="axisPage" multipleItemSelectionAllowed="1" showAll="0">
      <items count="29">
        <item x="13"/>
        <item x="25"/>
        <item x="17"/>
        <item x="21"/>
        <item x="11"/>
        <item x="23"/>
        <item x="10"/>
        <item x="22"/>
        <item x="16"/>
        <item x="15"/>
        <item x="12"/>
        <item x="24"/>
        <item x="14"/>
        <item x="20"/>
        <item x="19"/>
        <item x="18"/>
        <item x="27"/>
        <item x="0"/>
        <item x="1"/>
        <item x="2"/>
        <item x="3"/>
        <item x="4"/>
        <item x="5"/>
        <item x="6"/>
        <item x="7"/>
        <item x="8"/>
        <item x="9"/>
        <item x="26"/>
        <item t="default"/>
      </items>
    </pivotField>
    <pivotField showAll="0"/>
  </pivotFields>
  <rowFields count="1">
    <field x="11"/>
  </rowFields>
  <rowItems count="6">
    <i>
      <x/>
    </i>
    <i>
      <x v="1"/>
    </i>
    <i>
      <x v="2"/>
    </i>
    <i>
      <x v="3"/>
    </i>
    <i>
      <x v="4"/>
    </i>
    <i t="grand">
      <x/>
    </i>
  </rowItems>
  <colFields count="1">
    <field x="15"/>
  </colFields>
  <colItems count="4">
    <i>
      <x/>
    </i>
    <i>
      <x v="1"/>
    </i>
    <i>
      <x v="2"/>
    </i>
    <i t="grand">
      <x/>
    </i>
  </colItems>
  <pageFields count="1">
    <pageField fld="16" hier="-1"/>
  </pageFields>
  <dataFields count="1">
    <dataField name="Count of Nature of Injury"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B50C0D-F7C9-4422-814F-D988AFC88992}" name="Table13" displayName="Table13" ref="A1:J419" totalsRowShown="0" headerRowDxfId="11" dataDxfId="10">
  <autoFilter ref="A1:J419" xr:uid="{A6BE76A3-06F5-429E-953B-F4817F119201}"/>
  <tableColumns count="10">
    <tableColumn id="1" xr3:uid="{EE1D27BA-E96A-4484-92C2-780AA7B47901}" name="Start" dataDxfId="9">
      <calculatedColumnFormula>A1+7</calculatedColumnFormula>
    </tableColumn>
    <tableColumn id="2" xr3:uid="{A3F3AF4E-BB55-4166-B613-F528877DAC1C}" name="End" dataDxfId="8">
      <calculatedColumnFormula>B1+7</calculatedColumnFormula>
    </tableColumn>
    <tableColumn id="3" xr3:uid="{8D67D6DF-9EB9-414A-A88E-0D67066156EE}" name="Week" dataDxfId="7"/>
    <tableColumn id="4" xr3:uid="{7B755BD2-3430-4BBE-868E-22AAAC120649}" name="Month" dataDxfId="6"/>
    <tableColumn id="5" xr3:uid="{DB406622-7780-40A7-8633-A2BD150D9D05}" name="QTR" dataDxfId="5"/>
    <tableColumn id="7" xr3:uid="{00C7559A-5A25-4A4B-9B8C-CE36978C5558}" name="FY" dataDxfId="4"/>
    <tableColumn id="9" xr3:uid="{5323BBC8-5614-45FE-ADA6-CCEFC4941809}" name="Month Year Comb" dataDxfId="3">
      <calculatedColumnFormula>Table13[[#This Row],[Month]]&amp;", "&amp;Table13[[#This Row],[FY]]</calculatedColumnFormula>
    </tableColumn>
    <tableColumn id="8" xr3:uid="{708F6780-D42A-48EA-A43F-52547EF1789B}" name="Week Month Year Comb" dataDxfId="2">
      <calculatedColumnFormula>Table13[[#This Row],[Week]]&amp;", "&amp;Table13[[#This Row],[Month]]&amp;" "&amp;Table13[[#This Row],[FY]]</calculatedColumnFormula>
    </tableColumn>
    <tableColumn id="11" xr3:uid="{329340A1-1205-41DF-B116-D460B69F95A9}" name="Month Year Comb2" dataDxfId="1">
      <calculatedColumnFormula>Table13[[#This Row],[Month]]&amp;", "&amp;Table13[[#This Row],[FY]]</calculatedColumnFormula>
    </tableColumn>
    <tableColumn id="6" xr3:uid="{B0643DBD-8760-49D2-964F-8A1F9844099C}" name="Qtr Year Comb22" dataDxfId="0">
      <calculatedColumnFormula>"Q"&amp;Table13[[#This Row],[QTR]]&amp;", "&amp;Table13[[#This Row],[FY]]</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A3329-9A2B-46BB-AF36-76F80A985A2A}">
  <sheetPr>
    <tabColor rgb="FFFFC000"/>
  </sheetPr>
  <dimension ref="A1:O42"/>
  <sheetViews>
    <sheetView tabSelected="1" zoomScale="110" zoomScaleNormal="110" workbookViewId="0"/>
  </sheetViews>
  <sheetFormatPr defaultRowHeight="15" x14ac:dyDescent="0.25"/>
  <cols>
    <col min="1" max="1" width="2.7109375" customWidth="1"/>
    <col min="2" max="2" width="37.42578125" customWidth="1"/>
    <col min="3" max="3" width="2.140625" customWidth="1"/>
    <col min="9" max="9" width="2.7109375" hidden="1" customWidth="1"/>
    <col min="10" max="14" width="0" hidden="1" customWidth="1"/>
    <col min="15" max="15" width="1.85546875" customWidth="1"/>
    <col min="16" max="16" width="4.7109375" customWidth="1"/>
  </cols>
  <sheetData>
    <row r="1" spans="1:15" ht="15.75" thickBot="1" x14ac:dyDescent="0.3">
      <c r="A1" s="27"/>
      <c r="B1" s="28"/>
      <c r="C1" s="28"/>
      <c r="D1" s="28"/>
      <c r="E1" s="28"/>
      <c r="F1" s="28"/>
      <c r="G1" s="28"/>
      <c r="H1" s="28"/>
      <c r="I1" s="28"/>
      <c r="J1" s="28"/>
      <c r="K1" s="28"/>
      <c r="L1" s="28"/>
      <c r="M1" s="28"/>
      <c r="N1" s="28"/>
      <c r="O1" s="29"/>
    </row>
    <row r="2" spans="1:15" ht="15.75" thickBot="1" x14ac:dyDescent="0.3">
      <c r="A2" s="30"/>
      <c r="B2" s="4" t="s">
        <v>288</v>
      </c>
      <c r="C2" s="31"/>
      <c r="D2" s="120" t="s">
        <v>289</v>
      </c>
      <c r="E2" s="121"/>
      <c r="F2" s="121"/>
      <c r="G2" s="121"/>
      <c r="H2" s="122"/>
      <c r="I2" s="31"/>
      <c r="J2" s="120" t="s">
        <v>290</v>
      </c>
      <c r="K2" s="121"/>
      <c r="L2" s="121"/>
      <c r="M2" s="121"/>
      <c r="N2" s="122"/>
      <c r="O2" s="32"/>
    </row>
    <row r="3" spans="1:15" ht="15.75" hidden="1" customHeight="1" thickBot="1" x14ac:dyDescent="0.3">
      <c r="A3" s="30"/>
      <c r="B3" s="9"/>
      <c r="C3" s="31"/>
      <c r="D3" s="85" t="s">
        <v>281</v>
      </c>
      <c r="E3" s="86" t="s">
        <v>281</v>
      </c>
      <c r="F3" s="86" t="s">
        <v>281</v>
      </c>
      <c r="G3" s="86" t="s">
        <v>281</v>
      </c>
      <c r="H3" s="87" t="s">
        <v>281</v>
      </c>
      <c r="I3" s="31"/>
      <c r="J3" s="85" t="s">
        <v>281</v>
      </c>
      <c r="K3" s="86" t="s">
        <v>281</v>
      </c>
      <c r="L3" s="86" t="s">
        <v>281</v>
      </c>
      <c r="M3" s="86" t="s">
        <v>281</v>
      </c>
      <c r="N3" s="87" t="s">
        <v>281</v>
      </c>
      <c r="O3" s="32"/>
    </row>
    <row r="4" spans="1:15" ht="15.75" thickBot="1" x14ac:dyDescent="0.3">
      <c r="A4" s="30"/>
      <c r="B4" s="9"/>
      <c r="C4" s="31"/>
      <c r="D4" s="123" t="s">
        <v>251</v>
      </c>
      <c r="E4" s="123"/>
      <c r="F4" s="123" t="s">
        <v>252</v>
      </c>
      <c r="G4" s="123"/>
      <c r="H4" s="123"/>
      <c r="I4" s="31"/>
      <c r="J4" s="123" t="s">
        <v>251</v>
      </c>
      <c r="K4" s="123"/>
      <c r="L4" s="123" t="s">
        <v>252</v>
      </c>
      <c r="M4" s="123"/>
      <c r="N4" s="123"/>
      <c r="O4" s="32"/>
    </row>
    <row r="5" spans="1:15" ht="15.75" hidden="1" customHeight="1" thickBot="1" x14ac:dyDescent="0.3">
      <c r="A5" s="30"/>
      <c r="B5" s="9"/>
      <c r="C5" s="31"/>
      <c r="D5" s="49" t="str">
        <f>D6&amp;", "&amp;D4</f>
        <v>MAY, FY24</v>
      </c>
      <c r="E5" s="49" t="str">
        <f>D6&amp;", "&amp;D4</f>
        <v>MAY, FY24</v>
      </c>
      <c r="F5" s="49" t="str">
        <f>F6&amp;", "&amp;F4</f>
        <v>MAY, FY25</v>
      </c>
      <c r="G5" s="49" t="str">
        <f>F6&amp;", "&amp;F4</f>
        <v>MAY, FY25</v>
      </c>
      <c r="H5" s="49"/>
      <c r="I5" s="31"/>
      <c r="J5" s="49" t="str">
        <f>J6&amp;", "&amp;J4</f>
        <v>Q3, FY24</v>
      </c>
      <c r="K5" s="49" t="str">
        <f>J6&amp;", "&amp;J4</f>
        <v>Q3, FY24</v>
      </c>
      <c r="L5" s="49" t="str">
        <f>L6&amp;", "&amp;L4</f>
        <v>Q3, FY25</v>
      </c>
      <c r="M5" s="49" t="str">
        <f>L6&amp;", "&amp;L4</f>
        <v>Q3, FY25</v>
      </c>
      <c r="N5" s="49"/>
      <c r="O5" s="32"/>
    </row>
    <row r="6" spans="1:15" ht="15.75" thickBot="1" x14ac:dyDescent="0.3">
      <c r="A6" s="30"/>
      <c r="B6" s="9" t="s">
        <v>259</v>
      </c>
      <c r="C6" s="31"/>
      <c r="D6" s="101" t="s">
        <v>236</v>
      </c>
      <c r="E6" s="101" t="s">
        <v>279</v>
      </c>
      <c r="F6" s="101" t="s">
        <v>236</v>
      </c>
      <c r="G6" s="101" t="s">
        <v>279</v>
      </c>
      <c r="H6" s="101" t="s">
        <v>280</v>
      </c>
      <c r="I6" s="31"/>
      <c r="J6" s="101" t="s">
        <v>504</v>
      </c>
      <c r="K6" s="101" t="s">
        <v>279</v>
      </c>
      <c r="L6" s="101" t="s">
        <v>504</v>
      </c>
      <c r="M6" s="100" t="s">
        <v>279</v>
      </c>
      <c r="N6" s="101" t="s">
        <v>280</v>
      </c>
      <c r="O6" s="32"/>
    </row>
    <row r="7" spans="1:15" x14ac:dyDescent="0.25">
      <c r="A7" s="30"/>
      <c r="B7" s="11" t="s">
        <v>13</v>
      </c>
      <c r="C7" s="31"/>
      <c r="D7" s="97" cm="1">
        <f t="array" aca="1" ref="D7" ca="1">_xlfn.XLOOKUP($B7,INDIRECT("'"&amp;D$3&amp;"'!"&amp;"$B3:$B5"),_xlfn.XLOOKUP(D$5,INDIRECT("'"&amp;D$3&amp;"'!"&amp;"$C2:$AZ2"),INDIRECT("'"&amp;D$3&amp;"'!"&amp;"$C3:$AZ5")))</f>
        <v>4</v>
      </c>
      <c r="E7" s="98" cm="1">
        <f t="array" aca="1" ref="E7" ca="1">_xlfn.XLOOKUP(E$6&amp;" "&amp;$B7,INDIRECT("'"&amp;E$3&amp;"'!"&amp;"$B18:$B20"),_xlfn.XLOOKUP(E$5,INDIRECT("'"&amp;E$3&amp;"'!"&amp;"$C2:$AZ2"),INDIRECT("'"&amp;E$3&amp;"'!"&amp;"$C18:$AZ20")))</f>
        <v>25</v>
      </c>
      <c r="F7" s="98" cm="1">
        <f t="array" aca="1" ref="F7" ca="1">_xlfn.XLOOKUP($B7,INDIRECT("'"&amp;F$3&amp;"'!"&amp;"$B3:$B5"),_xlfn.XLOOKUP(F$5,INDIRECT("'"&amp;F$3&amp;"'!"&amp;"$C2:$AZ2"),INDIRECT("'"&amp;F$3&amp;"'!"&amp;"$C3:$AZ5")))</f>
        <v>2</v>
      </c>
      <c r="G7" s="98" cm="1">
        <f t="array" aca="1" ref="G7" ca="1">_xlfn.XLOOKUP(G$6&amp;" "&amp;$B7,INDIRECT("'"&amp;G$3&amp;"'!"&amp;"$B18:$B20"),_xlfn.XLOOKUP(G$5,INDIRECT("'"&amp;G$3&amp;"'!"&amp;"$C2:$AZ2"),INDIRECT("'"&amp;G$3&amp;"'!"&amp;"$C18:$AZ20")))</f>
        <v>10</v>
      </c>
      <c r="H7" s="99">
        <f ca="1">G7-E7</f>
        <v>-15</v>
      </c>
      <c r="I7" s="31"/>
      <c r="J7" s="97" cm="1">
        <f t="array" aca="1" ref="J7" ca="1">_xlfn.XLOOKUP($B7,INDIRECT("'"&amp;J$3&amp;"'!"&amp;"$B3:$B5"),_xlfn.XLOOKUP(J$5,INDIRECT("'"&amp;J$3&amp;"'!"&amp;"$C2:$AZ2"),INDIRECT("'"&amp;J$3&amp;"'!"&amp;"$C3:$AZ5")))</f>
        <v>5</v>
      </c>
      <c r="K7" s="98" cm="1">
        <f t="array" aca="1" ref="K7" ca="1">_xlfn.XLOOKUP(K$6&amp;" "&amp;$B7,INDIRECT("'"&amp;K$3&amp;"'!"&amp;"$B18:$B20"),_xlfn.XLOOKUP(K$5,INDIRECT("'"&amp;K$3&amp;"'!"&amp;"$C2:$AZ2"),INDIRECT("'"&amp;K$3&amp;"'!"&amp;"$C18:$AZ20")))</f>
        <v>21</v>
      </c>
      <c r="L7" s="98" cm="1">
        <f t="array" aca="1" ref="L7" ca="1">_xlfn.XLOOKUP($B7,INDIRECT("'"&amp;L$3&amp;"'!"&amp;"$B3:$B5"),_xlfn.XLOOKUP(L$5,INDIRECT("'"&amp;L$3&amp;"'!"&amp;"$C2:$AZ2"),INDIRECT("'"&amp;L$3&amp;"'!"&amp;"$C3:$AZ5")))</f>
        <v>1</v>
      </c>
      <c r="M7" s="21" cm="1">
        <f t="array" aca="1" ref="M7" ca="1">_xlfn.XLOOKUP(M$6&amp;" "&amp;$B7,INDIRECT("'"&amp;M$3&amp;"'!"&amp;"$B18:$B20"),_xlfn.XLOOKUP(M$5,INDIRECT("'"&amp;M$3&amp;"'!"&amp;"$C2:$AZ2"),INDIRECT("'"&amp;M$3&amp;"'!"&amp;"$C18:$AZ20")))</f>
        <v>6</v>
      </c>
      <c r="N7" s="99">
        <f ca="1">M7-K7</f>
        <v>-15</v>
      </c>
      <c r="O7" s="32"/>
    </row>
    <row r="8" spans="1:15" x14ac:dyDescent="0.25">
      <c r="A8" s="30"/>
      <c r="B8" s="12" t="s">
        <v>9</v>
      </c>
      <c r="C8" s="31"/>
      <c r="D8" s="63" cm="1">
        <f t="array" aca="1" ref="D8" ca="1">_xlfn.XLOOKUP($B8,INDIRECT("'"&amp;D$3&amp;"'!"&amp;"$B3:$B5"),_xlfn.XLOOKUP(D$5,INDIRECT("'"&amp;D$3&amp;"'!"&amp;"$C2:$AZ2"),INDIRECT("'"&amp;D$3&amp;"'!"&amp;"$C3:$AZ5")))</f>
        <v>0</v>
      </c>
      <c r="E8" s="21" cm="1">
        <f t="array" aca="1" ref="E8" ca="1">_xlfn.XLOOKUP(E$6&amp;" "&amp;$B8,INDIRECT("'"&amp;E$3&amp;"'!"&amp;"$B18:$B20"),_xlfn.XLOOKUP(E$5,INDIRECT("'"&amp;E$3&amp;"'!"&amp;"$C2:$AZ2"),INDIRECT("'"&amp;E$3&amp;"'!"&amp;"$C18:$AZ20")))</f>
        <v>39</v>
      </c>
      <c r="F8" s="21" cm="1">
        <f t="array" aca="1" ref="F8" ca="1">_xlfn.XLOOKUP($B8,INDIRECT("'"&amp;F$3&amp;"'!"&amp;"$B3:$B5"),_xlfn.XLOOKUP(F$5,INDIRECT("'"&amp;F$3&amp;"'!"&amp;"$C2:$AZ2"),INDIRECT("'"&amp;F$3&amp;"'!"&amp;"$C3:$AZ5")))</f>
        <v>2</v>
      </c>
      <c r="G8" s="21" cm="1">
        <f t="array" aca="1" ref="G8" ca="1">_xlfn.XLOOKUP(G$6&amp;" "&amp;$B8,INDIRECT("'"&amp;G$3&amp;"'!"&amp;"$B18:$B20"),_xlfn.XLOOKUP(G$5,INDIRECT("'"&amp;G$3&amp;"'!"&amp;"$C2:$AZ2"),INDIRECT("'"&amp;G$3&amp;"'!"&amp;"$C18:$AZ20")))</f>
        <v>31</v>
      </c>
      <c r="H8" s="64">
        <f ca="1">G8-E8</f>
        <v>-8</v>
      </c>
      <c r="I8" s="31"/>
      <c r="J8" s="63" cm="1">
        <f t="array" aca="1" ref="J8" ca="1">_xlfn.XLOOKUP($B8,INDIRECT("'"&amp;J$3&amp;"'!"&amp;"$B3:$B5"),_xlfn.XLOOKUP(J$5,INDIRECT("'"&amp;J$3&amp;"'!"&amp;"$C2:$AZ2"),INDIRECT("'"&amp;J$3&amp;"'!"&amp;"$C3:$AZ5")))</f>
        <v>3</v>
      </c>
      <c r="K8" s="21" cm="1">
        <f t="array" aca="1" ref="K8" ca="1">_xlfn.XLOOKUP(K$6&amp;" "&amp;$B8,INDIRECT("'"&amp;K$3&amp;"'!"&amp;"$B18:$B20"),_xlfn.XLOOKUP(K$5,INDIRECT("'"&amp;K$3&amp;"'!"&amp;"$C2:$AZ2"),INDIRECT("'"&amp;K$3&amp;"'!"&amp;"$C18:$AZ20")))</f>
        <v>37</v>
      </c>
      <c r="L8" s="21" cm="1">
        <f t="array" aca="1" ref="L8" ca="1">_xlfn.XLOOKUP($B8,INDIRECT("'"&amp;L$3&amp;"'!"&amp;"$B3:$B5"),_xlfn.XLOOKUP(L$5,INDIRECT("'"&amp;L$3&amp;"'!"&amp;"$C2:$AZ2"),INDIRECT("'"&amp;L$3&amp;"'!"&amp;"$C3:$AZ5")))</f>
        <v>9</v>
      </c>
      <c r="M8" s="21" cm="1">
        <f t="array" aca="1" ref="M8" ca="1">_xlfn.XLOOKUP(M$6&amp;" "&amp;$B8,INDIRECT("'"&amp;M$3&amp;"'!"&amp;"$B18:$B20"),_xlfn.XLOOKUP(M$5,INDIRECT("'"&amp;M$3&amp;"'!"&amp;"$C2:$AZ2"),INDIRECT("'"&amp;M$3&amp;"'!"&amp;"$C18:$AZ20")))</f>
        <v>24</v>
      </c>
      <c r="N8" s="64">
        <f ca="1">M8-K8</f>
        <v>-13</v>
      </c>
      <c r="O8" s="32"/>
    </row>
    <row r="9" spans="1:15" ht="15.75" thickBot="1" x14ac:dyDescent="0.3">
      <c r="A9" s="30"/>
      <c r="B9" s="13" t="s">
        <v>18</v>
      </c>
      <c r="C9" s="31"/>
      <c r="D9" s="65" cm="1">
        <f t="array" aca="1" ref="D9" ca="1">_xlfn.XLOOKUP($B9,INDIRECT("'"&amp;D$3&amp;"'!"&amp;"$B3:$B5"),_xlfn.XLOOKUP(D$5,INDIRECT("'"&amp;D$3&amp;"'!"&amp;"$C2:$AZ2"),INDIRECT("'"&amp;D$3&amp;"'!"&amp;"$C3:$AZ5")))</f>
        <v>7</v>
      </c>
      <c r="E9" s="60" cm="1">
        <f t="array" aca="1" ref="E9" ca="1">_xlfn.XLOOKUP(E$6&amp;" "&amp;$B9,INDIRECT("'"&amp;E$3&amp;"'!"&amp;"$B18:$B20"),_xlfn.XLOOKUP(E$5,INDIRECT("'"&amp;E$3&amp;"'!"&amp;"$C2:$AZ2"),INDIRECT("'"&amp;E$3&amp;"'!"&amp;"$C18:$AZ20")))</f>
        <v>31</v>
      </c>
      <c r="F9" s="60" cm="1">
        <f t="array" aca="1" ref="F9" ca="1">_xlfn.XLOOKUP($B9,INDIRECT("'"&amp;F$3&amp;"'!"&amp;"$B3:$B5"),_xlfn.XLOOKUP(F$5,INDIRECT("'"&amp;F$3&amp;"'!"&amp;"$C2:$AZ2"),INDIRECT("'"&amp;F$3&amp;"'!"&amp;"$C3:$AZ5")))</f>
        <v>3</v>
      </c>
      <c r="G9" s="60" cm="1">
        <f t="array" aca="1" ref="G9" ca="1">_xlfn.XLOOKUP(G$6&amp;" "&amp;$B9,INDIRECT("'"&amp;G$3&amp;"'!"&amp;"$B18:$B20"),_xlfn.XLOOKUP(G$5,INDIRECT("'"&amp;G$3&amp;"'!"&amp;"$C2:$AZ2"),INDIRECT("'"&amp;G$3&amp;"'!"&amp;"$C18:$AZ20")))</f>
        <v>52</v>
      </c>
      <c r="H9" s="66">
        <f ca="1">G9-E9</f>
        <v>21</v>
      </c>
      <c r="I9" s="31"/>
      <c r="J9" s="65" cm="1">
        <f t="array" aca="1" ref="J9" ca="1">_xlfn.XLOOKUP($B9,INDIRECT("'"&amp;J$3&amp;"'!"&amp;"$B3:$B5"),_xlfn.XLOOKUP(J$5,INDIRECT("'"&amp;J$3&amp;"'!"&amp;"$C2:$AZ2"),INDIRECT("'"&amp;J$3&amp;"'!"&amp;"$C3:$AZ5")))</f>
        <v>10</v>
      </c>
      <c r="K9" s="60" cm="1">
        <f t="array" aca="1" ref="K9" ca="1">_xlfn.XLOOKUP(K$6&amp;" "&amp;$B9,INDIRECT("'"&amp;K$3&amp;"'!"&amp;"$B18:$B20"),_xlfn.XLOOKUP(K$5,INDIRECT("'"&amp;K$3&amp;"'!"&amp;"$C2:$AZ2"),INDIRECT("'"&amp;K$3&amp;"'!"&amp;"$C18:$AZ20")))</f>
        <v>23</v>
      </c>
      <c r="L9" s="60" cm="1">
        <f t="array" aca="1" ref="L9" ca="1">_xlfn.XLOOKUP($B9,INDIRECT("'"&amp;L$3&amp;"'!"&amp;"$B3:$B5"),_xlfn.XLOOKUP(L$5,INDIRECT("'"&amp;L$3&amp;"'!"&amp;"$C2:$AZ2"),INDIRECT("'"&amp;L$3&amp;"'!"&amp;"$C3:$AZ5")))</f>
        <v>16</v>
      </c>
      <c r="M9" s="60" cm="1">
        <f t="array" aca="1" ref="M9" ca="1">_xlfn.XLOOKUP(M$6&amp;" "&amp;$B9,INDIRECT("'"&amp;M$3&amp;"'!"&amp;"$B18:$B20"),_xlfn.XLOOKUP(M$5,INDIRECT("'"&amp;M$3&amp;"'!"&amp;"$C2:$AZ2"),INDIRECT("'"&amp;M$3&amp;"'!"&amp;"$C18:$AZ20")))</f>
        <v>49</v>
      </c>
      <c r="N9" s="66">
        <f ca="1">M9-K9</f>
        <v>26</v>
      </c>
      <c r="O9" s="32"/>
    </row>
    <row r="10" spans="1:15" ht="15.75" thickBot="1" x14ac:dyDescent="0.3">
      <c r="A10" s="30"/>
      <c r="B10" s="59" t="s">
        <v>272</v>
      </c>
      <c r="C10" s="31"/>
      <c r="D10" s="67">
        <f ca="1">SUM(D7:D9)</f>
        <v>11</v>
      </c>
      <c r="E10" s="68">
        <f t="shared" ref="E10:G10" ca="1" si="0">SUM(E7:E9)</f>
        <v>95</v>
      </c>
      <c r="F10" s="68">
        <f t="shared" ca="1" si="0"/>
        <v>7</v>
      </c>
      <c r="G10" s="68">
        <f t="shared" ca="1" si="0"/>
        <v>93</v>
      </c>
      <c r="H10" s="69">
        <f ca="1">G10-E10</f>
        <v>-2</v>
      </c>
      <c r="I10" s="31"/>
      <c r="J10" s="67">
        <f ca="1">SUM(J7:J9)</f>
        <v>18</v>
      </c>
      <c r="K10" s="68">
        <f t="shared" ref="K10" ca="1" si="1">SUM(K7:K9)</f>
        <v>81</v>
      </c>
      <c r="L10" s="68">
        <f t="shared" ref="L10" ca="1" si="2">SUM(L7:L9)</f>
        <v>26</v>
      </c>
      <c r="M10" s="68">
        <f t="shared" ref="M10" ca="1" si="3">SUM(M7:M9)</f>
        <v>79</v>
      </c>
      <c r="N10" s="69">
        <f ca="1">M10-K10</f>
        <v>-2</v>
      </c>
      <c r="O10" s="32"/>
    </row>
    <row r="11" spans="1:15" ht="15.75" thickBot="1" x14ac:dyDescent="0.3">
      <c r="A11" s="30"/>
      <c r="B11" s="31"/>
      <c r="C11" s="31"/>
      <c r="D11" s="31"/>
      <c r="E11" s="31"/>
      <c r="F11" s="31"/>
      <c r="G11" s="31"/>
      <c r="H11" s="31"/>
      <c r="I11" s="31"/>
      <c r="J11" s="31"/>
      <c r="K11" s="31"/>
      <c r="L11" s="31"/>
      <c r="M11" s="31"/>
      <c r="N11" s="31"/>
      <c r="O11" s="32"/>
    </row>
    <row r="12" spans="1:15" ht="15.75" thickBot="1" x14ac:dyDescent="0.3">
      <c r="A12" s="30"/>
      <c r="B12" s="22" t="s">
        <v>263</v>
      </c>
      <c r="C12" s="31"/>
      <c r="D12" s="116" t="s">
        <v>282</v>
      </c>
      <c r="E12" s="117"/>
      <c r="F12" s="117"/>
      <c r="G12" s="117"/>
      <c r="H12" s="118"/>
      <c r="I12" s="31"/>
      <c r="J12" s="116" t="s">
        <v>283</v>
      </c>
      <c r="K12" s="117"/>
      <c r="L12" s="117"/>
      <c r="M12" s="117"/>
      <c r="N12" s="118"/>
      <c r="O12" s="32"/>
    </row>
    <row r="13" spans="1:15" ht="15.75" hidden="1" thickBot="1" x14ac:dyDescent="0.3">
      <c r="A13" s="30"/>
      <c r="B13" s="22"/>
      <c r="C13" s="31"/>
      <c r="D13" s="88" t="s">
        <v>281</v>
      </c>
      <c r="E13" s="89" t="s">
        <v>281</v>
      </c>
      <c r="F13" s="89" t="s">
        <v>281</v>
      </c>
      <c r="G13" s="89" t="s">
        <v>281</v>
      </c>
      <c r="H13" s="90" t="s">
        <v>281</v>
      </c>
      <c r="I13" s="31"/>
      <c r="J13" s="88" t="s">
        <v>281</v>
      </c>
      <c r="K13" s="89" t="s">
        <v>281</v>
      </c>
      <c r="L13" s="89" t="s">
        <v>281</v>
      </c>
      <c r="M13" s="89" t="s">
        <v>281</v>
      </c>
      <c r="N13" s="90" t="s">
        <v>281</v>
      </c>
      <c r="O13" s="32"/>
    </row>
    <row r="14" spans="1:15" ht="15.75" thickBot="1" x14ac:dyDescent="0.3">
      <c r="A14" s="30"/>
      <c r="B14" s="22"/>
      <c r="C14" s="31"/>
      <c r="D14" s="119" t="s">
        <v>251</v>
      </c>
      <c r="E14" s="119"/>
      <c r="F14" s="119" t="s">
        <v>252</v>
      </c>
      <c r="G14" s="119"/>
      <c r="H14" s="119"/>
      <c r="I14" s="31"/>
      <c r="J14" s="119" t="s">
        <v>251</v>
      </c>
      <c r="K14" s="119"/>
      <c r="L14" s="119" t="s">
        <v>252</v>
      </c>
      <c r="M14" s="119"/>
      <c r="N14" s="119"/>
      <c r="O14" s="32"/>
    </row>
    <row r="15" spans="1:15" ht="15.75" hidden="1" thickBot="1" x14ac:dyDescent="0.3">
      <c r="A15" s="30"/>
      <c r="B15" s="22"/>
      <c r="C15" s="31"/>
      <c r="D15" s="102" t="str">
        <f>D16&amp;", "&amp;D14</f>
        <v>MAY, FY24</v>
      </c>
      <c r="E15" s="102" t="str">
        <f>D16&amp;", "&amp;D14</f>
        <v>MAY, FY24</v>
      </c>
      <c r="F15" s="102" t="str">
        <f>F16&amp;", "&amp;F14</f>
        <v>MAY, FY25</v>
      </c>
      <c r="G15" s="102" t="str">
        <f>F16&amp;", "&amp;F14</f>
        <v>MAY, FY25</v>
      </c>
      <c r="H15" s="102"/>
      <c r="I15" s="31"/>
      <c r="J15" s="102" t="str">
        <f>J16&amp;", "&amp;J14</f>
        <v>Q3, FY24</v>
      </c>
      <c r="K15" s="102" t="str">
        <f>J16&amp;", "&amp;J14</f>
        <v>Q3, FY24</v>
      </c>
      <c r="L15" s="102" t="str">
        <f>L16&amp;", "&amp;L14</f>
        <v>Q3, FY25</v>
      </c>
      <c r="M15" s="102" t="str">
        <f>L16&amp;", "&amp;L14</f>
        <v>Q3, FY25</v>
      </c>
      <c r="N15" s="102"/>
      <c r="O15" s="32"/>
    </row>
    <row r="16" spans="1:15" ht="15.75" thickBot="1" x14ac:dyDescent="0.3">
      <c r="A16" s="30"/>
      <c r="B16" s="22" t="s">
        <v>259</v>
      </c>
      <c r="C16" s="31"/>
      <c r="D16" s="103" t="s">
        <v>236</v>
      </c>
      <c r="E16" s="103" t="s">
        <v>279</v>
      </c>
      <c r="F16" s="103" t="s">
        <v>236</v>
      </c>
      <c r="G16" s="103" t="s">
        <v>279</v>
      </c>
      <c r="H16" s="103" t="s">
        <v>280</v>
      </c>
      <c r="I16" s="31"/>
      <c r="J16" s="103" t="s">
        <v>504</v>
      </c>
      <c r="K16" s="103" t="s">
        <v>279</v>
      </c>
      <c r="L16" s="103" t="s">
        <v>504</v>
      </c>
      <c r="M16" s="103" t="s">
        <v>279</v>
      </c>
      <c r="N16" s="103" t="s">
        <v>280</v>
      </c>
      <c r="O16" s="32"/>
    </row>
    <row r="17" spans="1:15" x14ac:dyDescent="0.25">
      <c r="A17" s="30"/>
      <c r="B17" s="11" t="s">
        <v>13</v>
      </c>
      <c r="C17" s="31"/>
      <c r="D17" s="97" cm="1">
        <f t="array" aca="1" ref="D17" ca="1">_xlfn.XLOOKUP($B17,INDIRECT("'"&amp;D$13&amp;"'!"&amp;"$B6:$B8"),_xlfn.XLOOKUP(D$15,INDIRECT("'"&amp;D$13&amp;"'!"&amp;"$C2:$AZ2"),INDIRECT("'"&amp;D$13&amp;"'!"&amp;"$C6:$AZ8")))</f>
        <v>1</v>
      </c>
      <c r="E17" s="98" cm="1">
        <f t="array" aca="1" ref="E17" ca="1">_xlfn.XLOOKUP(E$16&amp;" "&amp;$B17,INDIRECT("'"&amp;E$13&amp;"'!"&amp;"$B21:$B23"),_xlfn.XLOOKUP(E$15,INDIRECT("'"&amp;E$13&amp;"'!"&amp;"$C2:$AZ2"),INDIRECT("'"&amp;E$13&amp;"'!"&amp;"$C21:$AZ23")))</f>
        <v>11</v>
      </c>
      <c r="F17" s="98" cm="1">
        <f t="array" aca="1" ref="F17" ca="1">_xlfn.XLOOKUP($B17,INDIRECT("'"&amp;F$13&amp;"'!"&amp;"$B6:$B8"),_xlfn.XLOOKUP(F$15,INDIRECT("'"&amp;F$13&amp;"'!"&amp;"$C2:$AZ2"),INDIRECT("'"&amp;F$13&amp;"'!"&amp;"$C6:$AZ8")))</f>
        <v>1</v>
      </c>
      <c r="G17" s="98" cm="1">
        <f t="array" aca="1" ref="G17" ca="1">_xlfn.XLOOKUP(G$16&amp;" "&amp;$B17,INDIRECT("'"&amp;G$13&amp;"'!"&amp;"$B21:$B23"),_xlfn.XLOOKUP(G$15,INDIRECT("'"&amp;G$13&amp;"'!"&amp;"$C2:$AZ2"),INDIRECT("'"&amp;G$13&amp;"'!"&amp;"$C21:$AZ23")))</f>
        <v>7</v>
      </c>
      <c r="H17" s="99">
        <f ca="1">G17-E17</f>
        <v>-4</v>
      </c>
      <c r="I17" s="31"/>
      <c r="J17" s="97" cm="1">
        <f t="array" aca="1" ref="J17" ca="1">_xlfn.XLOOKUP($B17,INDIRECT("'"&amp;J$13&amp;"'!"&amp;"$B6:$B8"),_xlfn.XLOOKUP(J$15,INDIRECT("'"&amp;J$13&amp;"'!"&amp;"$C2:$AZ2"),INDIRECT("'"&amp;J$13&amp;"'!"&amp;"$C6:$AZ8")))</f>
        <v>5</v>
      </c>
      <c r="K17" s="98" cm="1">
        <f t="array" aca="1" ref="K17" ca="1">_xlfn.XLOOKUP(K$16&amp;" "&amp;$B17,INDIRECT("'"&amp;K$13&amp;"'!"&amp;"$B21:$B23"),_xlfn.XLOOKUP(K$15,INDIRECT("'"&amp;K$13&amp;"'!"&amp;"$C2:$AZ2"),INDIRECT("'"&amp;K$13&amp;"'!"&amp;"$C21:$AZ23")))</f>
        <v>10</v>
      </c>
      <c r="L17" s="98" cm="1">
        <f t="array" aca="1" ref="L17" ca="1">_xlfn.XLOOKUP($B17,INDIRECT("'"&amp;L$13&amp;"'!"&amp;"$B6:$B8"),_xlfn.XLOOKUP(L$15,INDIRECT("'"&amp;L$13&amp;"'!"&amp;"$C2:$AZ2"),INDIRECT("'"&amp;L$13&amp;"'!"&amp;"$C6:$AZ8")))</f>
        <v>1</v>
      </c>
      <c r="M17" s="98" cm="1">
        <f t="array" aca="1" ref="M17" ca="1">_xlfn.XLOOKUP(M$16&amp;" "&amp;$B17,INDIRECT("'"&amp;M$13&amp;"'!"&amp;"$B21:$B23"),_xlfn.XLOOKUP(M$15,INDIRECT("'"&amp;M$13&amp;"'!"&amp;"$C2:$AZ2"),INDIRECT("'"&amp;M$13&amp;"'!"&amp;"$C21:$AZ23")))</f>
        <v>5</v>
      </c>
      <c r="N17" s="99">
        <f ca="1">M17-K17</f>
        <v>-5</v>
      </c>
      <c r="O17" s="32"/>
    </row>
    <row r="18" spans="1:15" x14ac:dyDescent="0.25">
      <c r="A18" s="30"/>
      <c r="B18" s="12" t="s">
        <v>9</v>
      </c>
      <c r="C18" s="31"/>
      <c r="D18" s="63" cm="1">
        <f t="array" aca="1" ref="D18" ca="1">_xlfn.XLOOKUP($B18,INDIRECT("'"&amp;D$13&amp;"'!"&amp;"$B6:$B8"),_xlfn.XLOOKUP(D$15,INDIRECT("'"&amp;D$13&amp;"'!"&amp;"$C2:$AZ2"),INDIRECT("'"&amp;D$13&amp;"'!"&amp;"$C6:$AZ8")))</f>
        <v>0</v>
      </c>
      <c r="E18" s="21" cm="1">
        <f t="array" aca="1" ref="E18" ca="1">_xlfn.XLOOKUP(E$16&amp;" "&amp;$B18,INDIRECT("'"&amp;E$13&amp;"'!"&amp;"$B21:$B23"),_xlfn.XLOOKUP(E$15,INDIRECT("'"&amp;E$13&amp;"'!"&amp;"$C2:$AZ2"),INDIRECT("'"&amp;E$13&amp;"'!"&amp;"$C21:$AZ23")))</f>
        <v>12</v>
      </c>
      <c r="F18" s="21" cm="1">
        <f t="array" aca="1" ref="F18" ca="1">_xlfn.XLOOKUP($B18,INDIRECT("'"&amp;F$13&amp;"'!"&amp;"$B6:$B8"),_xlfn.XLOOKUP(F$15,INDIRECT("'"&amp;F$13&amp;"'!"&amp;"$C2:$AZ2"),INDIRECT("'"&amp;F$13&amp;"'!"&amp;"$C6:$AZ8")))</f>
        <v>2</v>
      </c>
      <c r="G18" s="21" cm="1">
        <f t="array" aca="1" ref="G18" ca="1">_xlfn.XLOOKUP(G$16&amp;" "&amp;$B18,INDIRECT("'"&amp;G$13&amp;"'!"&amp;"$B21:$B23"),_xlfn.XLOOKUP(G$15,INDIRECT("'"&amp;G$13&amp;"'!"&amp;"$C2:$AZ2"),INDIRECT("'"&amp;G$13&amp;"'!"&amp;"$C21:$AZ23")))</f>
        <v>22</v>
      </c>
      <c r="H18" s="64">
        <f ca="1">G18-E18</f>
        <v>10</v>
      </c>
      <c r="I18" s="31"/>
      <c r="J18" s="63" cm="1">
        <f t="array" aca="1" ref="J18" ca="1">_xlfn.XLOOKUP($B18,INDIRECT("'"&amp;J$13&amp;"'!"&amp;"$B6:$B8"),_xlfn.XLOOKUP(J$15,INDIRECT("'"&amp;J$13&amp;"'!"&amp;"$C2:$AZ2"),INDIRECT("'"&amp;J$13&amp;"'!"&amp;"$C6:$AZ8")))</f>
        <v>3</v>
      </c>
      <c r="K18" s="21" cm="1">
        <f t="array" aca="1" ref="K18" ca="1">_xlfn.XLOOKUP(K$16&amp;" "&amp;$B18,INDIRECT("'"&amp;K$13&amp;"'!"&amp;"$B21:$B23"),_xlfn.XLOOKUP(K$15,INDIRECT("'"&amp;K$13&amp;"'!"&amp;"$C2:$AZ2"),INDIRECT("'"&amp;K$13&amp;"'!"&amp;"$C21:$AZ23")))</f>
        <v>10</v>
      </c>
      <c r="L18" s="21" cm="1">
        <f t="array" aca="1" ref="L18" ca="1">_xlfn.XLOOKUP($B18,INDIRECT("'"&amp;L$13&amp;"'!"&amp;"$B6:$B8"),_xlfn.XLOOKUP(L$15,INDIRECT("'"&amp;L$13&amp;"'!"&amp;"$C2:$AZ2"),INDIRECT("'"&amp;L$13&amp;"'!"&amp;"$C6:$AZ8")))</f>
        <v>7</v>
      </c>
      <c r="M18" s="21" cm="1">
        <f t="array" aca="1" ref="M18" ca="1">_xlfn.XLOOKUP(M$16&amp;" "&amp;$B18,INDIRECT("'"&amp;M$13&amp;"'!"&amp;"$B21:$B23"),_xlfn.XLOOKUP(M$15,INDIRECT("'"&amp;M$13&amp;"'!"&amp;"$C2:$AZ2"),INDIRECT("'"&amp;M$13&amp;"'!"&amp;"$C21:$AZ23")))</f>
        <v>16</v>
      </c>
      <c r="N18" s="64">
        <f ca="1">M18-K18</f>
        <v>6</v>
      </c>
      <c r="O18" s="32"/>
    </row>
    <row r="19" spans="1:15" ht="15.75" thickBot="1" x14ac:dyDescent="0.3">
      <c r="A19" s="30"/>
      <c r="B19" s="13" t="s">
        <v>18</v>
      </c>
      <c r="C19" s="31"/>
      <c r="D19" s="65" cm="1">
        <f t="array" aca="1" ref="D19" ca="1">_xlfn.XLOOKUP($B19,INDIRECT("'"&amp;D$13&amp;"'!"&amp;"$B6:$B8"),_xlfn.XLOOKUP(D$15,INDIRECT("'"&amp;D$13&amp;"'!"&amp;"$C2:$AZ2"),INDIRECT("'"&amp;D$13&amp;"'!"&amp;"$C6:$AZ8")))</f>
        <v>5</v>
      </c>
      <c r="E19" s="60" cm="1">
        <f t="array" aca="1" ref="E19" ca="1">_xlfn.XLOOKUP(E$16&amp;" "&amp;$B19,INDIRECT("'"&amp;E$13&amp;"'!"&amp;"$B21:$B23"),_xlfn.XLOOKUP(E$15,INDIRECT("'"&amp;E$13&amp;"'!"&amp;"$C2:$AZ2"),INDIRECT("'"&amp;E$13&amp;"'!"&amp;"$C21:$AZ23")))</f>
        <v>14</v>
      </c>
      <c r="F19" s="60" cm="1">
        <f t="array" aca="1" ref="F19" ca="1">_xlfn.XLOOKUP($B19,INDIRECT("'"&amp;F$13&amp;"'!"&amp;"$B6:$B8"),_xlfn.XLOOKUP(F$15,INDIRECT("'"&amp;F$13&amp;"'!"&amp;"$C2:$AZ2"),INDIRECT("'"&amp;F$13&amp;"'!"&amp;"$C6:$AZ8")))</f>
        <v>1</v>
      </c>
      <c r="G19" s="60" cm="1">
        <f t="array" aca="1" ref="G19" ca="1">_xlfn.XLOOKUP(G$16&amp;" "&amp;$B19,INDIRECT("'"&amp;G$13&amp;"'!"&amp;"$B21:$B23"),_xlfn.XLOOKUP(G$15,INDIRECT("'"&amp;G$13&amp;"'!"&amp;"$C2:$AZ2"),INDIRECT("'"&amp;G$13&amp;"'!"&amp;"$C21:$AZ23")))</f>
        <v>35</v>
      </c>
      <c r="H19" s="66">
        <f ca="1">G19-E19</f>
        <v>21</v>
      </c>
      <c r="I19" s="31"/>
      <c r="J19" s="65" cm="1">
        <f t="array" aca="1" ref="J19" ca="1">_xlfn.XLOOKUP($B19,INDIRECT("'"&amp;J$13&amp;"'!"&amp;"$B6:$B8"),_xlfn.XLOOKUP(J$15,INDIRECT("'"&amp;J$13&amp;"'!"&amp;"$C2:$AZ2"),INDIRECT("'"&amp;J$13&amp;"'!"&amp;"$C6:$AZ8")))</f>
        <v>9</v>
      </c>
      <c r="K19" s="60" cm="1">
        <f t="array" aca="1" ref="K19" ca="1">_xlfn.XLOOKUP(K$16&amp;" "&amp;$B19,INDIRECT("'"&amp;K$13&amp;"'!"&amp;"$B21:$B23"),_xlfn.XLOOKUP(K$15,INDIRECT("'"&amp;K$13&amp;"'!"&amp;"$C2:$AZ2"),INDIRECT("'"&amp;K$13&amp;"'!"&amp;"$C21:$AZ23")))</f>
        <v>9</v>
      </c>
      <c r="L19" s="60" cm="1">
        <f t="array" aca="1" ref="L19" ca="1">_xlfn.XLOOKUP($B19,INDIRECT("'"&amp;L$13&amp;"'!"&amp;"$B6:$B8"),_xlfn.XLOOKUP(L$15,INDIRECT("'"&amp;L$13&amp;"'!"&amp;"$C2:$AZ2"),INDIRECT("'"&amp;L$13&amp;"'!"&amp;"$C6:$AZ8")))</f>
        <v>10</v>
      </c>
      <c r="M19" s="60" cm="1">
        <f t="array" aca="1" ref="M19" ca="1">_xlfn.XLOOKUP(M$16&amp;" "&amp;$B19,INDIRECT("'"&amp;M$13&amp;"'!"&amp;"$B21:$B23"),_xlfn.XLOOKUP(M$15,INDIRECT("'"&amp;M$13&amp;"'!"&amp;"$C2:$AZ2"),INDIRECT("'"&amp;M$13&amp;"'!"&amp;"$C21:$AZ23")))</f>
        <v>34</v>
      </c>
      <c r="N19" s="66">
        <f ca="1">M19-K19</f>
        <v>25</v>
      </c>
      <c r="O19" s="32"/>
    </row>
    <row r="20" spans="1:15" ht="15.75" thickBot="1" x14ac:dyDescent="0.3">
      <c r="A20" s="30"/>
      <c r="B20" s="59" t="s">
        <v>272</v>
      </c>
      <c r="C20" s="31"/>
      <c r="D20" s="67">
        <f ca="1">SUM(D17:D19)</f>
        <v>6</v>
      </c>
      <c r="E20" s="68">
        <f t="shared" ref="E20" ca="1" si="4">SUM(E17:E19)</f>
        <v>37</v>
      </c>
      <c r="F20" s="68">
        <f t="shared" ref="F20" ca="1" si="5">SUM(F17:F19)</f>
        <v>4</v>
      </c>
      <c r="G20" s="68">
        <f t="shared" ref="G20" ca="1" si="6">SUM(G17:G19)</f>
        <v>64</v>
      </c>
      <c r="H20" s="69">
        <f ca="1">G20-E20</f>
        <v>27</v>
      </c>
      <c r="I20" s="31"/>
      <c r="J20" s="67">
        <f ca="1">SUM(J17:J19)</f>
        <v>17</v>
      </c>
      <c r="K20" s="68">
        <f t="shared" ref="K20" ca="1" si="7">SUM(K17:K19)</f>
        <v>29</v>
      </c>
      <c r="L20" s="68">
        <f t="shared" ref="L20" ca="1" si="8">SUM(L17:L19)</f>
        <v>18</v>
      </c>
      <c r="M20" s="68">
        <f t="shared" ref="M20" ca="1" si="9">SUM(M17:M19)</f>
        <v>55</v>
      </c>
      <c r="N20" s="69">
        <f ca="1">M20-K20</f>
        <v>26</v>
      </c>
      <c r="O20" s="32"/>
    </row>
    <row r="21" spans="1:15" ht="15.75" thickBot="1" x14ac:dyDescent="0.3">
      <c r="A21" s="30"/>
      <c r="B21" s="31"/>
      <c r="C21" s="31"/>
      <c r="D21" s="31"/>
      <c r="E21" s="31"/>
      <c r="F21" s="31"/>
      <c r="G21" s="31"/>
      <c r="H21" s="31"/>
      <c r="I21" s="31"/>
      <c r="J21" s="31"/>
      <c r="K21" s="31"/>
      <c r="L21" s="31"/>
      <c r="M21" s="31"/>
      <c r="N21" s="31"/>
      <c r="O21" s="32"/>
    </row>
    <row r="22" spans="1:15" ht="15.75" thickBot="1" x14ac:dyDescent="0.3">
      <c r="A22" s="30"/>
      <c r="B22" s="23" t="s">
        <v>264</v>
      </c>
      <c r="C22" s="31"/>
      <c r="D22" s="109" t="s">
        <v>284</v>
      </c>
      <c r="E22" s="110"/>
      <c r="F22" s="110"/>
      <c r="G22" s="110"/>
      <c r="H22" s="111"/>
      <c r="I22" s="31"/>
      <c r="J22" s="109" t="s">
        <v>285</v>
      </c>
      <c r="K22" s="110"/>
      <c r="L22" s="110"/>
      <c r="M22" s="110"/>
      <c r="N22" s="111"/>
      <c r="O22" s="32"/>
    </row>
    <row r="23" spans="1:15" ht="15.75" hidden="1" thickBot="1" x14ac:dyDescent="0.3">
      <c r="A23" s="30"/>
      <c r="B23" s="23"/>
      <c r="C23" s="31"/>
      <c r="D23" s="91" t="s">
        <v>281</v>
      </c>
      <c r="E23" s="92" t="s">
        <v>281</v>
      </c>
      <c r="F23" s="92" t="s">
        <v>281</v>
      </c>
      <c r="G23" s="92" t="s">
        <v>281</v>
      </c>
      <c r="H23" s="93" t="s">
        <v>281</v>
      </c>
      <c r="I23" s="31"/>
      <c r="J23" s="91" t="s">
        <v>281</v>
      </c>
      <c r="K23" s="92" t="s">
        <v>281</v>
      </c>
      <c r="L23" s="92" t="s">
        <v>281</v>
      </c>
      <c r="M23" s="92" t="s">
        <v>281</v>
      </c>
      <c r="N23" s="93" t="s">
        <v>281</v>
      </c>
      <c r="O23" s="32"/>
    </row>
    <row r="24" spans="1:15" ht="15.75" thickBot="1" x14ac:dyDescent="0.3">
      <c r="A24" s="30"/>
      <c r="B24" s="23"/>
      <c r="C24" s="31"/>
      <c r="D24" s="112" t="s">
        <v>251</v>
      </c>
      <c r="E24" s="112"/>
      <c r="F24" s="112" t="s">
        <v>252</v>
      </c>
      <c r="G24" s="112"/>
      <c r="H24" s="112"/>
      <c r="I24" s="31"/>
      <c r="J24" s="112" t="s">
        <v>251</v>
      </c>
      <c r="K24" s="112"/>
      <c r="L24" s="112" t="s">
        <v>252</v>
      </c>
      <c r="M24" s="112"/>
      <c r="N24" s="112"/>
      <c r="O24" s="32"/>
    </row>
    <row r="25" spans="1:15" ht="15.75" hidden="1" thickBot="1" x14ac:dyDescent="0.3">
      <c r="A25" s="30"/>
      <c r="B25" s="23"/>
      <c r="C25" s="31"/>
      <c r="D25" s="104" t="str">
        <f>D26&amp;", "&amp;D24</f>
        <v>MAY, FY24</v>
      </c>
      <c r="E25" s="104" t="str">
        <f>D26&amp;", "&amp;D24</f>
        <v>MAY, FY24</v>
      </c>
      <c r="F25" s="104" t="str">
        <f>F26&amp;", "&amp;F24</f>
        <v>MAY, FY25</v>
      </c>
      <c r="G25" s="104" t="str">
        <f>F26&amp;", "&amp;F24</f>
        <v>MAY, FY25</v>
      </c>
      <c r="H25" s="104"/>
      <c r="I25" s="31"/>
      <c r="J25" s="104" t="str">
        <f>J26&amp;", "&amp;J24</f>
        <v>Q3, FY24</v>
      </c>
      <c r="K25" s="104" t="str">
        <f>J26&amp;", "&amp;J24</f>
        <v>Q3, FY24</v>
      </c>
      <c r="L25" s="104" t="str">
        <f>L26&amp;", "&amp;L24</f>
        <v>Q3, FY25</v>
      </c>
      <c r="M25" s="104" t="str">
        <f>L26&amp;", "&amp;L24</f>
        <v>Q3, FY25</v>
      </c>
      <c r="N25" s="104"/>
      <c r="O25" s="32"/>
    </row>
    <row r="26" spans="1:15" ht="15.75" thickBot="1" x14ac:dyDescent="0.3">
      <c r="A26" s="30"/>
      <c r="B26" s="23" t="s">
        <v>259</v>
      </c>
      <c r="C26" s="31"/>
      <c r="D26" s="105" t="s">
        <v>236</v>
      </c>
      <c r="E26" s="105" t="s">
        <v>279</v>
      </c>
      <c r="F26" s="105" t="s">
        <v>236</v>
      </c>
      <c r="G26" s="105" t="s">
        <v>279</v>
      </c>
      <c r="H26" s="105" t="s">
        <v>280</v>
      </c>
      <c r="I26" s="31"/>
      <c r="J26" s="105" t="s">
        <v>504</v>
      </c>
      <c r="K26" s="105" t="s">
        <v>279</v>
      </c>
      <c r="L26" s="105" t="s">
        <v>504</v>
      </c>
      <c r="M26" s="105" t="s">
        <v>279</v>
      </c>
      <c r="N26" s="105" t="s">
        <v>280</v>
      </c>
      <c r="O26" s="32"/>
    </row>
    <row r="27" spans="1:15" x14ac:dyDescent="0.25">
      <c r="A27" s="30"/>
      <c r="B27" s="11" t="s">
        <v>13</v>
      </c>
      <c r="C27" s="31"/>
      <c r="D27" s="97" cm="1">
        <f t="array" aca="1" ref="D27" ca="1">_xlfn.XLOOKUP($B27,INDIRECT("'"&amp;D$23&amp;"'!"&amp;"$B9:$B11"),_xlfn.XLOOKUP(D$25,INDIRECT("'"&amp;D$23&amp;"'!"&amp;"$C2:$AZ2"),INDIRECT("'"&amp;D$23&amp;"'!"&amp;"$C9:$AZ11")))</f>
        <v>1</v>
      </c>
      <c r="E27" s="98" cm="1">
        <f t="array" aca="1" ref="E27" ca="1">_xlfn.XLOOKUP(E$26&amp;" "&amp;$B27,INDIRECT("'"&amp;E$23&amp;"'!"&amp;"$B24:$B26"),_xlfn.XLOOKUP(E$25,INDIRECT("'"&amp;E$23&amp;"'!"&amp;"$C2:$AZ2"),INDIRECT("'"&amp;E$23&amp;"'!"&amp;"$C24:$AZ26")))</f>
        <v>12</v>
      </c>
      <c r="F27" s="98" cm="1">
        <f t="array" aca="1" ref="F27" ca="1">_xlfn.XLOOKUP($B27,INDIRECT("'"&amp;F$23&amp;"'!"&amp;"$B9:$B11"),_xlfn.XLOOKUP(F$25,INDIRECT("'"&amp;F$23&amp;"'!"&amp;"$C2:$AZ2"),INDIRECT("'"&amp;F$23&amp;"'!"&amp;"$C9:$AZ11")))</f>
        <v>0</v>
      </c>
      <c r="G27" s="98" cm="1">
        <f t="array" aca="1" ref="G27" ca="1">_xlfn.XLOOKUP(G$26&amp;" "&amp;$B27,INDIRECT("'"&amp;G$23&amp;"'!"&amp;"$B24:$B26"),_xlfn.XLOOKUP(G$25,INDIRECT("'"&amp;G$23&amp;"'!"&amp;"$C2:$AZ2"),INDIRECT("'"&amp;G$23&amp;"'!"&amp;"$C24:$AZ26")))</f>
        <v>0</v>
      </c>
      <c r="H27" s="99">
        <f ca="1">G27-E27</f>
        <v>-12</v>
      </c>
      <c r="I27" s="31"/>
      <c r="J27" s="97" cm="1">
        <f t="array" aca="1" ref="J27" ca="1">_xlfn.XLOOKUP($B27,INDIRECT("'"&amp;J$23&amp;"'!"&amp;"$B9:$B11"),_xlfn.XLOOKUP(J$25,INDIRECT("'"&amp;J$23&amp;"'!"&amp;"$C2:$AZ2"),INDIRECT("'"&amp;J$23&amp;"'!"&amp;"$C9:$AZ11")))</f>
        <v>0</v>
      </c>
      <c r="K27" s="98" cm="1">
        <f t="array" aca="1" ref="K27" ca="1">_xlfn.XLOOKUP(K$26&amp;" "&amp;$B27,INDIRECT("'"&amp;K$23&amp;"'!"&amp;"$B24:$B26"),_xlfn.XLOOKUP(K$25,INDIRECT("'"&amp;K$23&amp;"'!"&amp;"$C2:$AZ2"),INDIRECT("'"&amp;K$23&amp;"'!"&amp;"$C24:$AZ26")))</f>
        <v>11</v>
      </c>
      <c r="L27" s="98" cm="1">
        <f t="array" aca="1" ref="L27" ca="1">_xlfn.XLOOKUP($B27,INDIRECT("'"&amp;L$23&amp;"'!"&amp;"$B9:$B11"),_xlfn.XLOOKUP(L$25,INDIRECT("'"&amp;L$23&amp;"'!"&amp;"$C2:$AZ2"),INDIRECT("'"&amp;L$23&amp;"'!"&amp;"$C9:$AZ11")))</f>
        <v>0</v>
      </c>
      <c r="M27" s="98" cm="1">
        <f t="array" aca="1" ref="M27" ca="1">_xlfn.XLOOKUP(M$26&amp;" "&amp;$B27,INDIRECT("'"&amp;M$23&amp;"'!"&amp;"$B24:$B26"),_xlfn.XLOOKUP(M$25,INDIRECT("'"&amp;M$23&amp;"'!"&amp;"$C2:$AZ2"),INDIRECT("'"&amp;M$23&amp;"'!"&amp;"$C24:$AZ26")))</f>
        <v>0</v>
      </c>
      <c r="N27" s="99">
        <f ca="1">M27-K27</f>
        <v>-11</v>
      </c>
      <c r="O27" s="32"/>
    </row>
    <row r="28" spans="1:15" x14ac:dyDescent="0.25">
      <c r="A28" s="30"/>
      <c r="B28" s="12" t="s">
        <v>9</v>
      </c>
      <c r="C28" s="31"/>
      <c r="D28" s="63" cm="1">
        <f t="array" aca="1" ref="D28" ca="1">_xlfn.XLOOKUP($B28,INDIRECT("'"&amp;D$23&amp;"'!"&amp;"$B9:$B11"),_xlfn.XLOOKUP(D$25,INDIRECT("'"&amp;D$23&amp;"'!"&amp;"$C2:$AZ2"),INDIRECT("'"&amp;D$23&amp;"'!"&amp;"$C9:$AZ11")))</f>
        <v>0</v>
      </c>
      <c r="E28" s="21" cm="1">
        <f t="array" aca="1" ref="E28" ca="1">_xlfn.XLOOKUP(E$26&amp;" "&amp;$B28,INDIRECT("'"&amp;E$23&amp;"'!"&amp;"$B24:$B26"),_xlfn.XLOOKUP(E$25,INDIRECT("'"&amp;E$23&amp;"'!"&amp;"$C2:$AZ2"),INDIRECT("'"&amp;E$23&amp;"'!"&amp;"$C24:$AZ26")))</f>
        <v>27</v>
      </c>
      <c r="F28" s="21" cm="1">
        <f t="array" aca="1" ref="F28" ca="1">_xlfn.XLOOKUP($B28,INDIRECT("'"&amp;F$23&amp;"'!"&amp;"$B9:$B11"),_xlfn.XLOOKUP(F$25,INDIRECT("'"&amp;F$23&amp;"'!"&amp;"$C2:$AZ2"),INDIRECT("'"&amp;F$23&amp;"'!"&amp;"$C9:$AZ11")))</f>
        <v>0</v>
      </c>
      <c r="G28" s="21" cm="1">
        <f t="array" aca="1" ref="G28" ca="1">_xlfn.XLOOKUP(G$26&amp;" "&amp;$B28,INDIRECT("'"&amp;G$23&amp;"'!"&amp;"$B24:$B26"),_xlfn.XLOOKUP(G$25,INDIRECT("'"&amp;G$23&amp;"'!"&amp;"$C2:$AZ2"),INDIRECT("'"&amp;G$23&amp;"'!"&amp;"$C24:$AZ26")))</f>
        <v>4</v>
      </c>
      <c r="H28" s="64">
        <f ca="1">G28-E28</f>
        <v>-23</v>
      </c>
      <c r="I28" s="31"/>
      <c r="J28" s="63" cm="1">
        <f t="array" aca="1" ref="J28" ca="1">_xlfn.XLOOKUP($B28,INDIRECT("'"&amp;J$23&amp;"'!"&amp;"$B9:$B11"),_xlfn.XLOOKUP(J$25,INDIRECT("'"&amp;J$23&amp;"'!"&amp;"$C2:$AZ2"),INDIRECT("'"&amp;J$23&amp;"'!"&amp;"$C9:$AZ11")))</f>
        <v>0</v>
      </c>
      <c r="K28" s="21" cm="1">
        <f t="array" aca="1" ref="K28" ca="1">_xlfn.XLOOKUP(K$26&amp;" "&amp;$B28,INDIRECT("'"&amp;K$23&amp;"'!"&amp;"$B24:$B26"),_xlfn.XLOOKUP(K$25,INDIRECT("'"&amp;K$23&amp;"'!"&amp;"$C2:$AZ2"),INDIRECT("'"&amp;K$23&amp;"'!"&amp;"$C24:$AZ26")))</f>
        <v>27</v>
      </c>
      <c r="L28" s="21" cm="1">
        <f t="array" aca="1" ref="L28" ca="1">_xlfn.XLOOKUP($B28,INDIRECT("'"&amp;L$23&amp;"'!"&amp;"$B9:$B11"),_xlfn.XLOOKUP(L$25,INDIRECT("'"&amp;L$23&amp;"'!"&amp;"$C2:$AZ2"),INDIRECT("'"&amp;L$23&amp;"'!"&amp;"$C9:$AZ11")))</f>
        <v>1</v>
      </c>
      <c r="M28" s="21" cm="1">
        <f t="array" aca="1" ref="M28" ca="1">_xlfn.XLOOKUP(M$26&amp;" "&amp;$B28,INDIRECT("'"&amp;M$23&amp;"'!"&amp;"$B24:$B26"),_xlfn.XLOOKUP(M$25,INDIRECT("'"&amp;M$23&amp;"'!"&amp;"$C2:$AZ2"),INDIRECT("'"&amp;M$23&amp;"'!"&amp;"$C24:$AZ26")))</f>
        <v>4</v>
      </c>
      <c r="N28" s="64">
        <f ca="1">M28-K28</f>
        <v>-23</v>
      </c>
      <c r="O28" s="32"/>
    </row>
    <row r="29" spans="1:15" ht="15.75" thickBot="1" x14ac:dyDescent="0.3">
      <c r="A29" s="30"/>
      <c r="B29" s="13" t="s">
        <v>18</v>
      </c>
      <c r="C29" s="31"/>
      <c r="D29" s="65" cm="1">
        <f t="array" aca="1" ref="D29" ca="1">_xlfn.XLOOKUP($B29,INDIRECT("'"&amp;D$23&amp;"'!"&amp;"$B9:$B11"),_xlfn.XLOOKUP(D$25,INDIRECT("'"&amp;D$23&amp;"'!"&amp;"$C2:$AZ2"),INDIRECT("'"&amp;D$23&amp;"'!"&amp;"$C9:$AZ11")))</f>
        <v>0</v>
      </c>
      <c r="E29" s="60" cm="1">
        <f t="array" aca="1" ref="E29" ca="1">_xlfn.XLOOKUP(E$26&amp;" "&amp;$B29,INDIRECT("'"&amp;E$23&amp;"'!"&amp;"$B24:$B26"),_xlfn.XLOOKUP(E$25,INDIRECT("'"&amp;E$23&amp;"'!"&amp;"$C2:$AZ2"),INDIRECT("'"&amp;E$23&amp;"'!"&amp;"$C24:$AZ26")))</f>
        <v>14</v>
      </c>
      <c r="F29" s="60" cm="1">
        <f t="array" aca="1" ref="F29" ca="1">_xlfn.XLOOKUP($B29,INDIRECT("'"&amp;F$23&amp;"'!"&amp;"$B9:$B11"),_xlfn.XLOOKUP(F$25,INDIRECT("'"&amp;F$23&amp;"'!"&amp;"$C2:$AZ2"),INDIRECT("'"&amp;F$23&amp;"'!"&amp;"$C9:$AZ11")))</f>
        <v>1</v>
      </c>
      <c r="G29" s="60" cm="1">
        <f t="array" aca="1" ref="G29" ca="1">_xlfn.XLOOKUP(G$26&amp;" "&amp;$B29,INDIRECT("'"&amp;G$23&amp;"'!"&amp;"$B24:$B26"),_xlfn.XLOOKUP(G$25,INDIRECT("'"&amp;G$23&amp;"'!"&amp;"$C2:$AZ2"),INDIRECT("'"&amp;G$23&amp;"'!"&amp;"$C24:$AZ26")))</f>
        <v>8</v>
      </c>
      <c r="H29" s="66">
        <f ca="1">G29-E29</f>
        <v>-6</v>
      </c>
      <c r="I29" s="31"/>
      <c r="J29" s="65" cm="1">
        <f t="array" aca="1" ref="J29" ca="1">_xlfn.XLOOKUP($B29,INDIRECT("'"&amp;J$23&amp;"'!"&amp;"$B9:$B11"),_xlfn.XLOOKUP(J$25,INDIRECT("'"&amp;J$23&amp;"'!"&amp;"$C2:$AZ2"),INDIRECT("'"&amp;J$23&amp;"'!"&amp;"$C9:$AZ11")))</f>
        <v>1</v>
      </c>
      <c r="K29" s="60" cm="1">
        <f t="array" aca="1" ref="K29" ca="1">_xlfn.XLOOKUP(K$26&amp;" "&amp;$B29,INDIRECT("'"&amp;K$23&amp;"'!"&amp;"$B24:$B26"),_xlfn.XLOOKUP(K$25,INDIRECT("'"&amp;K$23&amp;"'!"&amp;"$C2:$AZ2"),INDIRECT("'"&amp;K$23&amp;"'!"&amp;"$C24:$AZ26")))</f>
        <v>14</v>
      </c>
      <c r="L29" s="60" cm="1">
        <f t="array" aca="1" ref="L29" ca="1">_xlfn.XLOOKUP($B29,INDIRECT("'"&amp;L$23&amp;"'!"&amp;"$B9:$B11"),_xlfn.XLOOKUP(L$25,INDIRECT("'"&amp;L$23&amp;"'!"&amp;"$C2:$AZ2"),INDIRECT("'"&amp;L$23&amp;"'!"&amp;"$C9:$AZ11")))</f>
        <v>2</v>
      </c>
      <c r="M29" s="60" cm="1">
        <f t="array" aca="1" ref="M29" ca="1">_xlfn.XLOOKUP(M$26&amp;" "&amp;$B29,INDIRECT("'"&amp;M$23&amp;"'!"&amp;"$B24:$B26"),_xlfn.XLOOKUP(M$25,INDIRECT("'"&amp;M$23&amp;"'!"&amp;"$C2:$AZ2"),INDIRECT("'"&amp;M$23&amp;"'!"&amp;"$C24:$AZ26")))</f>
        <v>7</v>
      </c>
      <c r="N29" s="66">
        <f ca="1">M29-K29</f>
        <v>-7</v>
      </c>
      <c r="O29" s="32"/>
    </row>
    <row r="30" spans="1:15" ht="15.75" thickBot="1" x14ac:dyDescent="0.3">
      <c r="A30" s="30"/>
      <c r="B30" s="59" t="s">
        <v>272</v>
      </c>
      <c r="C30" s="31"/>
      <c r="D30" s="67">
        <f ca="1">SUM(D27:D29)</f>
        <v>1</v>
      </c>
      <c r="E30" s="68">
        <f t="shared" ref="E30" ca="1" si="10">SUM(E27:E29)</f>
        <v>53</v>
      </c>
      <c r="F30" s="68">
        <f t="shared" ref="F30" ca="1" si="11">SUM(F27:F29)</f>
        <v>1</v>
      </c>
      <c r="G30" s="68">
        <f t="shared" ref="G30" ca="1" si="12">SUM(G27:G29)</f>
        <v>12</v>
      </c>
      <c r="H30" s="69">
        <f ca="1">G30-E30</f>
        <v>-41</v>
      </c>
      <c r="I30" s="31"/>
      <c r="J30" s="67">
        <f ca="1">SUM(J27:J29)</f>
        <v>1</v>
      </c>
      <c r="K30" s="68">
        <f t="shared" ref="K30" ca="1" si="13">SUM(K27:K29)</f>
        <v>52</v>
      </c>
      <c r="L30" s="68">
        <f t="shared" ref="L30" ca="1" si="14">SUM(L27:L29)</f>
        <v>3</v>
      </c>
      <c r="M30" s="68">
        <f t="shared" ref="M30" ca="1" si="15">SUM(M27:M29)</f>
        <v>11</v>
      </c>
      <c r="N30" s="69">
        <f ca="1">M30-K30</f>
        <v>-41</v>
      </c>
      <c r="O30" s="32"/>
    </row>
    <row r="31" spans="1:15" ht="15.75" thickBot="1" x14ac:dyDescent="0.3">
      <c r="A31" s="30"/>
      <c r="B31" s="31"/>
      <c r="C31" s="31"/>
      <c r="D31" s="31"/>
      <c r="E31" s="31"/>
      <c r="F31" s="31"/>
      <c r="G31" s="31"/>
      <c r="H31" s="31"/>
      <c r="I31" s="31"/>
      <c r="J31" s="31"/>
      <c r="K31" s="31"/>
      <c r="L31" s="31"/>
      <c r="M31" s="31"/>
      <c r="N31" s="31"/>
      <c r="O31" s="32"/>
    </row>
    <row r="32" spans="1:15" ht="15.75" thickBot="1" x14ac:dyDescent="0.3">
      <c r="A32" s="30"/>
      <c r="B32" s="24" t="s">
        <v>265</v>
      </c>
      <c r="C32" s="31"/>
      <c r="D32" s="113" t="s">
        <v>286</v>
      </c>
      <c r="E32" s="114"/>
      <c r="F32" s="114"/>
      <c r="G32" s="114"/>
      <c r="H32" s="115"/>
      <c r="I32" s="31"/>
      <c r="J32" s="113" t="s">
        <v>287</v>
      </c>
      <c r="K32" s="114"/>
      <c r="L32" s="114"/>
      <c r="M32" s="114"/>
      <c r="N32" s="115"/>
      <c r="O32" s="32"/>
    </row>
    <row r="33" spans="1:15" ht="15.75" hidden="1" thickBot="1" x14ac:dyDescent="0.3">
      <c r="A33" s="30"/>
      <c r="B33" s="24"/>
      <c r="C33" s="31"/>
      <c r="D33" s="94" t="s">
        <v>281</v>
      </c>
      <c r="E33" s="95" t="s">
        <v>281</v>
      </c>
      <c r="F33" s="95" t="s">
        <v>281</v>
      </c>
      <c r="G33" s="95" t="s">
        <v>281</v>
      </c>
      <c r="H33" s="96" t="s">
        <v>281</v>
      </c>
      <c r="I33" s="31"/>
      <c r="J33" s="94" t="s">
        <v>281</v>
      </c>
      <c r="K33" s="95" t="s">
        <v>281</v>
      </c>
      <c r="L33" s="95" t="s">
        <v>281</v>
      </c>
      <c r="M33" s="95" t="s">
        <v>281</v>
      </c>
      <c r="N33" s="96" t="s">
        <v>281</v>
      </c>
      <c r="O33" s="32"/>
    </row>
    <row r="34" spans="1:15" ht="15.75" thickBot="1" x14ac:dyDescent="0.3">
      <c r="A34" s="30"/>
      <c r="B34" s="24"/>
      <c r="C34" s="31"/>
      <c r="D34" s="108" t="s">
        <v>251</v>
      </c>
      <c r="E34" s="108"/>
      <c r="F34" s="108" t="s">
        <v>252</v>
      </c>
      <c r="G34" s="108"/>
      <c r="H34" s="108"/>
      <c r="I34" s="31"/>
      <c r="J34" s="108" t="s">
        <v>251</v>
      </c>
      <c r="K34" s="108"/>
      <c r="L34" s="108" t="s">
        <v>252</v>
      </c>
      <c r="M34" s="108"/>
      <c r="N34" s="108"/>
      <c r="O34" s="32"/>
    </row>
    <row r="35" spans="1:15" ht="15.75" hidden="1" thickBot="1" x14ac:dyDescent="0.3">
      <c r="A35" s="30"/>
      <c r="B35" s="24"/>
      <c r="C35" s="31"/>
      <c r="D35" s="106" t="str">
        <f>D36&amp;", "&amp;D34</f>
        <v>MAY, FY24</v>
      </c>
      <c r="E35" s="106" t="str">
        <f>D36&amp;", "&amp;D34</f>
        <v>MAY, FY24</v>
      </c>
      <c r="F35" s="106" t="str">
        <f>F36&amp;", "&amp;F34</f>
        <v>MAY, FY25</v>
      </c>
      <c r="G35" s="106" t="str">
        <f>F36&amp;", "&amp;F34</f>
        <v>MAY, FY25</v>
      </c>
      <c r="H35" s="106"/>
      <c r="I35" s="31"/>
      <c r="J35" s="106" t="str">
        <f>J36&amp;", "&amp;J34</f>
        <v>Q3, FY24</v>
      </c>
      <c r="K35" s="106" t="str">
        <f>J36&amp;", "&amp;J34</f>
        <v>Q3, FY24</v>
      </c>
      <c r="L35" s="106" t="str">
        <f>L36&amp;", "&amp;L34</f>
        <v>Q3, FY25</v>
      </c>
      <c r="M35" s="106" t="str">
        <f>L36&amp;", "&amp;L34</f>
        <v>Q3, FY25</v>
      </c>
      <c r="N35" s="106"/>
      <c r="O35" s="32"/>
    </row>
    <row r="36" spans="1:15" ht="15.75" thickBot="1" x14ac:dyDescent="0.3">
      <c r="A36" s="30"/>
      <c r="B36" s="24" t="s">
        <v>259</v>
      </c>
      <c r="C36" s="31"/>
      <c r="D36" s="107" t="s">
        <v>236</v>
      </c>
      <c r="E36" s="107" t="s">
        <v>279</v>
      </c>
      <c r="F36" s="107" t="s">
        <v>236</v>
      </c>
      <c r="G36" s="107" t="s">
        <v>279</v>
      </c>
      <c r="H36" s="107" t="s">
        <v>280</v>
      </c>
      <c r="I36" s="31"/>
      <c r="J36" s="107" t="s">
        <v>504</v>
      </c>
      <c r="K36" s="107" t="s">
        <v>279</v>
      </c>
      <c r="L36" s="107" t="s">
        <v>504</v>
      </c>
      <c r="M36" s="107" t="s">
        <v>279</v>
      </c>
      <c r="N36" s="107" t="s">
        <v>280</v>
      </c>
      <c r="O36" s="32"/>
    </row>
    <row r="37" spans="1:15" x14ac:dyDescent="0.25">
      <c r="A37" s="30"/>
      <c r="B37" s="11" t="s">
        <v>13</v>
      </c>
      <c r="C37" s="31"/>
      <c r="D37" s="97" cm="1">
        <f t="array" aca="1" ref="D37" ca="1">_xlfn.XLOOKUP($B37,INDIRECT("'"&amp;D$33&amp;"'!"&amp;"$B12:$B14"),_xlfn.XLOOKUP(D$35,INDIRECT("'"&amp;D$33&amp;"'!"&amp;"$C2:$AZ2"),INDIRECT("'"&amp;D$33&amp;"'!"&amp;"$C12:$AZ14")))</f>
        <v>2</v>
      </c>
      <c r="E37" s="98" cm="1">
        <f t="array" aca="1" ref="E37" ca="1">_xlfn.XLOOKUP(E$36&amp;" "&amp;$B37,INDIRECT("'"&amp;E$33&amp;"'!"&amp;"$B27:$B29"),_xlfn.XLOOKUP(E$35,INDIRECT("'"&amp;E$33&amp;"'!"&amp;"$C2:$AZ2"),INDIRECT("'"&amp;E$33&amp;"'!"&amp;"$C27:$AZ29")))</f>
        <v>2</v>
      </c>
      <c r="F37" s="98" cm="1">
        <f t="array" aca="1" ref="F37" ca="1">_xlfn.XLOOKUP($B37,INDIRECT("'"&amp;F$33&amp;"'!"&amp;"$B12:$B14"),_xlfn.XLOOKUP(F$35,INDIRECT("'"&amp;F$33&amp;"'!"&amp;"$C2:$AZ2"),INDIRECT("'"&amp;F$33&amp;"'!"&amp;"$C12:$AZ14")))</f>
        <v>1</v>
      </c>
      <c r="G37" s="98" cm="1">
        <f t="array" aca="1" ref="G37" ca="1">_xlfn.XLOOKUP(G$36&amp;" "&amp;$B37,INDIRECT("'"&amp;G$33&amp;"'!"&amp;"$B27:$B29"),_xlfn.XLOOKUP(G$35,INDIRECT("'"&amp;G$33&amp;"'!"&amp;"$C2:$AZ2"),INDIRECT("'"&amp;G$33&amp;"'!"&amp;"$C27:$AZ29")))</f>
        <v>3</v>
      </c>
      <c r="H37" s="99">
        <f ca="1">G37-E37</f>
        <v>1</v>
      </c>
      <c r="I37" s="31"/>
      <c r="J37" s="97" cm="1">
        <f t="array" aca="1" ref="J37" ca="1">_xlfn.XLOOKUP($B37,INDIRECT("'"&amp;J$33&amp;"'!"&amp;"$B12:$B14"),_xlfn.XLOOKUP(J$35,INDIRECT("'"&amp;J$33&amp;"'!"&amp;"$C2:$AZ2"),INDIRECT("'"&amp;J$33&amp;"'!"&amp;"$C12:$AZ14")))</f>
        <v>0</v>
      </c>
      <c r="K37" s="98" cm="1">
        <f t="array" aca="1" ref="K37" ca="1">_xlfn.XLOOKUP(K$36&amp;" "&amp;$B37,INDIRECT("'"&amp;K$33&amp;"'!"&amp;"$B27:$B29"),_xlfn.XLOOKUP(K$35,INDIRECT("'"&amp;K$33&amp;"'!"&amp;"$C2:$AZ2"),INDIRECT("'"&amp;K$33&amp;"'!"&amp;"$C27:$AZ29")))</f>
        <v>0</v>
      </c>
      <c r="L37" s="98" cm="1">
        <f t="array" aca="1" ref="L37" ca="1">_xlfn.XLOOKUP($B37,INDIRECT("'"&amp;L$33&amp;"'!"&amp;"$B12:$B14"),_xlfn.XLOOKUP(L$35,INDIRECT("'"&amp;L$33&amp;"'!"&amp;"$C2:$AZ2"),INDIRECT("'"&amp;L$33&amp;"'!"&amp;"$C12:$AZ14")))</f>
        <v>0</v>
      </c>
      <c r="M37" s="98" cm="1">
        <f t="array" aca="1" ref="M37" ca="1">_xlfn.XLOOKUP(M$36&amp;" "&amp;$B37,INDIRECT("'"&amp;M$33&amp;"'!"&amp;"$B27:$B29"),_xlfn.XLOOKUP(M$35,INDIRECT("'"&amp;M$33&amp;"'!"&amp;"$C2:$AZ2"),INDIRECT("'"&amp;M$33&amp;"'!"&amp;"$C27:$AZ29")))</f>
        <v>1</v>
      </c>
      <c r="N37" s="99">
        <f ca="1">M37-K37</f>
        <v>1</v>
      </c>
      <c r="O37" s="32"/>
    </row>
    <row r="38" spans="1:15" x14ac:dyDescent="0.25">
      <c r="A38" s="30"/>
      <c r="B38" s="12" t="s">
        <v>9</v>
      </c>
      <c r="C38" s="31"/>
      <c r="D38" s="63" cm="1">
        <f t="array" aca="1" ref="D38" ca="1">_xlfn.XLOOKUP($B38,INDIRECT("'"&amp;D$33&amp;"'!"&amp;"$B12:$B14"),_xlfn.XLOOKUP(D$35,INDIRECT("'"&amp;D$33&amp;"'!"&amp;"$C2:$AZ2"),INDIRECT("'"&amp;D$33&amp;"'!"&amp;"$C12:$AZ14")))</f>
        <v>0</v>
      </c>
      <c r="E38" s="21" cm="1">
        <f t="array" aca="1" ref="E38" ca="1">_xlfn.XLOOKUP(E$36&amp;" "&amp;$B38,INDIRECT("'"&amp;E$33&amp;"'!"&amp;"$B27:$B29"),_xlfn.XLOOKUP(E$35,INDIRECT("'"&amp;E$33&amp;"'!"&amp;"$C2:$AZ2"),INDIRECT("'"&amp;E$33&amp;"'!"&amp;"$C27:$AZ29")))</f>
        <v>0</v>
      </c>
      <c r="F38" s="21" cm="1">
        <f t="array" aca="1" ref="F38" ca="1">_xlfn.XLOOKUP($B38,INDIRECT("'"&amp;F$33&amp;"'!"&amp;"$B12:$B14"),_xlfn.XLOOKUP(F$35,INDIRECT("'"&amp;F$33&amp;"'!"&amp;"$C2:$AZ2"),INDIRECT("'"&amp;F$33&amp;"'!"&amp;"$C12:$AZ14")))</f>
        <v>0</v>
      </c>
      <c r="G38" s="21" cm="1">
        <f t="array" aca="1" ref="G38" ca="1">_xlfn.XLOOKUP(G$36&amp;" "&amp;$B38,INDIRECT("'"&amp;G$33&amp;"'!"&amp;"$B27:$B29"),_xlfn.XLOOKUP(G$35,INDIRECT("'"&amp;G$33&amp;"'!"&amp;"$C2:$AZ2"),INDIRECT("'"&amp;G$33&amp;"'!"&amp;"$C27:$AZ29")))</f>
        <v>5</v>
      </c>
      <c r="H38" s="64">
        <f ca="1">G38-E38</f>
        <v>5</v>
      </c>
      <c r="I38" s="31"/>
      <c r="J38" s="63" cm="1">
        <f t="array" aca="1" ref="J38" ca="1">_xlfn.XLOOKUP($B38,INDIRECT("'"&amp;J$33&amp;"'!"&amp;"$B12:$B14"),_xlfn.XLOOKUP(J$35,INDIRECT("'"&amp;J$33&amp;"'!"&amp;"$C2:$AZ2"),INDIRECT("'"&amp;J$33&amp;"'!"&amp;"$C12:$AZ14")))</f>
        <v>0</v>
      </c>
      <c r="K38" s="21" cm="1">
        <f t="array" aca="1" ref="K38" ca="1">_xlfn.XLOOKUP(K$36&amp;" "&amp;$B38,INDIRECT("'"&amp;K$33&amp;"'!"&amp;"$B27:$B29"),_xlfn.XLOOKUP(K$35,INDIRECT("'"&amp;K$33&amp;"'!"&amp;"$C2:$AZ2"),INDIRECT("'"&amp;K$33&amp;"'!"&amp;"$C27:$AZ29")))</f>
        <v>0</v>
      </c>
      <c r="L38" s="21" cm="1">
        <f t="array" aca="1" ref="L38" ca="1">_xlfn.XLOOKUP($B38,INDIRECT("'"&amp;L$33&amp;"'!"&amp;"$B12:$B14"),_xlfn.XLOOKUP(L$35,INDIRECT("'"&amp;L$33&amp;"'!"&amp;"$C2:$AZ2"),INDIRECT("'"&amp;L$33&amp;"'!"&amp;"$C12:$AZ14")))</f>
        <v>1</v>
      </c>
      <c r="M38" s="21" cm="1">
        <f t="array" aca="1" ref="M38" ca="1">_xlfn.XLOOKUP(M$36&amp;" "&amp;$B38,INDIRECT("'"&amp;M$33&amp;"'!"&amp;"$B27:$B29"),_xlfn.XLOOKUP(M$35,INDIRECT("'"&amp;M$33&amp;"'!"&amp;"$C2:$AZ2"),INDIRECT("'"&amp;M$33&amp;"'!"&amp;"$C27:$AZ29")))</f>
        <v>4</v>
      </c>
      <c r="N38" s="64">
        <f ca="1">M38-K38</f>
        <v>4</v>
      </c>
      <c r="O38" s="32"/>
    </row>
    <row r="39" spans="1:15" ht="15.75" thickBot="1" x14ac:dyDescent="0.3">
      <c r="A39" s="30"/>
      <c r="B39" s="13" t="s">
        <v>18</v>
      </c>
      <c r="C39" s="31"/>
      <c r="D39" s="65" cm="1">
        <f t="array" aca="1" ref="D39" ca="1">_xlfn.XLOOKUP($B39,INDIRECT("'"&amp;D$33&amp;"'!"&amp;"$B12:$B14"),_xlfn.XLOOKUP(D$35,INDIRECT("'"&amp;D$33&amp;"'!"&amp;"$C2:$AZ2"),INDIRECT("'"&amp;D$33&amp;"'!"&amp;"$C12:$AZ14")))</f>
        <v>2</v>
      </c>
      <c r="E39" s="60" cm="1">
        <f t="array" aca="1" ref="E39" ca="1">_xlfn.XLOOKUP(E$36&amp;" "&amp;$B39,INDIRECT("'"&amp;E$33&amp;"'!"&amp;"$B27:$B29"),_xlfn.XLOOKUP(E$35,INDIRECT("'"&amp;E$33&amp;"'!"&amp;"$C2:$AZ2"),INDIRECT("'"&amp;E$33&amp;"'!"&amp;"$C27:$AZ29")))</f>
        <v>3</v>
      </c>
      <c r="F39" s="60" cm="1">
        <f t="array" aca="1" ref="F39" ca="1">_xlfn.XLOOKUP($B39,INDIRECT("'"&amp;F$33&amp;"'!"&amp;"$B12:$B14"),_xlfn.XLOOKUP(F$35,INDIRECT("'"&amp;F$33&amp;"'!"&amp;"$C2:$AZ2"),INDIRECT("'"&amp;F$33&amp;"'!"&amp;"$C12:$AZ14")))</f>
        <v>1</v>
      </c>
      <c r="G39" s="60" cm="1">
        <f t="array" aca="1" ref="G39" ca="1">_xlfn.XLOOKUP(G$36&amp;" "&amp;$B39,INDIRECT("'"&amp;G$33&amp;"'!"&amp;"$B27:$B29"),_xlfn.XLOOKUP(G$35,INDIRECT("'"&amp;G$33&amp;"'!"&amp;"$C2:$AZ2"),INDIRECT("'"&amp;G$33&amp;"'!"&amp;"$C27:$AZ29")))</f>
        <v>9</v>
      </c>
      <c r="H39" s="66">
        <f ca="1">G39-E39</f>
        <v>6</v>
      </c>
      <c r="I39" s="31"/>
      <c r="J39" s="65" cm="1">
        <f t="array" aca="1" ref="J39" ca="1">_xlfn.XLOOKUP($B39,INDIRECT("'"&amp;J$33&amp;"'!"&amp;"$B12:$B14"),_xlfn.XLOOKUP(J$35,INDIRECT("'"&amp;J$33&amp;"'!"&amp;"$C2:$AZ2"),INDIRECT("'"&amp;J$33&amp;"'!"&amp;"$C12:$AZ14")))</f>
        <v>0</v>
      </c>
      <c r="K39" s="60" cm="1">
        <f t="array" aca="1" ref="K39" ca="1">_xlfn.XLOOKUP(K$36&amp;" "&amp;$B39,INDIRECT("'"&amp;K$33&amp;"'!"&amp;"$B27:$B29"),_xlfn.XLOOKUP(K$35,INDIRECT("'"&amp;K$33&amp;"'!"&amp;"$C2:$AZ2"),INDIRECT("'"&amp;K$33&amp;"'!"&amp;"$C27:$AZ29")))</f>
        <v>0</v>
      </c>
      <c r="L39" s="60" cm="1">
        <f t="array" aca="1" ref="L39" ca="1">_xlfn.XLOOKUP($B39,INDIRECT("'"&amp;L$33&amp;"'!"&amp;"$B12:$B14"),_xlfn.XLOOKUP(L$35,INDIRECT("'"&amp;L$33&amp;"'!"&amp;"$C2:$AZ2"),INDIRECT("'"&amp;L$33&amp;"'!"&amp;"$C12:$AZ14")))</f>
        <v>4</v>
      </c>
      <c r="M39" s="60" cm="1">
        <f t="array" aca="1" ref="M39" ca="1">_xlfn.XLOOKUP(M$36&amp;" "&amp;$B39,INDIRECT("'"&amp;M$33&amp;"'!"&amp;"$B27:$B29"),_xlfn.XLOOKUP(M$35,INDIRECT("'"&amp;M$33&amp;"'!"&amp;"$C2:$AZ2"),INDIRECT("'"&amp;M$33&amp;"'!"&amp;"$C27:$AZ29")))</f>
        <v>8</v>
      </c>
      <c r="N39" s="66">
        <f ca="1">M39-K39</f>
        <v>8</v>
      </c>
      <c r="O39" s="32"/>
    </row>
    <row r="40" spans="1:15" ht="15.75" thickBot="1" x14ac:dyDescent="0.3">
      <c r="A40" s="30"/>
      <c r="B40" s="59" t="s">
        <v>272</v>
      </c>
      <c r="C40" s="31"/>
      <c r="D40" s="67">
        <f ca="1">SUM(D37:D39)</f>
        <v>4</v>
      </c>
      <c r="E40" s="68">
        <f t="shared" ref="E40" ca="1" si="16">SUM(E37:E39)</f>
        <v>5</v>
      </c>
      <c r="F40" s="68">
        <f t="shared" ref="F40" ca="1" si="17">SUM(F37:F39)</f>
        <v>2</v>
      </c>
      <c r="G40" s="68">
        <f t="shared" ref="G40" ca="1" si="18">SUM(G37:G39)</f>
        <v>17</v>
      </c>
      <c r="H40" s="69">
        <f ca="1">G40-E40</f>
        <v>12</v>
      </c>
      <c r="I40" s="31"/>
      <c r="J40" s="67">
        <f ca="1">SUM(J37:J39)</f>
        <v>0</v>
      </c>
      <c r="K40" s="68">
        <f t="shared" ref="K40" ca="1" si="19">SUM(K37:K39)</f>
        <v>0</v>
      </c>
      <c r="L40" s="68">
        <f t="shared" ref="L40" ca="1" si="20">SUM(L37:L39)</f>
        <v>5</v>
      </c>
      <c r="M40" s="68">
        <f t="shared" ref="M40" ca="1" si="21">SUM(M37:M39)</f>
        <v>13</v>
      </c>
      <c r="N40" s="69">
        <f ca="1">M40-K40</f>
        <v>13</v>
      </c>
      <c r="O40" s="32"/>
    </row>
    <row r="41" spans="1:15" ht="7.5" customHeight="1" x14ac:dyDescent="0.25">
      <c r="A41" s="30"/>
      <c r="B41" s="31"/>
      <c r="C41" s="31"/>
      <c r="D41" s="31"/>
      <c r="E41" s="31"/>
      <c r="F41" s="31"/>
      <c r="G41" s="31"/>
      <c r="H41" s="31"/>
      <c r="I41" s="31"/>
      <c r="J41" s="31"/>
      <c r="K41" s="31"/>
      <c r="L41" s="31"/>
      <c r="M41" s="31"/>
      <c r="N41" s="31"/>
      <c r="O41" s="32"/>
    </row>
    <row r="42" spans="1:15" ht="15.75" thickBot="1" x14ac:dyDescent="0.3">
      <c r="A42" s="33"/>
      <c r="B42" s="34" t="s">
        <v>291</v>
      </c>
      <c r="C42" s="35"/>
      <c r="D42" s="35"/>
      <c r="E42" s="35"/>
      <c r="F42" s="35"/>
      <c r="G42" s="35"/>
      <c r="H42" s="35"/>
      <c r="I42" s="35"/>
      <c r="J42" s="35"/>
      <c r="K42" s="35"/>
      <c r="L42" s="35"/>
      <c r="M42" s="35"/>
      <c r="N42" s="35"/>
      <c r="O42" s="36"/>
    </row>
  </sheetData>
  <mergeCells count="24">
    <mergeCell ref="D2:H2"/>
    <mergeCell ref="D4:E4"/>
    <mergeCell ref="F4:H4"/>
    <mergeCell ref="J2:N2"/>
    <mergeCell ref="J4:K4"/>
    <mergeCell ref="L4:N4"/>
    <mergeCell ref="D12:H12"/>
    <mergeCell ref="D14:E14"/>
    <mergeCell ref="F14:H14"/>
    <mergeCell ref="D22:H22"/>
    <mergeCell ref="J12:N12"/>
    <mergeCell ref="J14:K14"/>
    <mergeCell ref="L14:N14"/>
    <mergeCell ref="D34:E34"/>
    <mergeCell ref="F34:H34"/>
    <mergeCell ref="J34:K34"/>
    <mergeCell ref="L34:N34"/>
    <mergeCell ref="J22:N22"/>
    <mergeCell ref="D24:E24"/>
    <mergeCell ref="F24:H24"/>
    <mergeCell ref="J24:K24"/>
    <mergeCell ref="L24:N24"/>
    <mergeCell ref="D32:H32"/>
    <mergeCell ref="J32:N32"/>
  </mergeCells>
  <pageMargins left="0.7" right="0.7" top="0.75" bottom="0.75" header="0.3" footer="0.3"/>
  <pageSetup paperSize="9" orientation="portrait" verticalDpi="597" r:id="rId1"/>
  <ignoredErrors>
    <ignoredError sqref="E5:F5 F7:F9 E7:E9 K7:K9 L7:L9 E17:E19 K17:K19 K27:K29 E27:E29 E37:E39 K37:K39 F27:F29 F37:F39 L37:L39 L27:L29 L17:L19 F17:F19"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E6A67-99EB-4CDF-80CB-037BC6BA2B15}">
  <sheetPr>
    <tabColor rgb="FFFFC000"/>
  </sheetPr>
  <dimension ref="A1:L45"/>
  <sheetViews>
    <sheetView workbookViewId="0">
      <selection activeCell="B7" sqref="B7"/>
    </sheetView>
  </sheetViews>
  <sheetFormatPr defaultRowHeight="15" x14ac:dyDescent="0.25"/>
  <cols>
    <col min="1" max="1" width="46.85546875" bestFit="1" customWidth="1"/>
    <col min="2" max="2" width="16.85546875" bestFit="1" customWidth="1"/>
    <col min="3" max="3" width="16" bestFit="1" customWidth="1"/>
    <col min="4" max="4" width="12.42578125" bestFit="1" customWidth="1"/>
    <col min="5" max="5" width="11.28515625" bestFit="1" customWidth="1"/>
    <col min="6" max="6" width="8" customWidth="1"/>
    <col min="8" max="8" width="23.7109375" bestFit="1" customWidth="1"/>
    <col min="9" max="9" width="16.85546875" bestFit="1" customWidth="1"/>
    <col min="10" max="10" width="16" bestFit="1" customWidth="1"/>
    <col min="11" max="11" width="12.42578125" bestFit="1" customWidth="1"/>
    <col min="12" max="13" width="11.28515625" bestFit="1" customWidth="1"/>
  </cols>
  <sheetData>
    <row r="1" spans="1:12" x14ac:dyDescent="0.25">
      <c r="A1" s="20" t="s">
        <v>254</v>
      </c>
      <c r="B1" t="s">
        <v>1028</v>
      </c>
      <c r="H1" s="20" t="s">
        <v>254</v>
      </c>
      <c r="I1" t="s">
        <v>1028</v>
      </c>
    </row>
    <row r="3" spans="1:12" x14ac:dyDescent="0.25">
      <c r="A3" s="20" t="s">
        <v>274</v>
      </c>
      <c r="B3" s="20" t="s">
        <v>273</v>
      </c>
      <c r="H3" s="20" t="s">
        <v>275</v>
      </c>
      <c r="I3" s="20" t="s">
        <v>273</v>
      </c>
    </row>
    <row r="4" spans="1:12" x14ac:dyDescent="0.25">
      <c r="A4" s="20" t="s">
        <v>271</v>
      </c>
      <c r="B4" t="s">
        <v>264</v>
      </c>
      <c r="C4" t="s">
        <v>265</v>
      </c>
      <c r="D4" t="s">
        <v>263</v>
      </c>
      <c r="E4" t="s">
        <v>272</v>
      </c>
      <c r="H4" s="20" t="s">
        <v>271</v>
      </c>
      <c r="I4" t="s">
        <v>264</v>
      </c>
      <c r="J4" t="s">
        <v>265</v>
      </c>
      <c r="K4" t="s">
        <v>263</v>
      </c>
      <c r="L4" t="s">
        <v>272</v>
      </c>
    </row>
    <row r="5" spans="1:12" x14ac:dyDescent="0.25">
      <c r="A5" s="7" t="s">
        <v>859</v>
      </c>
      <c r="B5">
        <v>7</v>
      </c>
      <c r="C5">
        <v>1</v>
      </c>
      <c r="D5">
        <v>1</v>
      </c>
      <c r="E5">
        <v>9</v>
      </c>
      <c r="H5" s="7" t="s">
        <v>866</v>
      </c>
      <c r="I5">
        <v>20</v>
      </c>
      <c r="J5">
        <v>4</v>
      </c>
      <c r="K5">
        <v>21</v>
      </c>
      <c r="L5">
        <v>45</v>
      </c>
    </row>
    <row r="6" spans="1:12" x14ac:dyDescent="0.25">
      <c r="A6" s="7" t="s">
        <v>871</v>
      </c>
      <c r="B6">
        <v>6</v>
      </c>
      <c r="C6">
        <v>1</v>
      </c>
      <c r="D6">
        <v>6</v>
      </c>
      <c r="E6">
        <v>13</v>
      </c>
      <c r="H6" s="7" t="s">
        <v>860</v>
      </c>
      <c r="I6">
        <v>6</v>
      </c>
      <c r="J6">
        <v>3</v>
      </c>
      <c r="K6">
        <v>2</v>
      </c>
      <c r="L6">
        <v>11</v>
      </c>
    </row>
    <row r="7" spans="1:12" x14ac:dyDescent="0.25">
      <c r="A7" s="7" t="s">
        <v>968</v>
      </c>
      <c r="D7">
        <v>1</v>
      </c>
      <c r="E7">
        <v>1</v>
      </c>
      <c r="H7" s="7" t="s">
        <v>865</v>
      </c>
      <c r="I7">
        <v>5</v>
      </c>
      <c r="J7">
        <v>9</v>
      </c>
      <c r="K7">
        <v>29</v>
      </c>
      <c r="L7">
        <v>43</v>
      </c>
    </row>
    <row r="8" spans="1:12" x14ac:dyDescent="0.25">
      <c r="A8" s="7" t="s">
        <v>901</v>
      </c>
      <c r="B8">
        <v>2</v>
      </c>
      <c r="D8">
        <v>8</v>
      </c>
      <c r="E8">
        <v>10</v>
      </c>
      <c r="H8" s="7" t="s">
        <v>964</v>
      </c>
      <c r="I8">
        <v>2</v>
      </c>
      <c r="L8">
        <v>2</v>
      </c>
    </row>
    <row r="9" spans="1:12" x14ac:dyDescent="0.25">
      <c r="A9" s="7" t="s">
        <v>979</v>
      </c>
      <c r="B9">
        <v>1</v>
      </c>
      <c r="D9">
        <v>1</v>
      </c>
      <c r="E9">
        <v>2</v>
      </c>
      <c r="H9" s="7" t="s">
        <v>52</v>
      </c>
      <c r="I9">
        <v>6</v>
      </c>
      <c r="J9">
        <v>1</v>
      </c>
      <c r="K9">
        <v>9</v>
      </c>
      <c r="L9">
        <v>16</v>
      </c>
    </row>
    <row r="10" spans="1:12" x14ac:dyDescent="0.25">
      <c r="A10" s="7" t="s">
        <v>875</v>
      </c>
      <c r="B10">
        <v>7</v>
      </c>
      <c r="C10">
        <v>4</v>
      </c>
      <c r="D10">
        <v>10</v>
      </c>
      <c r="E10">
        <v>21</v>
      </c>
      <c r="H10" s="7" t="s">
        <v>272</v>
      </c>
      <c r="I10">
        <v>39</v>
      </c>
      <c r="J10">
        <v>17</v>
      </c>
      <c r="K10">
        <v>61</v>
      </c>
      <c r="L10">
        <v>117</v>
      </c>
    </row>
    <row r="11" spans="1:12" x14ac:dyDescent="0.25">
      <c r="A11" s="7" t="s">
        <v>952</v>
      </c>
      <c r="B11">
        <v>1</v>
      </c>
      <c r="E11">
        <v>1</v>
      </c>
    </row>
    <row r="12" spans="1:12" x14ac:dyDescent="0.25">
      <c r="A12" s="7" t="s">
        <v>949</v>
      </c>
      <c r="D12">
        <v>2</v>
      </c>
      <c r="E12">
        <v>2</v>
      </c>
    </row>
    <row r="13" spans="1:12" x14ac:dyDescent="0.25">
      <c r="A13" s="7" t="s">
        <v>53</v>
      </c>
      <c r="B13">
        <v>6</v>
      </c>
      <c r="C13">
        <v>2</v>
      </c>
      <c r="D13">
        <v>10</v>
      </c>
      <c r="E13">
        <v>18</v>
      </c>
    </row>
    <row r="14" spans="1:12" x14ac:dyDescent="0.25">
      <c r="A14" s="7" t="s">
        <v>865</v>
      </c>
      <c r="B14">
        <v>4</v>
      </c>
      <c r="C14">
        <v>7</v>
      </c>
      <c r="D14">
        <v>17</v>
      </c>
      <c r="E14">
        <v>28</v>
      </c>
    </row>
    <row r="15" spans="1:12" x14ac:dyDescent="0.25">
      <c r="A15" s="7" t="s">
        <v>881</v>
      </c>
      <c r="B15">
        <v>4</v>
      </c>
      <c r="D15">
        <v>3</v>
      </c>
      <c r="E15">
        <v>7</v>
      </c>
    </row>
    <row r="16" spans="1:12" x14ac:dyDescent="0.25">
      <c r="A16" s="7" t="s">
        <v>937</v>
      </c>
      <c r="C16">
        <v>3</v>
      </c>
      <c r="D16">
        <v>1</v>
      </c>
      <c r="E16">
        <v>4</v>
      </c>
    </row>
    <row r="17" spans="1:12" x14ac:dyDescent="0.25">
      <c r="A17" s="7" t="s">
        <v>982</v>
      </c>
      <c r="B17">
        <v>1</v>
      </c>
      <c r="E17">
        <v>1</v>
      </c>
    </row>
    <row r="18" spans="1:12" x14ac:dyDescent="0.25">
      <c r="A18" s="7" t="s">
        <v>272</v>
      </c>
      <c r="B18">
        <v>39</v>
      </c>
      <c r="C18">
        <v>18</v>
      </c>
      <c r="D18">
        <v>60</v>
      </c>
      <c r="E18">
        <v>117</v>
      </c>
    </row>
    <row r="22" spans="1:12" x14ac:dyDescent="0.25">
      <c r="A22" s="20" t="s">
        <v>254</v>
      </c>
      <c r="B22" t="s">
        <v>1028</v>
      </c>
      <c r="H22" s="20" t="s">
        <v>254</v>
      </c>
      <c r="I22" t="s">
        <v>1028</v>
      </c>
    </row>
    <row r="23" spans="1:12" x14ac:dyDescent="0.25">
      <c r="H23" s="25" t="s">
        <v>278</v>
      </c>
    </row>
    <row r="24" spans="1:12" x14ac:dyDescent="0.25">
      <c r="A24" s="20" t="s">
        <v>276</v>
      </c>
      <c r="B24" s="20" t="s">
        <v>273</v>
      </c>
      <c r="H24" s="20" t="s">
        <v>277</v>
      </c>
      <c r="I24" s="20" t="s">
        <v>273</v>
      </c>
    </row>
    <row r="25" spans="1:12" x14ac:dyDescent="0.25">
      <c r="A25" s="20" t="s">
        <v>271</v>
      </c>
      <c r="B25" t="s">
        <v>264</v>
      </c>
      <c r="C25" t="s">
        <v>265</v>
      </c>
      <c r="D25" t="s">
        <v>263</v>
      </c>
      <c r="E25" t="s">
        <v>272</v>
      </c>
      <c r="H25" s="20" t="s">
        <v>271</v>
      </c>
      <c r="I25" t="s">
        <v>264</v>
      </c>
      <c r="J25" t="s">
        <v>265</v>
      </c>
      <c r="K25" t="s">
        <v>263</v>
      </c>
      <c r="L25" t="s">
        <v>272</v>
      </c>
    </row>
    <row r="26" spans="1:12" x14ac:dyDescent="0.25">
      <c r="A26" s="7" t="s">
        <v>902</v>
      </c>
      <c r="B26">
        <v>1</v>
      </c>
      <c r="D26">
        <v>2</v>
      </c>
      <c r="E26">
        <v>3</v>
      </c>
      <c r="H26" s="7" t="s">
        <v>257</v>
      </c>
      <c r="I26">
        <v>10</v>
      </c>
      <c r="J26">
        <v>4</v>
      </c>
      <c r="K26">
        <v>12</v>
      </c>
      <c r="L26">
        <v>26</v>
      </c>
    </row>
    <row r="27" spans="1:12" x14ac:dyDescent="0.25">
      <c r="A27" s="7" t="s">
        <v>909</v>
      </c>
      <c r="B27">
        <v>2</v>
      </c>
      <c r="E27">
        <v>2</v>
      </c>
      <c r="H27" s="7" t="s">
        <v>1029</v>
      </c>
      <c r="I27">
        <v>7</v>
      </c>
      <c r="J27">
        <v>2</v>
      </c>
      <c r="K27">
        <v>7</v>
      </c>
      <c r="L27">
        <v>16</v>
      </c>
    </row>
    <row r="28" spans="1:12" x14ac:dyDescent="0.25">
      <c r="A28" s="7" t="s">
        <v>962</v>
      </c>
      <c r="D28">
        <v>1</v>
      </c>
      <c r="E28">
        <v>1</v>
      </c>
      <c r="H28" s="7" t="s">
        <v>1030</v>
      </c>
      <c r="K28">
        <v>1</v>
      </c>
      <c r="L28">
        <v>1</v>
      </c>
    </row>
    <row r="29" spans="1:12" x14ac:dyDescent="0.25">
      <c r="A29" s="7" t="s">
        <v>922</v>
      </c>
      <c r="B29">
        <v>1</v>
      </c>
      <c r="D29">
        <v>1</v>
      </c>
      <c r="E29">
        <v>2</v>
      </c>
      <c r="H29" s="7" t="s">
        <v>272</v>
      </c>
      <c r="I29">
        <v>17</v>
      </c>
      <c r="J29">
        <v>6</v>
      </c>
      <c r="K29">
        <v>20</v>
      </c>
      <c r="L29">
        <v>43</v>
      </c>
    </row>
    <row r="30" spans="1:12" x14ac:dyDescent="0.25">
      <c r="A30" s="7" t="s">
        <v>970</v>
      </c>
      <c r="B30">
        <v>1</v>
      </c>
      <c r="E30">
        <v>1</v>
      </c>
    </row>
    <row r="31" spans="1:12" x14ac:dyDescent="0.25">
      <c r="A31" s="7" t="s">
        <v>888</v>
      </c>
      <c r="B31">
        <v>2</v>
      </c>
      <c r="D31">
        <v>4</v>
      </c>
      <c r="E31">
        <v>6</v>
      </c>
    </row>
    <row r="32" spans="1:12" x14ac:dyDescent="0.25">
      <c r="A32" s="7" t="s">
        <v>912</v>
      </c>
      <c r="B32">
        <v>3</v>
      </c>
      <c r="D32">
        <v>1</v>
      </c>
      <c r="E32">
        <v>4</v>
      </c>
    </row>
    <row r="33" spans="1:5" x14ac:dyDescent="0.25">
      <c r="A33" s="7" t="s">
        <v>920</v>
      </c>
      <c r="B33">
        <v>1</v>
      </c>
      <c r="D33">
        <v>1</v>
      </c>
      <c r="E33">
        <v>2</v>
      </c>
    </row>
    <row r="34" spans="1:5" x14ac:dyDescent="0.25">
      <c r="A34" s="7" t="s">
        <v>940</v>
      </c>
      <c r="C34">
        <v>3</v>
      </c>
      <c r="D34">
        <v>1</v>
      </c>
      <c r="E34">
        <v>4</v>
      </c>
    </row>
    <row r="35" spans="1:5" x14ac:dyDescent="0.25">
      <c r="A35" s="7" t="s">
        <v>886</v>
      </c>
      <c r="B35">
        <v>1</v>
      </c>
      <c r="C35">
        <v>1</v>
      </c>
      <c r="D35">
        <v>2</v>
      </c>
      <c r="E35">
        <v>4</v>
      </c>
    </row>
    <row r="36" spans="1:5" x14ac:dyDescent="0.25">
      <c r="A36" s="7" t="s">
        <v>975</v>
      </c>
      <c r="D36">
        <v>1</v>
      </c>
      <c r="E36">
        <v>1</v>
      </c>
    </row>
    <row r="37" spans="1:5" x14ac:dyDescent="0.25">
      <c r="A37" s="7" t="s">
        <v>892</v>
      </c>
      <c r="B37">
        <v>1</v>
      </c>
      <c r="D37">
        <v>1</v>
      </c>
      <c r="E37">
        <v>2</v>
      </c>
    </row>
    <row r="38" spans="1:5" x14ac:dyDescent="0.25">
      <c r="A38" s="7" t="s">
        <v>867</v>
      </c>
      <c r="B38">
        <v>3</v>
      </c>
      <c r="C38">
        <v>1</v>
      </c>
      <c r="D38">
        <v>1</v>
      </c>
      <c r="E38">
        <v>5</v>
      </c>
    </row>
    <row r="39" spans="1:5" x14ac:dyDescent="0.25">
      <c r="A39" s="7" t="s">
        <v>904</v>
      </c>
      <c r="B39">
        <v>1</v>
      </c>
      <c r="C39">
        <v>2</v>
      </c>
      <c r="D39">
        <v>1</v>
      </c>
      <c r="E39">
        <v>4</v>
      </c>
    </row>
    <row r="40" spans="1:5" x14ac:dyDescent="0.25">
      <c r="A40" s="7" t="s">
        <v>950</v>
      </c>
      <c r="D40">
        <v>1</v>
      </c>
      <c r="E40">
        <v>1</v>
      </c>
    </row>
    <row r="41" spans="1:5" x14ac:dyDescent="0.25">
      <c r="A41" s="7" t="s">
        <v>914</v>
      </c>
      <c r="B41">
        <v>1</v>
      </c>
      <c r="D41">
        <v>3</v>
      </c>
      <c r="E41">
        <v>4</v>
      </c>
    </row>
    <row r="42" spans="1:5" x14ac:dyDescent="0.25">
      <c r="A42" s="7" t="s">
        <v>861</v>
      </c>
      <c r="B42">
        <v>2</v>
      </c>
      <c r="C42">
        <v>2</v>
      </c>
      <c r="E42">
        <v>4</v>
      </c>
    </row>
    <row r="43" spans="1:5" x14ac:dyDescent="0.25">
      <c r="A43" s="7" t="s">
        <v>879</v>
      </c>
      <c r="B43">
        <v>3</v>
      </c>
      <c r="C43">
        <v>1</v>
      </c>
      <c r="D43">
        <v>1</v>
      </c>
      <c r="E43">
        <v>5</v>
      </c>
    </row>
    <row r="44" spans="1:5" x14ac:dyDescent="0.25">
      <c r="A44" s="7" t="s">
        <v>957</v>
      </c>
      <c r="D44">
        <v>1</v>
      </c>
      <c r="E44">
        <v>1</v>
      </c>
    </row>
    <row r="45" spans="1:5" x14ac:dyDescent="0.25">
      <c r="A45" s="7" t="s">
        <v>272</v>
      </c>
      <c r="B45">
        <v>23</v>
      </c>
      <c r="C45">
        <v>10</v>
      </c>
      <c r="D45">
        <v>23</v>
      </c>
      <c r="E45">
        <v>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19717-1C90-4CAF-A490-FCD0AC5F808A}">
  <sheetPr>
    <tabColor rgb="FFFFC000"/>
  </sheetPr>
  <dimension ref="A1"/>
  <sheetViews>
    <sheetView zoomScaleNormal="100" workbookViewId="0">
      <selection activeCell="Z30" sqref="Z30"/>
    </sheetView>
  </sheetViews>
  <sheetFormatPr defaultRowHeight="15" x14ac:dyDescent="0.25"/>
  <sheetData/>
  <pageMargins left="0.7" right="0.7" top="0.75" bottom="0.75" header="0.3" footer="0.3"/>
  <pageSetup paperSize="9" orientation="portrait" verticalDpi="597"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1474A-84FF-4415-AC3F-6420B61F3C10}">
  <sheetPr>
    <tabColor rgb="FFFFC000"/>
  </sheetPr>
  <dimension ref="A1:O11"/>
  <sheetViews>
    <sheetView workbookViewId="0">
      <selection activeCell="T55" sqref="T55"/>
    </sheetView>
  </sheetViews>
  <sheetFormatPr defaultRowHeight="15" x14ac:dyDescent="0.25"/>
  <cols>
    <col min="1" max="1" width="5.140625" customWidth="1"/>
    <col min="2" max="2" width="25.7109375" customWidth="1"/>
    <col min="3" max="3" width="3.5703125" customWidth="1"/>
    <col min="9" max="9" width="3" hidden="1" customWidth="1"/>
    <col min="10" max="14" width="0" hidden="1" customWidth="1"/>
    <col min="15" max="15" width="2.28515625" customWidth="1"/>
  </cols>
  <sheetData>
    <row r="1" spans="1:15" ht="15.75" thickBot="1" x14ac:dyDescent="0.3">
      <c r="A1" s="27"/>
      <c r="B1" s="28"/>
      <c r="C1" s="28"/>
      <c r="D1" s="28"/>
      <c r="E1" s="28"/>
      <c r="F1" s="28"/>
      <c r="G1" s="28"/>
      <c r="H1" s="28"/>
      <c r="I1" s="28"/>
      <c r="J1" s="28"/>
      <c r="K1" s="28"/>
      <c r="L1" s="28"/>
      <c r="M1" s="28"/>
      <c r="N1" s="28"/>
      <c r="O1" s="29"/>
    </row>
    <row r="2" spans="1:15" ht="15.75" thickBot="1" x14ac:dyDescent="0.3">
      <c r="A2" s="30"/>
      <c r="B2" s="54" t="s">
        <v>346</v>
      </c>
      <c r="C2" s="31"/>
      <c r="D2" s="124" t="s">
        <v>349</v>
      </c>
      <c r="E2" s="125"/>
      <c r="F2" s="125"/>
      <c r="G2" s="125"/>
      <c r="H2" s="126"/>
      <c r="I2" s="31"/>
      <c r="J2" s="124" t="s">
        <v>350</v>
      </c>
      <c r="K2" s="125"/>
      <c r="L2" s="125"/>
      <c r="M2" s="125"/>
      <c r="N2" s="126"/>
      <c r="O2" s="32"/>
    </row>
    <row r="3" spans="1:15" ht="15.75" hidden="1" thickBot="1" x14ac:dyDescent="0.3">
      <c r="A3" s="30"/>
      <c r="B3" s="55"/>
      <c r="C3" s="31"/>
      <c r="D3" s="77" t="s">
        <v>348</v>
      </c>
      <c r="E3" s="78" t="s">
        <v>348</v>
      </c>
      <c r="F3" s="78" t="s">
        <v>348</v>
      </c>
      <c r="G3" s="78" t="s">
        <v>348</v>
      </c>
      <c r="H3" s="79" t="s">
        <v>348</v>
      </c>
      <c r="I3" s="31"/>
      <c r="J3" s="77" t="s">
        <v>348</v>
      </c>
      <c r="K3" s="78" t="s">
        <v>348</v>
      </c>
      <c r="L3" s="78" t="s">
        <v>348</v>
      </c>
      <c r="M3" s="78" t="s">
        <v>348</v>
      </c>
      <c r="N3" s="79" t="s">
        <v>348</v>
      </c>
      <c r="O3" s="32"/>
    </row>
    <row r="4" spans="1:15" ht="15.75" thickBot="1" x14ac:dyDescent="0.3">
      <c r="A4" s="30"/>
      <c r="B4" s="55"/>
      <c r="C4" s="31"/>
      <c r="D4" s="127" t="s">
        <v>251</v>
      </c>
      <c r="E4" s="127"/>
      <c r="F4" s="127" t="s">
        <v>252</v>
      </c>
      <c r="G4" s="127"/>
      <c r="H4" s="127"/>
      <c r="I4" s="31"/>
      <c r="J4" s="127" t="s">
        <v>251</v>
      </c>
      <c r="K4" s="127"/>
      <c r="L4" s="127" t="s">
        <v>252</v>
      </c>
      <c r="M4" s="127"/>
      <c r="N4" s="127"/>
      <c r="O4" s="32"/>
    </row>
    <row r="5" spans="1:15" ht="15.75" hidden="1" thickBot="1" x14ac:dyDescent="0.3">
      <c r="A5" s="30"/>
      <c r="B5" s="55"/>
      <c r="C5" s="31"/>
      <c r="D5" s="83" t="str">
        <f>D6&amp;", "&amp;D4</f>
        <v>MAY, FY24</v>
      </c>
      <c r="E5" s="83" t="str">
        <f>D6&amp;", "&amp;D4</f>
        <v>MAY, FY24</v>
      </c>
      <c r="F5" s="83" t="str">
        <f>F6&amp;", "&amp;F4</f>
        <v>MAY, FY25</v>
      </c>
      <c r="G5" s="83" t="str">
        <f>F6&amp;", "&amp;F4</f>
        <v>MAY, FY25</v>
      </c>
      <c r="H5" s="83"/>
      <c r="I5" s="31"/>
      <c r="J5" s="83" t="str">
        <f>J6&amp;", "&amp;J4</f>
        <v>Q3, FY24</v>
      </c>
      <c r="K5" s="83" t="str">
        <f>J6&amp;", "&amp;J4</f>
        <v>Q3, FY24</v>
      </c>
      <c r="L5" s="83" t="str">
        <f>L6&amp;", "&amp;L4</f>
        <v>Q3, FY25</v>
      </c>
      <c r="M5" s="83" t="str">
        <f>L6&amp;", "&amp;L4</f>
        <v>Q3, FY25</v>
      </c>
      <c r="N5" s="83"/>
      <c r="O5" s="32"/>
    </row>
    <row r="6" spans="1:15" ht="15.75" thickBot="1" x14ac:dyDescent="0.3">
      <c r="A6" s="30"/>
      <c r="B6" s="55" t="s">
        <v>351</v>
      </c>
      <c r="C6" s="31"/>
      <c r="D6" s="84" t="s">
        <v>236</v>
      </c>
      <c r="E6" s="84" t="s">
        <v>279</v>
      </c>
      <c r="F6" s="84" t="s">
        <v>236</v>
      </c>
      <c r="G6" s="84" t="s">
        <v>279</v>
      </c>
      <c r="H6" s="84" t="s">
        <v>280</v>
      </c>
      <c r="I6" s="31"/>
      <c r="J6" s="84" t="s">
        <v>504</v>
      </c>
      <c r="K6" s="84" t="s">
        <v>279</v>
      </c>
      <c r="L6" s="84" t="s">
        <v>504</v>
      </c>
      <c r="M6" s="84" t="s">
        <v>279</v>
      </c>
      <c r="N6" s="84" t="s">
        <v>280</v>
      </c>
      <c r="O6" s="32"/>
    </row>
    <row r="7" spans="1:15" x14ac:dyDescent="0.25">
      <c r="A7" s="30"/>
      <c r="B7" s="50" t="s">
        <v>263</v>
      </c>
      <c r="C7" s="31"/>
      <c r="D7" s="80" cm="1">
        <f t="array" aca="1" ref="D7" ca="1">_xlfn.XLOOKUP($B7,INDIRECT("'"&amp;D$3&amp;"'!"&amp;"$A3:$A5"),_xlfn.XLOOKUP(D$5,INDIRECT("'"&amp;D$3&amp;"'!"&amp;"$B2:$AZ2"),INDIRECT("'"&amp;D$3&amp;"'!"&amp;"$B3:$AZ5")))</f>
        <v>4</v>
      </c>
      <c r="E7" s="81" cm="1">
        <f t="array" aca="1" ref="E7" ca="1">_xlfn.XLOOKUP($B7,INDIRECT("'"&amp;E$3&amp;"'!"&amp;"$A9:$A11"),_xlfn.XLOOKUP(E$5,INDIRECT("'"&amp;E$3&amp;"'!"&amp;"$B2:$AZ2"),INDIRECT("'"&amp;E$3&amp;"'!"&amp;"$B9:$AZ11")))</f>
        <v>14</v>
      </c>
      <c r="F7" s="81" cm="1">
        <f t="array" aca="1" ref="F7" ca="1">_xlfn.XLOOKUP($B7,INDIRECT("'"&amp;F$3&amp;"'!"&amp;"$A3:$A5"),_xlfn.XLOOKUP(F$5,INDIRECT("'"&amp;F$3&amp;"'!"&amp;"$B2:$AZ2"),INDIRECT("'"&amp;F$3&amp;"'!"&amp;"$B3:$AZ5")))</f>
        <v>0</v>
      </c>
      <c r="G7" s="81" cm="1">
        <f t="array" aca="1" ref="G7" ca="1">_xlfn.XLOOKUP($B7,INDIRECT("'"&amp;G$3&amp;"'!"&amp;"$A9:$A11"),_xlfn.XLOOKUP(G$5,INDIRECT("'"&amp;G$3&amp;"'!"&amp;"$B2:$AZ2"),INDIRECT("'"&amp;G$3&amp;"'!"&amp;"$B9:$AZ11")))</f>
        <v>12</v>
      </c>
      <c r="H7" s="82">
        <f ca="1">G7-E7</f>
        <v>-2</v>
      </c>
      <c r="I7" s="31"/>
      <c r="J7" s="80" cm="1">
        <f t="array" aca="1" ref="J7" ca="1">_xlfn.XLOOKUP($B7,INDIRECT("'"&amp;J$3&amp;"'!"&amp;"$A3:$A5"),_xlfn.XLOOKUP(J$5,INDIRECT("'"&amp;J$3&amp;"'!"&amp;"$B2:$AZ2"),INDIRECT("'"&amp;J$3&amp;"'!"&amp;"$B3:$AZ5")))</f>
        <v>3</v>
      </c>
      <c r="K7" s="81" cm="1">
        <f t="array" aca="1" ref="K7" ca="1">_xlfn.XLOOKUP($B7,INDIRECT("'"&amp;K$3&amp;"'!"&amp;"$A9:$A11"),_xlfn.XLOOKUP(K$5,INDIRECT("'"&amp;K$3&amp;"'!"&amp;"$B2:$AZ2"),INDIRECT("'"&amp;K$3&amp;"'!"&amp;"$B9:$AZ11")))</f>
        <v>4</v>
      </c>
      <c r="L7" s="81" cm="1">
        <f t="array" aca="1" ref="L7" ca="1">_xlfn.XLOOKUP($B7,INDIRECT("'"&amp;L$3&amp;"'!"&amp;"$A3:$A5"),_xlfn.XLOOKUP(L$5,INDIRECT("'"&amp;L$3&amp;"'!"&amp;"$B2:$AZ2"),INDIRECT("'"&amp;L$3&amp;"'!"&amp;"$B3:$AZ5")))</f>
        <v>5</v>
      </c>
      <c r="M7" s="81" cm="1">
        <f t="array" aca="1" ref="M7" ca="1">_xlfn.XLOOKUP($B7,INDIRECT("'"&amp;M$3&amp;"'!"&amp;"$A9:$A11"),_xlfn.XLOOKUP(M$5,INDIRECT("'"&amp;M$3&amp;"'!"&amp;"$B2:$AZ2"),INDIRECT("'"&amp;M$3&amp;"'!"&amp;"$B9:$AZ11")))</f>
        <v>12</v>
      </c>
      <c r="N7" s="82">
        <f ca="1">M7-K7</f>
        <v>8</v>
      </c>
      <c r="O7" s="32"/>
    </row>
    <row r="8" spans="1:15" x14ac:dyDescent="0.25">
      <c r="A8" s="30"/>
      <c r="B8" s="52" t="s">
        <v>264</v>
      </c>
      <c r="C8" s="31"/>
      <c r="D8" s="70" cm="1">
        <f t="array" aca="1" ref="D8" ca="1">_xlfn.XLOOKUP($B8,INDIRECT("'"&amp;D$3&amp;"'!"&amp;"$A3:$A5"),_xlfn.XLOOKUP(D$5,INDIRECT("'"&amp;D$3&amp;"'!"&amp;"$B2:$AZ2"),INDIRECT("'"&amp;D$3&amp;"'!"&amp;"$B3:$AZ5")))</f>
        <v>0</v>
      </c>
      <c r="E8" s="51" cm="1">
        <f t="array" aca="1" ref="E8" ca="1">_xlfn.XLOOKUP($B8,INDIRECT("'"&amp;E$3&amp;"'!"&amp;"$A9:$A11"),_xlfn.XLOOKUP(E$5,INDIRECT("'"&amp;E$3&amp;"'!"&amp;"$B2:$AZ2"),INDIRECT("'"&amp;E$3&amp;"'!"&amp;"$B9:$AZ11")))</f>
        <v>19</v>
      </c>
      <c r="F8" s="51" cm="1">
        <f t="array" aca="1" ref="F8" ca="1">_xlfn.XLOOKUP($B8,INDIRECT("'"&amp;F$3&amp;"'!"&amp;"$A3:$A5"),_xlfn.XLOOKUP(F$5,INDIRECT("'"&amp;F$3&amp;"'!"&amp;"$B2:$AZ2"),INDIRECT("'"&amp;F$3&amp;"'!"&amp;"$B3:$AZ5")))</f>
        <v>0</v>
      </c>
      <c r="G8" s="51" cm="1">
        <f t="array" aca="1" ref="G8" ca="1">_xlfn.XLOOKUP($B8,INDIRECT("'"&amp;G$3&amp;"'!"&amp;"$A9:$A11"),_xlfn.XLOOKUP(G$5,INDIRECT("'"&amp;G$3&amp;"'!"&amp;"$B2:$AZ2"),INDIRECT("'"&amp;G$3&amp;"'!"&amp;"$B9:$AZ11")))</f>
        <v>9</v>
      </c>
      <c r="H8" s="71">
        <f ca="1">G8-E8</f>
        <v>-10</v>
      </c>
      <c r="I8" s="31"/>
      <c r="J8" s="70" cm="1">
        <f t="array" aca="1" ref="J8" ca="1">_xlfn.XLOOKUP($B8,INDIRECT("'"&amp;J$3&amp;"'!"&amp;"$A3:$A5"),_xlfn.XLOOKUP(J$5,INDIRECT("'"&amp;J$3&amp;"'!"&amp;"$B2:$AZ2"),INDIRECT("'"&amp;J$3&amp;"'!"&amp;"$B3:$AZ5")))</f>
        <v>0</v>
      </c>
      <c r="K8" s="51" cm="1">
        <f t="array" aca="1" ref="K8" ca="1">_xlfn.XLOOKUP($B8,INDIRECT("'"&amp;K$3&amp;"'!"&amp;"$A9:$A11"),_xlfn.XLOOKUP(K$5,INDIRECT("'"&amp;K$3&amp;"'!"&amp;"$B2:$AZ2"),INDIRECT("'"&amp;K$3&amp;"'!"&amp;"$B9:$AZ11")))</f>
        <v>18</v>
      </c>
      <c r="L8" s="51" cm="1">
        <f t="array" aca="1" ref="L8" ca="1">_xlfn.XLOOKUP($B8,INDIRECT("'"&amp;L$3&amp;"'!"&amp;"$A3:$A5"),_xlfn.XLOOKUP(L$5,INDIRECT("'"&amp;L$3&amp;"'!"&amp;"$B2:$AZ2"),INDIRECT("'"&amp;L$3&amp;"'!"&amp;"$B3:$AZ5")))</f>
        <v>0</v>
      </c>
      <c r="M8" s="51" cm="1">
        <f t="array" aca="1" ref="M8" ca="1">_xlfn.XLOOKUP($B8,INDIRECT("'"&amp;M$3&amp;"'!"&amp;"$A9:$A11"),_xlfn.XLOOKUP(M$5,INDIRECT("'"&amp;M$3&amp;"'!"&amp;"$B2:$AZ2"),INDIRECT("'"&amp;M$3&amp;"'!"&amp;"$B9:$AZ11")))</f>
        <v>9</v>
      </c>
      <c r="N8" s="71">
        <f ca="1">M8-K8</f>
        <v>-9</v>
      </c>
      <c r="O8" s="32"/>
    </row>
    <row r="9" spans="1:15" ht="15.75" thickBot="1" x14ac:dyDescent="0.3">
      <c r="A9" s="30"/>
      <c r="B9" s="53" t="s">
        <v>265</v>
      </c>
      <c r="C9" s="31"/>
      <c r="D9" s="72" cm="1">
        <f t="array" aca="1" ref="D9" ca="1">_xlfn.XLOOKUP($B9,INDIRECT("'"&amp;D$3&amp;"'!"&amp;"$A3:$A5"),_xlfn.XLOOKUP(D$5,INDIRECT("'"&amp;D$3&amp;"'!"&amp;"$B2:$AZ2"),INDIRECT("'"&amp;D$3&amp;"'!"&amp;"$B3:$AZ5")))</f>
        <v>1</v>
      </c>
      <c r="E9" s="61" cm="1">
        <f t="array" aca="1" ref="E9" ca="1">_xlfn.XLOOKUP($B9,INDIRECT("'"&amp;E$3&amp;"'!"&amp;"$A9:$A11"),_xlfn.XLOOKUP(E$5,INDIRECT("'"&amp;E$3&amp;"'!"&amp;"$B2:$AZ2"),INDIRECT("'"&amp;E$3&amp;"'!"&amp;"$B9:$AZ11")))</f>
        <v>1</v>
      </c>
      <c r="F9" s="61" cm="1">
        <f t="array" aca="1" ref="F9" ca="1">_xlfn.XLOOKUP($B9,INDIRECT("'"&amp;F$3&amp;"'!"&amp;"$A3:$A5"),_xlfn.XLOOKUP(F$5,INDIRECT("'"&amp;F$3&amp;"'!"&amp;"$B2:$AZ2"),INDIRECT("'"&amp;F$3&amp;"'!"&amp;"$B3:$AZ5")))</f>
        <v>0</v>
      </c>
      <c r="G9" s="61" cm="1">
        <f t="array" aca="1" ref="G9" ca="1">_xlfn.XLOOKUP($B9,INDIRECT("'"&amp;G$3&amp;"'!"&amp;"$A9:$A11"),_xlfn.XLOOKUP(G$5,INDIRECT("'"&amp;G$3&amp;"'!"&amp;"$B2:$AZ2"),INDIRECT("'"&amp;G$3&amp;"'!"&amp;"$B9:$AZ11")))</f>
        <v>4</v>
      </c>
      <c r="H9" s="73">
        <f ca="1">G9-E9</f>
        <v>3</v>
      </c>
      <c r="I9" s="31"/>
      <c r="J9" s="72" cm="1">
        <f t="array" aca="1" ref="J9" ca="1">_xlfn.XLOOKUP($B9,INDIRECT("'"&amp;J$3&amp;"'!"&amp;"$A3:$A5"),_xlfn.XLOOKUP(J$5,INDIRECT("'"&amp;J$3&amp;"'!"&amp;"$B2:$AZ2"),INDIRECT("'"&amp;J$3&amp;"'!"&amp;"$B3:$AZ5")))</f>
        <v>0</v>
      </c>
      <c r="K9" s="61" cm="1">
        <f t="array" aca="1" ref="K9" ca="1">_xlfn.XLOOKUP($B9,INDIRECT("'"&amp;K$3&amp;"'!"&amp;"$A9:$A11"),_xlfn.XLOOKUP(K$5,INDIRECT("'"&amp;K$3&amp;"'!"&amp;"$B2:$AZ2"),INDIRECT("'"&amp;K$3&amp;"'!"&amp;"$B9:$AZ11")))</f>
        <v>0</v>
      </c>
      <c r="L9" s="61" cm="1">
        <f t="array" aca="1" ref="L9" ca="1">_xlfn.XLOOKUP($B9,INDIRECT("'"&amp;L$3&amp;"'!"&amp;"$A3:$A5"),_xlfn.XLOOKUP(L$5,INDIRECT("'"&amp;L$3&amp;"'!"&amp;"$B2:$AZ2"),INDIRECT("'"&amp;L$3&amp;"'!"&amp;"$B3:$AZ5")))</f>
        <v>4</v>
      </c>
      <c r="M9" s="61" cm="1">
        <f t="array" aca="1" ref="M9" ca="1">_xlfn.XLOOKUP($B9,INDIRECT("'"&amp;M$3&amp;"'!"&amp;"$A9:$A11"),_xlfn.XLOOKUP(M$5,INDIRECT("'"&amp;M$3&amp;"'!"&amp;"$B2:$AZ2"),INDIRECT("'"&amp;M$3&amp;"'!"&amp;"$B9:$AZ11")))</f>
        <v>4</v>
      </c>
      <c r="N9" s="73">
        <f ca="1">M9-K9</f>
        <v>4</v>
      </c>
      <c r="O9" s="32"/>
    </row>
    <row r="10" spans="1:15" ht="15.75" thickBot="1" x14ac:dyDescent="0.3">
      <c r="A10" s="30"/>
      <c r="B10" s="62" t="s">
        <v>272</v>
      </c>
      <c r="C10" s="31"/>
      <c r="D10" s="74">
        <f ca="1">SUM(D7:D9)</f>
        <v>5</v>
      </c>
      <c r="E10" s="75">
        <f t="shared" ref="E10:G10" ca="1" si="0">SUM(E7:E9)</f>
        <v>34</v>
      </c>
      <c r="F10" s="75">
        <f t="shared" ca="1" si="0"/>
        <v>0</v>
      </c>
      <c r="G10" s="75">
        <f t="shared" ca="1" si="0"/>
        <v>25</v>
      </c>
      <c r="H10" s="76">
        <f ca="1">G10-E10</f>
        <v>-9</v>
      </c>
      <c r="I10" s="31"/>
      <c r="J10" s="74">
        <f ca="1">SUM(J7:J9)</f>
        <v>3</v>
      </c>
      <c r="K10" s="75">
        <f t="shared" ref="K10:M10" ca="1" si="1">SUM(K7:K9)</f>
        <v>22</v>
      </c>
      <c r="L10" s="75">
        <f t="shared" ca="1" si="1"/>
        <v>9</v>
      </c>
      <c r="M10" s="75">
        <f t="shared" ca="1" si="1"/>
        <v>25</v>
      </c>
      <c r="N10" s="76">
        <f ca="1">M10-K10</f>
        <v>3</v>
      </c>
      <c r="O10" s="32"/>
    </row>
    <row r="11" spans="1:15" ht="21" customHeight="1" thickBot="1" x14ac:dyDescent="0.3">
      <c r="A11" s="33"/>
      <c r="B11" s="34" t="s">
        <v>291</v>
      </c>
      <c r="C11" s="35"/>
      <c r="D11" s="35"/>
      <c r="E11" s="35"/>
      <c r="F11" s="35"/>
      <c r="G11" s="35"/>
      <c r="H11" s="35"/>
      <c r="I11" s="35"/>
      <c r="J11" s="35"/>
      <c r="K11" s="35"/>
      <c r="L11" s="35"/>
      <c r="M11" s="35"/>
      <c r="N11" s="35"/>
      <c r="O11" s="36"/>
    </row>
  </sheetData>
  <mergeCells count="6">
    <mergeCell ref="D2:H2"/>
    <mergeCell ref="J2:N2"/>
    <mergeCell ref="D4:E4"/>
    <mergeCell ref="F4:H4"/>
    <mergeCell ref="J4:K4"/>
    <mergeCell ref="L4:N4"/>
  </mergeCells>
  <pageMargins left="0.7" right="0.7" top="0.75" bottom="0.75" header="0.3" footer="0.3"/>
  <ignoredErrors>
    <ignoredError sqref="E7:E9 K7:K9 F7:F9 L7:L9"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12105-5C8B-4C00-826F-D05288AC053C}">
  <sheetPr>
    <tabColor rgb="FFFFC000"/>
  </sheetPr>
  <dimension ref="A1"/>
  <sheetViews>
    <sheetView workbookViewId="0">
      <selection activeCell="W33" sqref="W33"/>
    </sheetView>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E1F22-7AAA-4072-81B4-156AE2D48158}">
  <sheetPr>
    <tabColor theme="4" tint="0.39997558519241921"/>
  </sheetPr>
  <dimension ref="A1:AJ29"/>
  <sheetViews>
    <sheetView topLeftCell="I1" workbookViewId="0">
      <selection activeCell="AG3" sqref="AG3"/>
    </sheetView>
  </sheetViews>
  <sheetFormatPr defaultRowHeight="15" outlineLevelCol="1" x14ac:dyDescent="0.25"/>
  <cols>
    <col min="2" max="2" width="25.140625" bestFit="1" customWidth="1"/>
    <col min="3" max="18" width="9.140625" customWidth="1" outlineLevel="1"/>
    <col min="19" max="19" width="13" customWidth="1"/>
    <col min="36" max="36" width="15.85546875" customWidth="1"/>
  </cols>
  <sheetData>
    <row r="1" spans="1:36" ht="19.5" customHeight="1" thickBot="1" x14ac:dyDescent="0.3">
      <c r="B1" s="9" t="s">
        <v>259</v>
      </c>
      <c r="C1" s="130" t="s">
        <v>251</v>
      </c>
      <c r="D1" s="131"/>
      <c r="E1" s="131"/>
      <c r="F1" s="131"/>
      <c r="G1" s="131"/>
      <c r="H1" s="131"/>
      <c r="I1" s="131"/>
      <c r="J1" s="131"/>
      <c r="K1" s="131"/>
      <c r="L1" s="131"/>
      <c r="M1" s="131"/>
      <c r="N1" s="131"/>
      <c r="O1" s="131"/>
      <c r="P1" s="131"/>
      <c r="Q1" s="131"/>
      <c r="R1" s="131"/>
      <c r="S1" s="132"/>
      <c r="T1" s="133" t="s">
        <v>252</v>
      </c>
      <c r="U1" s="134"/>
      <c r="V1" s="134"/>
      <c r="W1" s="134"/>
      <c r="X1" s="134"/>
      <c r="Y1" s="134"/>
      <c r="Z1" s="134"/>
      <c r="AA1" s="134"/>
      <c r="AB1" s="134"/>
      <c r="AC1" s="134"/>
      <c r="AD1" s="134"/>
      <c r="AE1" s="134"/>
      <c r="AF1" s="134"/>
      <c r="AG1" s="134"/>
      <c r="AH1" s="134"/>
      <c r="AI1" s="134"/>
      <c r="AJ1" s="134"/>
    </row>
    <row r="2" spans="1:36" ht="15.75" thickBot="1" x14ac:dyDescent="0.3">
      <c r="B2" s="10" t="s">
        <v>259</v>
      </c>
      <c r="C2" s="8" t="str">
        <f>"JUL, "&amp;C1</f>
        <v>JUL, FY24</v>
      </c>
      <c r="D2" s="5" t="str">
        <f>"AUG, "&amp;C1</f>
        <v>AUG, FY24</v>
      </c>
      <c r="E2" s="5" t="str">
        <f>"SEP, "&amp;C1</f>
        <v>SEP, FY24</v>
      </c>
      <c r="F2" s="17" t="str">
        <f>"Q1, "&amp;C1</f>
        <v>Q1, FY24</v>
      </c>
      <c r="G2" s="5" t="str">
        <f>"OCT, "&amp;C1</f>
        <v>OCT, FY24</v>
      </c>
      <c r="H2" s="5" t="str">
        <f>"NOV, "&amp;C1</f>
        <v>NOV, FY24</v>
      </c>
      <c r="I2" s="5" t="str">
        <f>"DEC, "&amp;C1</f>
        <v>DEC, FY24</v>
      </c>
      <c r="J2" s="17" t="str">
        <f>"Q2, "&amp;C1</f>
        <v>Q2, FY24</v>
      </c>
      <c r="K2" s="5" t="str">
        <f>"JAN, "&amp;C1</f>
        <v>JAN, FY24</v>
      </c>
      <c r="L2" s="5" t="str">
        <f>"FEB, "&amp;C1</f>
        <v>FEB, FY24</v>
      </c>
      <c r="M2" s="5" t="str">
        <f>"MAR, "&amp;C1</f>
        <v>MAR, FY24</v>
      </c>
      <c r="N2" s="17" t="str">
        <f>"Q3, "&amp;C1</f>
        <v>Q3, FY24</v>
      </c>
      <c r="O2" s="5" t="str">
        <f>"APR, "&amp;C1</f>
        <v>APR, FY24</v>
      </c>
      <c r="P2" s="5" t="str">
        <f>"MAY, "&amp;C1</f>
        <v>MAY, FY24</v>
      </c>
      <c r="Q2" s="5" t="str">
        <f>"JUN, "&amp;C1</f>
        <v>JUN, FY24</v>
      </c>
      <c r="R2" s="17" t="str">
        <f>"Q4, "&amp;C1</f>
        <v>Q4, FY24</v>
      </c>
      <c r="S2" s="17" t="str">
        <f>"Full Year, "&amp;C1</f>
        <v>Full Year, FY24</v>
      </c>
      <c r="T2" s="6" t="str">
        <f>"JUL, "&amp;T1</f>
        <v>JUL, FY25</v>
      </c>
      <c r="U2" s="6" t="str">
        <f>"AUG, "&amp;T1</f>
        <v>AUG, FY25</v>
      </c>
      <c r="V2" s="6" t="str">
        <f>"SEP, "&amp;T1</f>
        <v>SEP, FY25</v>
      </c>
      <c r="W2" s="17" t="str">
        <f>"Q1, "&amp;T1</f>
        <v>Q1, FY25</v>
      </c>
      <c r="X2" s="6" t="str">
        <f>"OCT, "&amp;T1</f>
        <v>OCT, FY25</v>
      </c>
      <c r="Y2" s="6" t="str">
        <f>"NOV, "&amp;T1</f>
        <v>NOV, FY25</v>
      </c>
      <c r="Z2" s="6" t="str">
        <f>"DEC, "&amp;T1</f>
        <v>DEC, FY25</v>
      </c>
      <c r="AA2" s="17" t="str">
        <f>"Q2, "&amp;T1</f>
        <v>Q2, FY25</v>
      </c>
      <c r="AB2" s="6" t="str">
        <f>"JAN, "&amp;T1</f>
        <v>JAN, FY25</v>
      </c>
      <c r="AC2" s="6" t="str">
        <f>"FEB, "&amp;T1</f>
        <v>FEB, FY25</v>
      </c>
      <c r="AD2" s="6" t="str">
        <f>"MAR, "&amp;T1</f>
        <v>MAR, FY25</v>
      </c>
      <c r="AE2" s="17" t="str">
        <f>"Q3, "&amp;T1</f>
        <v>Q3, FY25</v>
      </c>
      <c r="AF2" s="6" t="str">
        <f>"APR, "&amp;T1</f>
        <v>APR, FY25</v>
      </c>
      <c r="AG2" s="6" t="str">
        <f>"MAY, "&amp;T1</f>
        <v>MAY, FY25</v>
      </c>
      <c r="AH2" s="6" t="str">
        <f>"JUN, "&amp;T1</f>
        <v>JUN, FY25</v>
      </c>
      <c r="AI2" s="17" t="str">
        <f>"Q4, "&amp;T1</f>
        <v>Q4, FY25</v>
      </c>
      <c r="AJ2" s="6" t="str">
        <f>"Full Year, "&amp;T1</f>
        <v>Full Year, FY25</v>
      </c>
    </row>
    <row r="3" spans="1:36" ht="15.75" thickBot="1" x14ac:dyDescent="0.3">
      <c r="A3" s="128" t="s">
        <v>266</v>
      </c>
      <c r="B3" s="11" t="s">
        <v>13</v>
      </c>
      <c r="C3" s="14">
        <f>COUNTIFS('Incident Data Dump'!$H:$H,'IT FEED'!$B3,'Incident Data Dump'!$Q:$Q,'IT FEED'!C$2)</f>
        <v>1</v>
      </c>
      <c r="D3" s="14">
        <f>COUNTIFS('Incident Data Dump'!$H:$H,'IT FEED'!$B3,'Incident Data Dump'!$Q:$Q,'IT FEED'!D$2)</f>
        <v>4</v>
      </c>
      <c r="E3" s="14">
        <f>COUNTIFS('Incident Data Dump'!$H:$H,'IT FEED'!$B3,'Incident Data Dump'!$Q:$Q,'IT FEED'!E$2)</f>
        <v>3</v>
      </c>
      <c r="F3" s="17">
        <f>SUBTOTAL(9,C3:E3)</f>
        <v>8</v>
      </c>
      <c r="G3" s="14">
        <f>COUNTIFS('Incident Data Dump'!$H:$H,'IT FEED'!$B3,'Incident Data Dump'!$Q:$Q,'IT FEED'!G$2)</f>
        <v>0</v>
      </c>
      <c r="H3" s="14">
        <f>COUNTIFS('Incident Data Dump'!$H:$H,'IT FEED'!$B3,'Incident Data Dump'!$Q:$Q,'IT FEED'!H$2)</f>
        <v>5</v>
      </c>
      <c r="I3" s="14">
        <f>COUNTIFS('Incident Data Dump'!$H:$H,'IT FEED'!$B3,'Incident Data Dump'!$Q:$Q,'IT FEED'!I$2)</f>
        <v>3</v>
      </c>
      <c r="J3" s="17">
        <f>SUBTOTAL(9,G3:I3)</f>
        <v>8</v>
      </c>
      <c r="K3" s="14">
        <f>COUNTIFS('Incident Data Dump'!$H:$H,'IT FEED'!$B3,'Incident Data Dump'!$Q:$Q,'IT FEED'!K$2)</f>
        <v>1</v>
      </c>
      <c r="L3" s="14">
        <f>COUNTIFS('Incident Data Dump'!$H:$H,'IT FEED'!$B3,'Incident Data Dump'!$Q:$Q,'IT FEED'!L$2)</f>
        <v>1</v>
      </c>
      <c r="M3" s="14">
        <f>COUNTIFS('Incident Data Dump'!$H:$H,'IT FEED'!$B3,'Incident Data Dump'!$Q:$Q,'IT FEED'!M$2)</f>
        <v>3</v>
      </c>
      <c r="N3" s="17">
        <f>SUBTOTAL(9,K3:M3)</f>
        <v>5</v>
      </c>
      <c r="O3" s="14">
        <f>COUNTIFS('Incident Data Dump'!$H:$H,'IT FEED'!$B3,'Incident Data Dump'!$Q:$Q,'IT FEED'!O$2)</f>
        <v>0</v>
      </c>
      <c r="P3" s="14">
        <f>COUNTIFS('Incident Data Dump'!$H:$H,'IT FEED'!$B3,'Incident Data Dump'!$Q:$Q,'IT FEED'!P$2)</f>
        <v>4</v>
      </c>
      <c r="Q3" s="14">
        <f>COUNTIFS('Incident Data Dump'!$H:$H,'IT FEED'!$B3,'Incident Data Dump'!$Q:$Q,'IT FEED'!Q$2)</f>
        <v>2</v>
      </c>
      <c r="R3" s="17">
        <f>SUBTOTAL(9,O3:Q3)</f>
        <v>6</v>
      </c>
      <c r="S3" s="17">
        <f>SUBTOTAL(9,C3:R3)</f>
        <v>27</v>
      </c>
      <c r="T3" s="14">
        <f>COUNTIFS('Incident Data Dump'!$H:$H,'IT FEED'!$B3,'Incident Data Dump'!$Q:$Q,'IT FEED'!T$2)</f>
        <v>1</v>
      </c>
      <c r="U3" s="14">
        <f>COUNTIFS('Incident Data Dump'!$H:$H,'IT FEED'!$B3,'Incident Data Dump'!$Q:$Q,'IT FEED'!U$2)</f>
        <v>2</v>
      </c>
      <c r="V3" s="14">
        <f>COUNTIFS('Incident Data Dump'!$H:$H,'IT FEED'!$B3,'Incident Data Dump'!$Q:$Q,'IT FEED'!V$2)</f>
        <v>1</v>
      </c>
      <c r="W3" s="17">
        <f>SUBTOTAL(9,T3:V3)</f>
        <v>4</v>
      </c>
      <c r="X3" s="14">
        <f>COUNTIFS('Incident Data Dump'!$H:$H,'IT FEED'!$B3,'Incident Data Dump'!$Q:$Q,'IT FEED'!X$2)</f>
        <v>0</v>
      </c>
      <c r="Y3" s="14">
        <f>COUNTIFS('Incident Data Dump'!$H:$H,'IT FEED'!$B3,'Incident Data Dump'!$Q:$Q,'IT FEED'!Y$2)</f>
        <v>0</v>
      </c>
      <c r="Z3" s="14">
        <f>COUNTIFS('Incident Data Dump'!$H:$H,'IT FEED'!$B3,'Incident Data Dump'!$Q:$Q,'IT FEED'!Z$2)</f>
        <v>1</v>
      </c>
      <c r="AA3" s="17">
        <f>SUBTOTAL(9,X3:Z3)</f>
        <v>1</v>
      </c>
      <c r="AB3" s="14">
        <f>COUNTIFS('Incident Data Dump'!$H:$H,'IT FEED'!$B3,'Incident Data Dump'!$Q:$Q,'IT FEED'!AB$2)</f>
        <v>1</v>
      </c>
      <c r="AC3" s="14">
        <f>COUNTIFS('Incident Data Dump'!$H:$H,'IT FEED'!$B3,'Incident Data Dump'!$Q:$Q,'IT FEED'!AC$2)</f>
        <v>0</v>
      </c>
      <c r="AD3" s="14">
        <f>COUNTIFS('Incident Data Dump'!$H:$H,'IT FEED'!$B3,'Incident Data Dump'!$Q:$Q,'IT FEED'!AD$2)</f>
        <v>0</v>
      </c>
      <c r="AE3" s="17">
        <f>SUBTOTAL(9,AB3:AD3)</f>
        <v>1</v>
      </c>
      <c r="AF3" s="14">
        <f>COUNTIFS('Incident Data Dump'!$H:$H,'IT FEED'!$B3,'Incident Data Dump'!$Q:$Q,'IT FEED'!AF$2)</f>
        <v>2</v>
      </c>
      <c r="AG3" s="14">
        <f>COUNTIFS('Incident Data Dump'!$H:$H,'IT FEED'!$B3,'Incident Data Dump'!$Q:$Q,'IT FEED'!AG$2)</f>
        <v>2</v>
      </c>
      <c r="AH3" s="14">
        <f>COUNTIFS('Incident Data Dump'!$H:$H,'IT FEED'!$B3,'Incident Data Dump'!$Q:$Q,'IT FEED'!AH$2)</f>
        <v>0</v>
      </c>
      <c r="AI3" s="17">
        <f>SUBTOTAL(9,AF3:AH3)</f>
        <v>4</v>
      </c>
      <c r="AJ3" s="14">
        <f>SUBTOTAL(9,T3:AI3)</f>
        <v>10</v>
      </c>
    </row>
    <row r="4" spans="1:36" ht="15.75" thickBot="1" x14ac:dyDescent="0.3">
      <c r="A4" s="128"/>
      <c r="B4" s="12" t="s">
        <v>9</v>
      </c>
      <c r="C4" s="15">
        <f>COUNTIFS('Incident Data Dump'!$H:$H,'IT FEED'!$B4,'Incident Data Dump'!$Q:$Q,'IT FEED'!C$2)</f>
        <v>4</v>
      </c>
      <c r="D4" s="15">
        <f>COUNTIFS('Incident Data Dump'!$H:$H,'IT FEED'!$B4,'Incident Data Dump'!$Q:$Q,'IT FEED'!D$2)</f>
        <v>6</v>
      </c>
      <c r="E4" s="15">
        <f>COUNTIFS('Incident Data Dump'!$H:$H,'IT FEED'!$B4,'Incident Data Dump'!$Q:$Q,'IT FEED'!E$2)</f>
        <v>7</v>
      </c>
      <c r="F4" s="18">
        <f>SUBTOTAL(9,C4:E4)</f>
        <v>17</v>
      </c>
      <c r="G4" s="15">
        <f>COUNTIFS('Incident Data Dump'!$H:$H,'IT FEED'!$B4,'Incident Data Dump'!$Q:$Q,'IT FEED'!G$2)</f>
        <v>9</v>
      </c>
      <c r="H4" s="15">
        <f>COUNTIFS('Incident Data Dump'!$H:$H,'IT FEED'!$B4,'Incident Data Dump'!$Q:$Q,'IT FEED'!H$2)</f>
        <v>5</v>
      </c>
      <c r="I4" s="15">
        <f>COUNTIFS('Incident Data Dump'!$H:$H,'IT FEED'!$B4,'Incident Data Dump'!$Q:$Q,'IT FEED'!I$2)</f>
        <v>3</v>
      </c>
      <c r="J4" s="18">
        <f>SUBTOTAL(9,G4:I4)</f>
        <v>17</v>
      </c>
      <c r="K4" s="15">
        <f>COUNTIFS('Incident Data Dump'!$H:$H,'IT FEED'!$B4,'Incident Data Dump'!$Q:$Q,'IT FEED'!K$2)</f>
        <v>2</v>
      </c>
      <c r="L4" s="15">
        <f>COUNTIFS('Incident Data Dump'!$H:$H,'IT FEED'!$B4,'Incident Data Dump'!$Q:$Q,'IT FEED'!L$2)</f>
        <v>1</v>
      </c>
      <c r="M4" s="15">
        <f>COUNTIFS('Incident Data Dump'!$H:$H,'IT FEED'!$B4,'Incident Data Dump'!$Q:$Q,'IT FEED'!M$2)</f>
        <v>0</v>
      </c>
      <c r="N4" s="18">
        <f>SUBTOTAL(9,K4:M4)</f>
        <v>3</v>
      </c>
      <c r="O4" s="15">
        <f>COUNTIFS('Incident Data Dump'!$H:$H,'IT FEED'!$B4,'Incident Data Dump'!$Q:$Q,'IT FEED'!O$2)</f>
        <v>2</v>
      </c>
      <c r="P4" s="15">
        <f>COUNTIFS('Incident Data Dump'!$H:$H,'IT FEED'!$B4,'Incident Data Dump'!$Q:$Q,'IT FEED'!P$2)</f>
        <v>0</v>
      </c>
      <c r="Q4" s="15">
        <f>COUNTIFS('Incident Data Dump'!$H:$H,'IT FEED'!$B4,'Incident Data Dump'!$Q:$Q,'IT FEED'!Q$2)</f>
        <v>2</v>
      </c>
      <c r="R4" s="18">
        <f>SUBTOTAL(9,O4:Q4)</f>
        <v>4</v>
      </c>
      <c r="S4" s="18">
        <f>SUBTOTAL(9,C4:R4)</f>
        <v>41</v>
      </c>
      <c r="T4" s="15">
        <f>COUNTIFS('Incident Data Dump'!$H:$H,'IT FEED'!$B4,'Incident Data Dump'!$Q:$Q,'IT FEED'!T$2)</f>
        <v>1</v>
      </c>
      <c r="U4" s="15">
        <f>COUNTIFS('Incident Data Dump'!$H:$H,'IT FEED'!$B4,'Incident Data Dump'!$Q:$Q,'IT FEED'!U$2)</f>
        <v>7</v>
      </c>
      <c r="V4" s="15">
        <f>COUNTIFS('Incident Data Dump'!$H:$H,'IT FEED'!$B4,'Incident Data Dump'!$Q:$Q,'IT FEED'!V$2)</f>
        <v>0</v>
      </c>
      <c r="W4" s="18">
        <f>SUBTOTAL(9,T4:V4)</f>
        <v>8</v>
      </c>
      <c r="X4" s="15">
        <f>COUNTIFS('Incident Data Dump'!$H:$H,'IT FEED'!$B4,'Incident Data Dump'!$Q:$Q,'IT FEED'!X$2)</f>
        <v>1</v>
      </c>
      <c r="Y4" s="15">
        <f>COUNTIFS('Incident Data Dump'!$H:$H,'IT FEED'!$B4,'Incident Data Dump'!$Q:$Q,'IT FEED'!Y$2)</f>
        <v>6</v>
      </c>
      <c r="Z4" s="15">
        <f>COUNTIFS('Incident Data Dump'!$H:$H,'IT FEED'!$B4,'Incident Data Dump'!$Q:$Q,'IT FEED'!Z$2)</f>
        <v>0</v>
      </c>
      <c r="AA4" s="18">
        <f>SUBTOTAL(9,X4:Z4)</f>
        <v>7</v>
      </c>
      <c r="AB4" s="15">
        <f>COUNTIFS('Incident Data Dump'!$H:$H,'IT FEED'!$B4,'Incident Data Dump'!$Q:$Q,'IT FEED'!AB$2)</f>
        <v>4</v>
      </c>
      <c r="AC4" s="15">
        <f>COUNTIFS('Incident Data Dump'!$H:$H,'IT FEED'!$B4,'Incident Data Dump'!$Q:$Q,'IT FEED'!AC$2)</f>
        <v>4</v>
      </c>
      <c r="AD4" s="15">
        <f>COUNTIFS('Incident Data Dump'!$H:$H,'IT FEED'!$B4,'Incident Data Dump'!$Q:$Q,'IT FEED'!AD$2)</f>
        <v>1</v>
      </c>
      <c r="AE4" s="18">
        <f>SUBTOTAL(9,AB4:AD4)</f>
        <v>9</v>
      </c>
      <c r="AF4" s="15">
        <f>COUNTIFS('Incident Data Dump'!$H:$H,'IT FEED'!$B4,'Incident Data Dump'!$Q:$Q,'IT FEED'!AF$2)</f>
        <v>5</v>
      </c>
      <c r="AG4" s="15">
        <f>COUNTIFS('Incident Data Dump'!$H:$H,'IT FEED'!$B4,'Incident Data Dump'!$Q:$Q,'IT FEED'!AG$2)</f>
        <v>2</v>
      </c>
      <c r="AH4" s="15">
        <f>COUNTIFS('Incident Data Dump'!$H:$H,'IT FEED'!$B4,'Incident Data Dump'!$Q:$Q,'IT FEED'!AH$2)</f>
        <v>0</v>
      </c>
      <c r="AI4" s="18">
        <f>SUBTOTAL(9,AF4:AH4)</f>
        <v>7</v>
      </c>
      <c r="AJ4" s="15">
        <f>SUBTOTAL(9,T4:AI4)</f>
        <v>31</v>
      </c>
    </row>
    <row r="5" spans="1:36" ht="15.75" thickBot="1" x14ac:dyDescent="0.3">
      <c r="A5" s="128"/>
      <c r="B5" s="13" t="s">
        <v>18</v>
      </c>
      <c r="C5" s="16">
        <f>COUNTIFS('Incident Data Dump'!$H:$H,'IT FEED'!$B5,'Incident Data Dump'!$Q:$Q,'IT FEED'!C$2)</f>
        <v>2</v>
      </c>
      <c r="D5" s="16">
        <f>COUNTIFS('Incident Data Dump'!$H:$H,'IT FEED'!$B5,'Incident Data Dump'!$Q:$Q,'IT FEED'!D$2)</f>
        <v>2</v>
      </c>
      <c r="E5" s="16">
        <f>COUNTIFS('Incident Data Dump'!$H:$H,'IT FEED'!$B5,'Incident Data Dump'!$Q:$Q,'IT FEED'!E$2)</f>
        <v>3</v>
      </c>
      <c r="F5" s="19">
        <f>SUBTOTAL(9,C5:E5)</f>
        <v>7</v>
      </c>
      <c r="G5" s="16">
        <f>COUNTIFS('Incident Data Dump'!$H:$H,'IT FEED'!$B5,'Incident Data Dump'!$Q:$Q,'IT FEED'!G$2)</f>
        <v>0</v>
      </c>
      <c r="H5" s="16">
        <f>COUNTIFS('Incident Data Dump'!$H:$H,'IT FEED'!$B5,'Incident Data Dump'!$Q:$Q,'IT FEED'!H$2)</f>
        <v>4</v>
      </c>
      <c r="I5" s="16">
        <f>COUNTIFS('Incident Data Dump'!$H:$H,'IT FEED'!$B5,'Incident Data Dump'!$Q:$Q,'IT FEED'!I$2)</f>
        <v>2</v>
      </c>
      <c r="J5" s="19">
        <f>SUBTOTAL(9,G5:I5)</f>
        <v>6</v>
      </c>
      <c r="K5" s="16">
        <f>COUNTIFS('Incident Data Dump'!$H:$H,'IT FEED'!$B5,'Incident Data Dump'!$Q:$Q,'IT FEED'!K$2)</f>
        <v>3</v>
      </c>
      <c r="L5" s="16">
        <f>COUNTIFS('Incident Data Dump'!$H:$H,'IT FEED'!$B5,'Incident Data Dump'!$Q:$Q,'IT FEED'!L$2)</f>
        <v>6</v>
      </c>
      <c r="M5" s="16">
        <f>COUNTIFS('Incident Data Dump'!$H:$H,'IT FEED'!$B5,'Incident Data Dump'!$Q:$Q,'IT FEED'!M$2)</f>
        <v>1</v>
      </c>
      <c r="N5" s="19">
        <f>SUBTOTAL(9,K5:M5)</f>
        <v>10</v>
      </c>
      <c r="O5" s="16">
        <f>COUNTIFS('Incident Data Dump'!$H:$H,'IT FEED'!$B5,'Incident Data Dump'!$Q:$Q,'IT FEED'!O$2)</f>
        <v>1</v>
      </c>
      <c r="P5" s="16">
        <f>COUNTIFS('Incident Data Dump'!$H:$H,'IT FEED'!$B5,'Incident Data Dump'!$Q:$Q,'IT FEED'!P$2)</f>
        <v>7</v>
      </c>
      <c r="Q5" s="16">
        <f>COUNTIFS('Incident Data Dump'!$H:$H,'IT FEED'!$B5,'Incident Data Dump'!$Q:$Q,'IT FEED'!Q$2)</f>
        <v>4</v>
      </c>
      <c r="R5" s="19">
        <f>SUBTOTAL(9,O5:Q5)</f>
        <v>12</v>
      </c>
      <c r="S5" s="19">
        <f>SUBTOTAL(9,C5:R5)</f>
        <v>35</v>
      </c>
      <c r="T5" s="16">
        <f>COUNTIFS('Incident Data Dump'!$H:$H,'IT FEED'!$B5,'Incident Data Dump'!$Q:$Q,'IT FEED'!T$2)</f>
        <v>3</v>
      </c>
      <c r="U5" s="16">
        <f>COUNTIFS('Incident Data Dump'!$H:$H,'IT FEED'!$B5,'Incident Data Dump'!$Q:$Q,'IT FEED'!U$2)</f>
        <v>7</v>
      </c>
      <c r="V5" s="16">
        <f>COUNTIFS('Incident Data Dump'!$H:$H,'IT FEED'!$B5,'Incident Data Dump'!$Q:$Q,'IT FEED'!V$2)</f>
        <v>1</v>
      </c>
      <c r="W5" s="19">
        <f>SUBTOTAL(9,T5:V5)</f>
        <v>11</v>
      </c>
      <c r="X5" s="16">
        <f>COUNTIFS('Incident Data Dump'!$H:$H,'IT FEED'!$B5,'Incident Data Dump'!$Q:$Q,'IT FEED'!X$2)</f>
        <v>5</v>
      </c>
      <c r="Y5" s="16">
        <f>COUNTIFS('Incident Data Dump'!$H:$H,'IT FEED'!$B5,'Incident Data Dump'!$Q:$Q,'IT FEED'!Y$2)</f>
        <v>8</v>
      </c>
      <c r="Z5" s="16">
        <f>COUNTIFS('Incident Data Dump'!$H:$H,'IT FEED'!$B5,'Incident Data Dump'!$Q:$Q,'IT FEED'!Z$2)</f>
        <v>9</v>
      </c>
      <c r="AA5" s="19">
        <f>SUBTOTAL(9,X5:Z5)</f>
        <v>22</v>
      </c>
      <c r="AB5" s="16">
        <f>COUNTIFS('Incident Data Dump'!$H:$H,'IT FEED'!$B5,'Incident Data Dump'!$Q:$Q,'IT FEED'!AB$2)</f>
        <v>4</v>
      </c>
      <c r="AC5" s="16">
        <f>COUNTIFS('Incident Data Dump'!$H:$H,'IT FEED'!$B5,'Incident Data Dump'!$Q:$Q,'IT FEED'!AC$2)</f>
        <v>4</v>
      </c>
      <c r="AD5" s="16">
        <f>COUNTIFS('Incident Data Dump'!$H:$H,'IT FEED'!$B5,'Incident Data Dump'!$Q:$Q,'IT FEED'!AD$2)</f>
        <v>8</v>
      </c>
      <c r="AE5" s="19">
        <f>SUBTOTAL(9,AB5:AD5)</f>
        <v>16</v>
      </c>
      <c r="AF5" s="16">
        <f>COUNTIFS('Incident Data Dump'!$H:$H,'IT FEED'!$B5,'Incident Data Dump'!$Q:$Q,'IT FEED'!AF$2)</f>
        <v>0</v>
      </c>
      <c r="AG5" s="16">
        <f>COUNTIFS('Incident Data Dump'!$H:$H,'IT FEED'!$B5,'Incident Data Dump'!$Q:$Q,'IT FEED'!AG$2)</f>
        <v>3</v>
      </c>
      <c r="AH5" s="16">
        <f>COUNTIFS('Incident Data Dump'!$H:$H,'IT FEED'!$B5,'Incident Data Dump'!$Q:$Q,'IT FEED'!AH$2)</f>
        <v>0</v>
      </c>
      <c r="AI5" s="19">
        <f>SUBTOTAL(9,AF5:AH5)</f>
        <v>3</v>
      </c>
      <c r="AJ5" s="16">
        <f>SUBTOTAL(9,T5:AI5)</f>
        <v>52</v>
      </c>
    </row>
    <row r="6" spans="1:36" ht="15.75" thickBot="1" x14ac:dyDescent="0.3">
      <c r="A6" s="129" t="s">
        <v>263</v>
      </c>
      <c r="B6" s="11" t="s">
        <v>13</v>
      </c>
      <c r="C6" s="15">
        <f>COUNTIFS('Incident Data Dump'!$P:$P,'IT FEED'!$A$6,'Incident Data Dump'!$H:$H,'IT FEED'!$B6,'Incident Data Dump'!$Q:$Q,'IT FEED'!C$2)</f>
        <v>1</v>
      </c>
      <c r="D6" s="15">
        <f>COUNTIFS('Incident Data Dump'!$P:$P,'IT FEED'!$A$6,'Incident Data Dump'!$H:$H,'IT FEED'!$B6,'Incident Data Dump'!$Q:$Q,'IT FEED'!D$2)</f>
        <v>0</v>
      </c>
      <c r="E6" s="15">
        <f>COUNTIFS('Incident Data Dump'!$P:$P,'IT FEED'!$A$6,'Incident Data Dump'!$H:$H,'IT FEED'!$B6,'Incident Data Dump'!$Q:$Q,'IT FEED'!E$2)</f>
        <v>0</v>
      </c>
      <c r="F6" s="18">
        <f>SUBTOTAL(9,C6:E6)</f>
        <v>1</v>
      </c>
      <c r="G6" s="15">
        <f>COUNTIFS('Incident Data Dump'!$P:$P,'IT FEED'!$A$6,'Incident Data Dump'!$H:$H,'IT FEED'!$B6,'Incident Data Dump'!$Q:$Q,'IT FEED'!G$2)</f>
        <v>0</v>
      </c>
      <c r="H6" s="15">
        <f>COUNTIFS('Incident Data Dump'!$P:$P,'IT FEED'!$A$6,'Incident Data Dump'!$H:$H,'IT FEED'!$B6,'Incident Data Dump'!$Q:$Q,'IT FEED'!H$2)</f>
        <v>3</v>
      </c>
      <c r="I6" s="15">
        <f>COUNTIFS('Incident Data Dump'!$P:$P,'IT FEED'!$A$6,'Incident Data Dump'!$H:$H,'IT FEED'!$B6,'Incident Data Dump'!$Q:$Q,'IT FEED'!I$2)</f>
        <v>1</v>
      </c>
      <c r="J6" s="18">
        <f>SUBTOTAL(9,G6:I6)</f>
        <v>4</v>
      </c>
      <c r="K6" s="15">
        <f>COUNTIFS('Incident Data Dump'!$P:$P,'IT FEED'!$A$6,'Incident Data Dump'!$H:$H,'IT FEED'!$B6,'Incident Data Dump'!$Q:$Q,'IT FEED'!K$2)</f>
        <v>1</v>
      </c>
      <c r="L6" s="15">
        <f>COUNTIFS('Incident Data Dump'!$P:$P,'IT FEED'!$A$6,'Incident Data Dump'!$H:$H,'IT FEED'!$B6,'Incident Data Dump'!$Q:$Q,'IT FEED'!L$2)</f>
        <v>1</v>
      </c>
      <c r="M6" s="15">
        <f>COUNTIFS('Incident Data Dump'!$P:$P,'IT FEED'!$A$6,'Incident Data Dump'!$H:$H,'IT FEED'!$B6,'Incident Data Dump'!$Q:$Q,'IT FEED'!M$2)</f>
        <v>3</v>
      </c>
      <c r="N6" s="18">
        <f>SUBTOTAL(9,K6:M6)</f>
        <v>5</v>
      </c>
      <c r="O6" s="15">
        <f>COUNTIFS('Incident Data Dump'!$P:$P,'IT FEED'!$A$6,'Incident Data Dump'!$H:$H,'IT FEED'!$B6,'Incident Data Dump'!$Q:$Q,'IT FEED'!O$2)</f>
        <v>0</v>
      </c>
      <c r="P6" s="15">
        <f>COUNTIFS('Incident Data Dump'!$P:$P,'IT FEED'!$A$6,'Incident Data Dump'!$H:$H,'IT FEED'!$B6,'Incident Data Dump'!$Q:$Q,'IT FEED'!P$2)</f>
        <v>1</v>
      </c>
      <c r="Q6" s="15">
        <f>COUNTIFS('Incident Data Dump'!$P:$P,'IT FEED'!$A$6,'Incident Data Dump'!$H:$H,'IT FEED'!$B6,'Incident Data Dump'!$Q:$Q,'IT FEED'!Q$2)</f>
        <v>0</v>
      </c>
      <c r="R6" s="18">
        <f>SUBTOTAL(9,O6:Q6)</f>
        <v>1</v>
      </c>
      <c r="S6" s="18">
        <f t="shared" ref="S6:S14" si="0">SUBTOTAL(9,C6:R6)</f>
        <v>11</v>
      </c>
      <c r="T6" s="15">
        <f>COUNTIFS('Incident Data Dump'!$P:$P,'IT FEED'!$A$6,'Incident Data Dump'!$H:$H,'IT FEED'!$B6,'Incident Data Dump'!$Q:$Q,'IT FEED'!T$2)</f>
        <v>1</v>
      </c>
      <c r="U6" s="15">
        <f>COUNTIFS('Incident Data Dump'!$P:$P,'IT FEED'!$A$6,'Incident Data Dump'!$H:$H,'IT FEED'!$B6,'Incident Data Dump'!$Q:$Q,'IT FEED'!U$2)</f>
        <v>1</v>
      </c>
      <c r="V6" s="15">
        <f>COUNTIFS('Incident Data Dump'!$P:$P,'IT FEED'!$A$6,'Incident Data Dump'!$H:$H,'IT FEED'!$B6,'Incident Data Dump'!$Q:$Q,'IT FEED'!V$2)</f>
        <v>1</v>
      </c>
      <c r="W6" s="18">
        <f>SUBTOTAL(9,T6:V6)</f>
        <v>3</v>
      </c>
      <c r="X6" s="15">
        <f>COUNTIFS('Incident Data Dump'!$P:$P,'IT FEED'!$A$6,'Incident Data Dump'!$H:$H,'IT FEED'!$B6,'Incident Data Dump'!$Q:$Q,'IT FEED'!X$2)</f>
        <v>0</v>
      </c>
      <c r="Y6" s="15">
        <f>COUNTIFS('Incident Data Dump'!$P:$P,'IT FEED'!$A$6,'Incident Data Dump'!$H:$H,'IT FEED'!$B6,'Incident Data Dump'!$Q:$Q,'IT FEED'!Y$2)</f>
        <v>0</v>
      </c>
      <c r="Z6" s="15">
        <f>COUNTIFS('Incident Data Dump'!$P:$P,'IT FEED'!$A$6,'Incident Data Dump'!$H:$H,'IT FEED'!$B6,'Incident Data Dump'!$Q:$Q,'IT FEED'!Z$2)</f>
        <v>1</v>
      </c>
      <c r="AA6" s="18">
        <f>SUBTOTAL(9,X6:Z6)</f>
        <v>1</v>
      </c>
      <c r="AB6" s="15">
        <f>COUNTIFS('Incident Data Dump'!$P:$P,'IT FEED'!$A$6,'Incident Data Dump'!$H:$H,'IT FEED'!$B6,'Incident Data Dump'!$Q:$Q,'IT FEED'!AB$2)</f>
        <v>1</v>
      </c>
      <c r="AC6" s="15">
        <f>COUNTIFS('Incident Data Dump'!$P:$P,'IT FEED'!$A$6,'Incident Data Dump'!$H:$H,'IT FEED'!$B6,'Incident Data Dump'!$Q:$Q,'IT FEED'!AC$2)</f>
        <v>0</v>
      </c>
      <c r="AD6" s="15">
        <f>COUNTIFS('Incident Data Dump'!$P:$P,'IT FEED'!$A$6,'Incident Data Dump'!$H:$H,'IT FEED'!$B6,'Incident Data Dump'!$Q:$Q,'IT FEED'!AD$2)</f>
        <v>0</v>
      </c>
      <c r="AE6" s="18">
        <f>SUBTOTAL(9,AB6:AD6)</f>
        <v>1</v>
      </c>
      <c r="AF6" s="15">
        <f>COUNTIFS('Incident Data Dump'!$P:$P,'IT FEED'!$A$6,'Incident Data Dump'!$H:$H,'IT FEED'!$B6,'Incident Data Dump'!$Q:$Q,'IT FEED'!AF$2)</f>
        <v>1</v>
      </c>
      <c r="AG6" s="15">
        <f>COUNTIFS('Incident Data Dump'!$P:$P,'IT FEED'!$A$6,'Incident Data Dump'!$H:$H,'IT FEED'!$B6,'Incident Data Dump'!$Q:$Q,'IT FEED'!AG$2)</f>
        <v>1</v>
      </c>
      <c r="AH6" s="15">
        <f>COUNTIFS('Incident Data Dump'!$P:$P,'IT FEED'!$A$6,'Incident Data Dump'!$H:$H,'IT FEED'!$B6,'Incident Data Dump'!$Q:$Q,'IT FEED'!AH$2)</f>
        <v>0</v>
      </c>
      <c r="AI6" s="18">
        <f>SUBTOTAL(9,AF6:AH6)</f>
        <v>2</v>
      </c>
      <c r="AJ6" s="15">
        <f t="shared" ref="AJ6:AJ14" si="1">SUBTOTAL(9,T6:AI6)</f>
        <v>7</v>
      </c>
    </row>
    <row r="7" spans="1:36" ht="15.75" thickBot="1" x14ac:dyDescent="0.3">
      <c r="A7" s="129"/>
      <c r="B7" s="12" t="s">
        <v>9</v>
      </c>
      <c r="C7" s="15">
        <f>COUNTIFS('Incident Data Dump'!$P:$P,'IT FEED'!$A$6,'Incident Data Dump'!$H:$H,'IT FEED'!$B7,'Incident Data Dump'!$Q:$Q,'IT FEED'!C$2)</f>
        <v>0</v>
      </c>
      <c r="D7" s="15">
        <f>COUNTIFS('Incident Data Dump'!$P:$P,'IT FEED'!$A$6,'Incident Data Dump'!$H:$H,'IT FEED'!$B7,'Incident Data Dump'!$Q:$Q,'IT FEED'!D$2)</f>
        <v>1</v>
      </c>
      <c r="E7" s="15">
        <f>COUNTIFS('Incident Data Dump'!$P:$P,'IT FEED'!$A$6,'Incident Data Dump'!$H:$H,'IT FEED'!$B7,'Incident Data Dump'!$Q:$Q,'IT FEED'!E$2)</f>
        <v>3</v>
      </c>
      <c r="F7" s="18">
        <f t="shared" ref="F7:F14" si="2">SUBTOTAL(9,C7:E7)</f>
        <v>4</v>
      </c>
      <c r="G7" s="15">
        <f>COUNTIFS('Incident Data Dump'!$P:$P,'IT FEED'!$A$6,'Incident Data Dump'!$H:$H,'IT FEED'!$B7,'Incident Data Dump'!$Q:$Q,'IT FEED'!G$2)</f>
        <v>1</v>
      </c>
      <c r="H7" s="15">
        <f>COUNTIFS('Incident Data Dump'!$P:$P,'IT FEED'!$A$6,'Incident Data Dump'!$H:$H,'IT FEED'!$B7,'Incident Data Dump'!$Q:$Q,'IT FEED'!H$2)</f>
        <v>2</v>
      </c>
      <c r="I7" s="15">
        <f>COUNTIFS('Incident Data Dump'!$P:$P,'IT FEED'!$A$6,'Incident Data Dump'!$H:$H,'IT FEED'!$B7,'Incident Data Dump'!$Q:$Q,'IT FEED'!I$2)</f>
        <v>0</v>
      </c>
      <c r="J7" s="18">
        <f t="shared" ref="J7:J14" si="3">SUBTOTAL(9,G7:I7)</f>
        <v>3</v>
      </c>
      <c r="K7" s="15">
        <f>COUNTIFS('Incident Data Dump'!$P:$P,'IT FEED'!$A$6,'Incident Data Dump'!$H:$H,'IT FEED'!$B7,'Incident Data Dump'!$Q:$Q,'IT FEED'!K$2)</f>
        <v>2</v>
      </c>
      <c r="L7" s="15">
        <f>COUNTIFS('Incident Data Dump'!$P:$P,'IT FEED'!$A$6,'Incident Data Dump'!$H:$H,'IT FEED'!$B7,'Incident Data Dump'!$Q:$Q,'IT FEED'!L$2)</f>
        <v>1</v>
      </c>
      <c r="M7" s="15">
        <f>COUNTIFS('Incident Data Dump'!$P:$P,'IT FEED'!$A$6,'Incident Data Dump'!$H:$H,'IT FEED'!$B7,'Incident Data Dump'!$Q:$Q,'IT FEED'!M$2)</f>
        <v>0</v>
      </c>
      <c r="N7" s="18">
        <f t="shared" ref="N7:N14" si="4">SUBTOTAL(9,K7:M7)</f>
        <v>3</v>
      </c>
      <c r="O7" s="15">
        <f>COUNTIFS('Incident Data Dump'!$P:$P,'IT FEED'!$A$6,'Incident Data Dump'!$H:$H,'IT FEED'!$B7,'Incident Data Dump'!$Q:$Q,'IT FEED'!O$2)</f>
        <v>2</v>
      </c>
      <c r="P7" s="15">
        <f>COUNTIFS('Incident Data Dump'!$P:$P,'IT FEED'!$A$6,'Incident Data Dump'!$H:$H,'IT FEED'!$B7,'Incident Data Dump'!$Q:$Q,'IT FEED'!P$2)</f>
        <v>0</v>
      </c>
      <c r="Q7" s="15">
        <f>COUNTIFS('Incident Data Dump'!$P:$P,'IT FEED'!$A$6,'Incident Data Dump'!$H:$H,'IT FEED'!$B7,'Incident Data Dump'!$Q:$Q,'IT FEED'!Q$2)</f>
        <v>2</v>
      </c>
      <c r="R7" s="18">
        <f t="shared" ref="R7:R14" si="5">SUBTOTAL(9,O7:Q7)</f>
        <v>4</v>
      </c>
      <c r="S7" s="18">
        <f t="shared" si="0"/>
        <v>14</v>
      </c>
      <c r="T7" s="15">
        <f>COUNTIFS('Incident Data Dump'!$P:$P,'IT FEED'!$A$6,'Incident Data Dump'!$H:$H,'IT FEED'!$B7,'Incident Data Dump'!$Q:$Q,'IT FEED'!T$2)</f>
        <v>0</v>
      </c>
      <c r="U7" s="15">
        <f>COUNTIFS('Incident Data Dump'!$P:$P,'IT FEED'!$A$6,'Incident Data Dump'!$H:$H,'IT FEED'!$B7,'Incident Data Dump'!$Q:$Q,'IT FEED'!U$2)</f>
        <v>5</v>
      </c>
      <c r="V7" s="15">
        <f>COUNTIFS('Incident Data Dump'!$P:$P,'IT FEED'!$A$6,'Incident Data Dump'!$H:$H,'IT FEED'!$B7,'Incident Data Dump'!$Q:$Q,'IT FEED'!V$2)</f>
        <v>0</v>
      </c>
      <c r="W7" s="18">
        <f t="shared" ref="W7:W14" si="6">SUBTOTAL(9,T7:V7)</f>
        <v>5</v>
      </c>
      <c r="X7" s="15">
        <f>COUNTIFS('Incident Data Dump'!$P:$P,'IT FEED'!$A$6,'Incident Data Dump'!$H:$H,'IT FEED'!$B7,'Incident Data Dump'!$Q:$Q,'IT FEED'!X$2)</f>
        <v>1</v>
      </c>
      <c r="Y7" s="15">
        <f>COUNTIFS('Incident Data Dump'!$P:$P,'IT FEED'!$A$6,'Incident Data Dump'!$H:$H,'IT FEED'!$B7,'Incident Data Dump'!$Q:$Q,'IT FEED'!Y$2)</f>
        <v>3</v>
      </c>
      <c r="Z7" s="15">
        <f>COUNTIFS('Incident Data Dump'!$P:$P,'IT FEED'!$A$6,'Incident Data Dump'!$H:$H,'IT FEED'!$B7,'Incident Data Dump'!$Q:$Q,'IT FEED'!Z$2)</f>
        <v>0</v>
      </c>
      <c r="AA7" s="18">
        <f t="shared" ref="AA7:AA14" si="7">SUBTOTAL(9,X7:Z7)</f>
        <v>4</v>
      </c>
      <c r="AB7" s="15">
        <f>COUNTIFS('Incident Data Dump'!$P:$P,'IT FEED'!$A$6,'Incident Data Dump'!$H:$H,'IT FEED'!$B7,'Incident Data Dump'!$Q:$Q,'IT FEED'!AB$2)</f>
        <v>3</v>
      </c>
      <c r="AC7" s="15">
        <f>COUNTIFS('Incident Data Dump'!$P:$P,'IT FEED'!$A$6,'Incident Data Dump'!$H:$H,'IT FEED'!$B7,'Incident Data Dump'!$Q:$Q,'IT FEED'!AC$2)</f>
        <v>3</v>
      </c>
      <c r="AD7" s="15">
        <f>COUNTIFS('Incident Data Dump'!$P:$P,'IT FEED'!$A$6,'Incident Data Dump'!$H:$H,'IT FEED'!$B7,'Incident Data Dump'!$Q:$Q,'IT FEED'!AD$2)</f>
        <v>1</v>
      </c>
      <c r="AE7" s="18">
        <f t="shared" ref="AE7:AE14" si="8">SUBTOTAL(9,AB7:AD7)</f>
        <v>7</v>
      </c>
      <c r="AF7" s="15">
        <f>COUNTIFS('Incident Data Dump'!$P:$P,'IT FEED'!$A$6,'Incident Data Dump'!$H:$H,'IT FEED'!$B7,'Incident Data Dump'!$Q:$Q,'IT FEED'!AF$2)</f>
        <v>4</v>
      </c>
      <c r="AG7" s="15">
        <f>COUNTIFS('Incident Data Dump'!$P:$P,'IT FEED'!$A$6,'Incident Data Dump'!$H:$H,'IT FEED'!$B7,'Incident Data Dump'!$Q:$Q,'IT FEED'!AG$2)</f>
        <v>2</v>
      </c>
      <c r="AH7" s="15">
        <f>COUNTIFS('Incident Data Dump'!$P:$P,'IT FEED'!$A$6,'Incident Data Dump'!$H:$H,'IT FEED'!$B7,'Incident Data Dump'!$Q:$Q,'IT FEED'!AH$2)</f>
        <v>0</v>
      </c>
      <c r="AI7" s="18">
        <f t="shared" ref="AI7:AI14" si="9">SUBTOTAL(9,AF7:AH7)</f>
        <v>6</v>
      </c>
      <c r="AJ7" s="15">
        <f t="shared" si="1"/>
        <v>22</v>
      </c>
    </row>
    <row r="8" spans="1:36" ht="15.75" thickBot="1" x14ac:dyDescent="0.3">
      <c r="A8" s="129"/>
      <c r="B8" s="13" t="s">
        <v>18</v>
      </c>
      <c r="C8" s="16">
        <f>COUNTIFS('Incident Data Dump'!$P:$P,'IT FEED'!$A$6,'Incident Data Dump'!$H:$H,'IT FEED'!$B8,'Incident Data Dump'!$Q:$Q,'IT FEED'!C$2)</f>
        <v>0</v>
      </c>
      <c r="D8" s="16">
        <f>COUNTIFS('Incident Data Dump'!$P:$P,'IT FEED'!$A$6,'Incident Data Dump'!$H:$H,'IT FEED'!$B8,'Incident Data Dump'!$Q:$Q,'IT FEED'!D$2)</f>
        <v>0</v>
      </c>
      <c r="E8" s="16">
        <f>COUNTIFS('Incident Data Dump'!$P:$P,'IT FEED'!$A$6,'Incident Data Dump'!$H:$H,'IT FEED'!$B8,'Incident Data Dump'!$Q:$Q,'IT FEED'!E$2)</f>
        <v>0</v>
      </c>
      <c r="F8" s="19">
        <f t="shared" si="2"/>
        <v>0</v>
      </c>
      <c r="G8" s="16">
        <f>COUNTIFS('Incident Data Dump'!$P:$P,'IT FEED'!$A$6,'Incident Data Dump'!$H:$H,'IT FEED'!$B8,'Incident Data Dump'!$Q:$Q,'IT FEED'!G$2)</f>
        <v>0</v>
      </c>
      <c r="H8" s="16">
        <f>COUNTIFS('Incident Data Dump'!$P:$P,'IT FEED'!$A$6,'Incident Data Dump'!$H:$H,'IT FEED'!$B8,'Incident Data Dump'!$Q:$Q,'IT FEED'!H$2)</f>
        <v>0</v>
      </c>
      <c r="I8" s="16">
        <f>COUNTIFS('Incident Data Dump'!$P:$P,'IT FEED'!$A$6,'Incident Data Dump'!$H:$H,'IT FEED'!$B8,'Incident Data Dump'!$Q:$Q,'IT FEED'!I$2)</f>
        <v>0</v>
      </c>
      <c r="J8" s="19">
        <f t="shared" si="3"/>
        <v>0</v>
      </c>
      <c r="K8" s="16">
        <f>COUNTIFS('Incident Data Dump'!$P:$P,'IT FEED'!$A$6,'Incident Data Dump'!$H:$H,'IT FEED'!$B8,'Incident Data Dump'!$Q:$Q,'IT FEED'!K$2)</f>
        <v>2</v>
      </c>
      <c r="L8" s="16">
        <f>COUNTIFS('Incident Data Dump'!$P:$P,'IT FEED'!$A$6,'Incident Data Dump'!$H:$H,'IT FEED'!$B8,'Incident Data Dump'!$Q:$Q,'IT FEED'!L$2)</f>
        <v>6</v>
      </c>
      <c r="M8" s="16">
        <f>COUNTIFS('Incident Data Dump'!$P:$P,'IT FEED'!$A$6,'Incident Data Dump'!$H:$H,'IT FEED'!$B8,'Incident Data Dump'!$Q:$Q,'IT FEED'!M$2)</f>
        <v>1</v>
      </c>
      <c r="N8" s="19">
        <f t="shared" si="4"/>
        <v>9</v>
      </c>
      <c r="O8" s="16">
        <f>COUNTIFS('Incident Data Dump'!$P:$P,'IT FEED'!$A$6,'Incident Data Dump'!$H:$H,'IT FEED'!$B8,'Incident Data Dump'!$Q:$Q,'IT FEED'!O$2)</f>
        <v>0</v>
      </c>
      <c r="P8" s="16">
        <f>COUNTIFS('Incident Data Dump'!$P:$P,'IT FEED'!$A$6,'Incident Data Dump'!$H:$H,'IT FEED'!$B8,'Incident Data Dump'!$Q:$Q,'IT FEED'!P$2)</f>
        <v>5</v>
      </c>
      <c r="Q8" s="16">
        <f>COUNTIFS('Incident Data Dump'!$P:$P,'IT FEED'!$A$6,'Incident Data Dump'!$H:$H,'IT FEED'!$B8,'Incident Data Dump'!$Q:$Q,'IT FEED'!Q$2)</f>
        <v>4</v>
      </c>
      <c r="R8" s="19">
        <f t="shared" si="5"/>
        <v>9</v>
      </c>
      <c r="S8" s="19">
        <f t="shared" si="0"/>
        <v>18</v>
      </c>
      <c r="T8" s="16">
        <f>COUNTIFS('Incident Data Dump'!$P:$P,'IT FEED'!$A$6,'Incident Data Dump'!$H:$H,'IT FEED'!$B8,'Incident Data Dump'!$Q:$Q,'IT FEED'!T$2)</f>
        <v>3</v>
      </c>
      <c r="U8" s="16">
        <f>COUNTIFS('Incident Data Dump'!$P:$P,'IT FEED'!$A$6,'Incident Data Dump'!$H:$H,'IT FEED'!$B8,'Incident Data Dump'!$Q:$Q,'IT FEED'!U$2)</f>
        <v>6</v>
      </c>
      <c r="V8" s="16">
        <f>COUNTIFS('Incident Data Dump'!$P:$P,'IT FEED'!$A$6,'Incident Data Dump'!$H:$H,'IT FEED'!$B8,'Incident Data Dump'!$Q:$Q,'IT FEED'!V$2)</f>
        <v>0</v>
      </c>
      <c r="W8" s="19">
        <f t="shared" si="6"/>
        <v>9</v>
      </c>
      <c r="X8" s="16">
        <f>COUNTIFS('Incident Data Dump'!$P:$P,'IT FEED'!$A$6,'Incident Data Dump'!$H:$H,'IT FEED'!$B8,'Incident Data Dump'!$Q:$Q,'IT FEED'!X$2)</f>
        <v>4</v>
      </c>
      <c r="Y8" s="16">
        <f>COUNTIFS('Incident Data Dump'!$P:$P,'IT FEED'!$A$6,'Incident Data Dump'!$H:$H,'IT FEED'!$B8,'Incident Data Dump'!$Q:$Q,'IT FEED'!Y$2)</f>
        <v>5</v>
      </c>
      <c r="Z8" s="16">
        <f>COUNTIFS('Incident Data Dump'!$P:$P,'IT FEED'!$A$6,'Incident Data Dump'!$H:$H,'IT FEED'!$B8,'Incident Data Dump'!$Q:$Q,'IT FEED'!Z$2)</f>
        <v>6</v>
      </c>
      <c r="AA8" s="19">
        <f t="shared" si="7"/>
        <v>15</v>
      </c>
      <c r="AB8" s="16">
        <f>COUNTIFS('Incident Data Dump'!$P:$P,'IT FEED'!$A$6,'Incident Data Dump'!$H:$H,'IT FEED'!$B8,'Incident Data Dump'!$Q:$Q,'IT FEED'!AB$2)</f>
        <v>3</v>
      </c>
      <c r="AC8" s="16">
        <f>COUNTIFS('Incident Data Dump'!$P:$P,'IT FEED'!$A$6,'Incident Data Dump'!$H:$H,'IT FEED'!$B8,'Incident Data Dump'!$Q:$Q,'IT FEED'!AC$2)</f>
        <v>2</v>
      </c>
      <c r="AD8" s="16">
        <f>COUNTIFS('Incident Data Dump'!$P:$P,'IT FEED'!$A$6,'Incident Data Dump'!$H:$H,'IT FEED'!$B8,'Incident Data Dump'!$Q:$Q,'IT FEED'!AD$2)</f>
        <v>5</v>
      </c>
      <c r="AE8" s="19">
        <f t="shared" si="8"/>
        <v>10</v>
      </c>
      <c r="AF8" s="16">
        <f>COUNTIFS('Incident Data Dump'!$P:$P,'IT FEED'!$A$6,'Incident Data Dump'!$H:$H,'IT FEED'!$B8,'Incident Data Dump'!$Q:$Q,'IT FEED'!AF$2)</f>
        <v>0</v>
      </c>
      <c r="AG8" s="16">
        <f>COUNTIFS('Incident Data Dump'!$P:$P,'IT FEED'!$A$6,'Incident Data Dump'!$H:$H,'IT FEED'!$B8,'Incident Data Dump'!$Q:$Q,'IT FEED'!AG$2)</f>
        <v>1</v>
      </c>
      <c r="AH8" s="16">
        <f>COUNTIFS('Incident Data Dump'!$P:$P,'IT FEED'!$A$6,'Incident Data Dump'!$H:$H,'IT FEED'!$B8,'Incident Data Dump'!$Q:$Q,'IT FEED'!AH$2)</f>
        <v>0</v>
      </c>
      <c r="AI8" s="19">
        <f t="shared" si="9"/>
        <v>1</v>
      </c>
      <c r="AJ8" s="16">
        <f t="shared" si="1"/>
        <v>35</v>
      </c>
    </row>
    <row r="9" spans="1:36" ht="15.75" thickBot="1" x14ac:dyDescent="0.3">
      <c r="A9" s="129" t="s">
        <v>264</v>
      </c>
      <c r="B9" s="11" t="s">
        <v>13</v>
      </c>
      <c r="C9" s="14">
        <f>COUNTIFS('Incident Data Dump'!$P:$P,'IT FEED'!$A$9,'Incident Data Dump'!$H:$H,'IT FEED'!$B9,'Incident Data Dump'!$Q:$Q,'IT FEED'!C$2)</f>
        <v>0</v>
      </c>
      <c r="D9" s="14">
        <f>COUNTIFS('Incident Data Dump'!$P:$P,'IT FEED'!$A$9,'Incident Data Dump'!$H:$H,'IT FEED'!$B9,'Incident Data Dump'!$Q:$Q,'IT FEED'!D$2)</f>
        <v>4</v>
      </c>
      <c r="E9" s="14">
        <f>COUNTIFS('Incident Data Dump'!$P:$P,'IT FEED'!$A$9,'Incident Data Dump'!$H:$H,'IT FEED'!$B9,'Incident Data Dump'!$Q:$Q,'IT FEED'!E$2)</f>
        <v>3</v>
      </c>
      <c r="F9" s="17">
        <f t="shared" si="2"/>
        <v>7</v>
      </c>
      <c r="G9" s="14">
        <f>COUNTIFS('Incident Data Dump'!$P:$P,'IT FEED'!$A$9,'Incident Data Dump'!$H:$H,'IT FEED'!$B9,'Incident Data Dump'!$Q:$Q,'IT FEED'!G$2)</f>
        <v>0</v>
      </c>
      <c r="H9" s="14">
        <f>COUNTIFS('Incident Data Dump'!$P:$P,'IT FEED'!$A$9,'Incident Data Dump'!$H:$H,'IT FEED'!$B9,'Incident Data Dump'!$Q:$Q,'IT FEED'!H$2)</f>
        <v>2</v>
      </c>
      <c r="I9" s="14">
        <f>COUNTIFS('Incident Data Dump'!$P:$P,'IT FEED'!$A$9,'Incident Data Dump'!$H:$H,'IT FEED'!$B9,'Incident Data Dump'!$Q:$Q,'IT FEED'!I$2)</f>
        <v>2</v>
      </c>
      <c r="J9" s="17">
        <f t="shared" si="3"/>
        <v>4</v>
      </c>
      <c r="K9" s="14">
        <f>COUNTIFS('Incident Data Dump'!$P:$P,'IT FEED'!$A$9,'Incident Data Dump'!$H:$H,'IT FEED'!$B9,'Incident Data Dump'!$Q:$Q,'IT FEED'!K$2)</f>
        <v>0</v>
      </c>
      <c r="L9" s="14">
        <f>COUNTIFS('Incident Data Dump'!$P:$P,'IT FEED'!$A$9,'Incident Data Dump'!$H:$H,'IT FEED'!$B9,'Incident Data Dump'!$Q:$Q,'IT FEED'!L$2)</f>
        <v>0</v>
      </c>
      <c r="M9" s="14">
        <f>COUNTIFS('Incident Data Dump'!$P:$P,'IT FEED'!$A$9,'Incident Data Dump'!$H:$H,'IT FEED'!$B9,'Incident Data Dump'!$Q:$Q,'IT FEED'!M$2)</f>
        <v>0</v>
      </c>
      <c r="N9" s="17">
        <f t="shared" si="4"/>
        <v>0</v>
      </c>
      <c r="O9" s="14">
        <f>COUNTIFS('Incident Data Dump'!$P:$P,'IT FEED'!$A$9,'Incident Data Dump'!$H:$H,'IT FEED'!$B9,'Incident Data Dump'!$Q:$Q,'IT FEED'!O$2)</f>
        <v>0</v>
      </c>
      <c r="P9" s="14">
        <f>COUNTIFS('Incident Data Dump'!$P:$P,'IT FEED'!$A$9,'Incident Data Dump'!$H:$H,'IT FEED'!$B9,'Incident Data Dump'!$Q:$Q,'IT FEED'!P$2)</f>
        <v>1</v>
      </c>
      <c r="Q9" s="14">
        <f>COUNTIFS('Incident Data Dump'!$P:$P,'IT FEED'!$A$9,'Incident Data Dump'!$H:$H,'IT FEED'!$B9,'Incident Data Dump'!$Q:$Q,'IT FEED'!Q$2)</f>
        <v>1</v>
      </c>
      <c r="R9" s="17">
        <f t="shared" si="5"/>
        <v>2</v>
      </c>
      <c r="S9" s="17">
        <f t="shared" si="0"/>
        <v>13</v>
      </c>
      <c r="T9" s="14">
        <f>COUNTIFS('Incident Data Dump'!$P:$P,'IT FEED'!$A$9,'Incident Data Dump'!$H:$H,'IT FEED'!$B9,'Incident Data Dump'!$Q:$Q,'IT FEED'!T$2)</f>
        <v>0</v>
      </c>
      <c r="U9" s="14">
        <f>COUNTIFS('Incident Data Dump'!$P:$P,'IT FEED'!$A$9,'Incident Data Dump'!$H:$H,'IT FEED'!$B9,'Incident Data Dump'!$Q:$Q,'IT FEED'!U$2)</f>
        <v>0</v>
      </c>
      <c r="V9" s="14">
        <f>COUNTIFS('Incident Data Dump'!$P:$P,'IT FEED'!$A$9,'Incident Data Dump'!$H:$H,'IT FEED'!$B9,'Incident Data Dump'!$Q:$Q,'IT FEED'!V$2)</f>
        <v>0</v>
      </c>
      <c r="W9" s="17">
        <f t="shared" si="6"/>
        <v>0</v>
      </c>
      <c r="X9" s="14">
        <f>COUNTIFS('Incident Data Dump'!$P:$P,'IT FEED'!$A$9,'Incident Data Dump'!$H:$H,'IT FEED'!$B9,'Incident Data Dump'!$Q:$Q,'IT FEED'!X$2)</f>
        <v>0</v>
      </c>
      <c r="Y9" s="14">
        <f>COUNTIFS('Incident Data Dump'!$P:$P,'IT FEED'!$A$9,'Incident Data Dump'!$H:$H,'IT FEED'!$B9,'Incident Data Dump'!$Q:$Q,'IT FEED'!Y$2)</f>
        <v>0</v>
      </c>
      <c r="Z9" s="14">
        <f>COUNTIFS('Incident Data Dump'!$P:$P,'IT FEED'!$A$9,'Incident Data Dump'!$H:$H,'IT FEED'!$B9,'Incident Data Dump'!$Q:$Q,'IT FEED'!Z$2)</f>
        <v>0</v>
      </c>
      <c r="AA9" s="17">
        <f t="shared" si="7"/>
        <v>0</v>
      </c>
      <c r="AB9" s="14">
        <f>COUNTIFS('Incident Data Dump'!$P:$P,'IT FEED'!$A$9,'Incident Data Dump'!$H:$H,'IT FEED'!$B9,'Incident Data Dump'!$Q:$Q,'IT FEED'!AB$2)</f>
        <v>0</v>
      </c>
      <c r="AC9" s="14">
        <f>COUNTIFS('Incident Data Dump'!$P:$P,'IT FEED'!$A$9,'Incident Data Dump'!$H:$H,'IT FEED'!$B9,'Incident Data Dump'!$Q:$Q,'IT FEED'!AC$2)</f>
        <v>0</v>
      </c>
      <c r="AD9" s="14">
        <f>COUNTIFS('Incident Data Dump'!$P:$P,'IT FEED'!$A$9,'Incident Data Dump'!$H:$H,'IT FEED'!$B9,'Incident Data Dump'!$Q:$Q,'IT FEED'!AD$2)</f>
        <v>0</v>
      </c>
      <c r="AE9" s="17">
        <f t="shared" si="8"/>
        <v>0</v>
      </c>
      <c r="AF9" s="14">
        <f>COUNTIFS('Incident Data Dump'!$P:$P,'IT FEED'!$A$9,'Incident Data Dump'!$H:$H,'IT FEED'!$B9,'Incident Data Dump'!$Q:$Q,'IT FEED'!AF$2)</f>
        <v>0</v>
      </c>
      <c r="AG9" s="14">
        <f>COUNTIFS('Incident Data Dump'!$P:$P,'IT FEED'!$A$9,'Incident Data Dump'!$H:$H,'IT FEED'!$B9,'Incident Data Dump'!$Q:$Q,'IT FEED'!AG$2)</f>
        <v>0</v>
      </c>
      <c r="AH9" s="14">
        <f>COUNTIFS('Incident Data Dump'!$P:$P,'IT FEED'!$A$9,'Incident Data Dump'!$H:$H,'IT FEED'!$B9,'Incident Data Dump'!$Q:$Q,'IT FEED'!AH$2)</f>
        <v>0</v>
      </c>
      <c r="AI9" s="17">
        <f t="shared" si="9"/>
        <v>0</v>
      </c>
      <c r="AJ9" s="14">
        <f t="shared" si="1"/>
        <v>0</v>
      </c>
    </row>
    <row r="10" spans="1:36" ht="15.75" thickBot="1" x14ac:dyDescent="0.3">
      <c r="A10" s="129"/>
      <c r="B10" s="12" t="s">
        <v>9</v>
      </c>
      <c r="C10" s="15">
        <f>COUNTIFS('Incident Data Dump'!$P:$P,'IT FEED'!$A$9,'Incident Data Dump'!$H:$H,'IT FEED'!$B10,'Incident Data Dump'!$Q:$Q,'IT FEED'!C$2)</f>
        <v>4</v>
      </c>
      <c r="D10" s="15">
        <f>COUNTIFS('Incident Data Dump'!$P:$P,'IT FEED'!$A$9,'Incident Data Dump'!$H:$H,'IT FEED'!$B10,'Incident Data Dump'!$Q:$Q,'IT FEED'!D$2)</f>
        <v>5</v>
      </c>
      <c r="E10" s="15">
        <f>COUNTIFS('Incident Data Dump'!$P:$P,'IT FEED'!$A$9,'Incident Data Dump'!$H:$H,'IT FEED'!$B10,'Incident Data Dump'!$Q:$Q,'IT FEED'!E$2)</f>
        <v>4</v>
      </c>
      <c r="F10" s="18">
        <f t="shared" si="2"/>
        <v>13</v>
      </c>
      <c r="G10" s="15">
        <f>COUNTIFS('Incident Data Dump'!$P:$P,'IT FEED'!$A$9,'Incident Data Dump'!$H:$H,'IT FEED'!$B10,'Incident Data Dump'!$Q:$Q,'IT FEED'!G$2)</f>
        <v>8</v>
      </c>
      <c r="H10" s="15">
        <f>COUNTIFS('Incident Data Dump'!$P:$P,'IT FEED'!$A$9,'Incident Data Dump'!$H:$H,'IT FEED'!$B10,'Incident Data Dump'!$Q:$Q,'IT FEED'!H$2)</f>
        <v>3</v>
      </c>
      <c r="I10" s="15">
        <f>COUNTIFS('Incident Data Dump'!$P:$P,'IT FEED'!$A$9,'Incident Data Dump'!$H:$H,'IT FEED'!$B10,'Incident Data Dump'!$Q:$Q,'IT FEED'!I$2)</f>
        <v>3</v>
      </c>
      <c r="J10" s="18">
        <f t="shared" si="3"/>
        <v>14</v>
      </c>
      <c r="K10" s="15">
        <f>COUNTIFS('Incident Data Dump'!$P:$P,'IT FEED'!$A$9,'Incident Data Dump'!$H:$H,'IT FEED'!$B10,'Incident Data Dump'!$Q:$Q,'IT FEED'!K$2)</f>
        <v>0</v>
      </c>
      <c r="L10" s="15">
        <f>COUNTIFS('Incident Data Dump'!$P:$P,'IT FEED'!$A$9,'Incident Data Dump'!$H:$H,'IT FEED'!$B10,'Incident Data Dump'!$Q:$Q,'IT FEED'!L$2)</f>
        <v>0</v>
      </c>
      <c r="M10" s="15">
        <f>COUNTIFS('Incident Data Dump'!$P:$P,'IT FEED'!$A$9,'Incident Data Dump'!$H:$H,'IT FEED'!$B10,'Incident Data Dump'!$Q:$Q,'IT FEED'!M$2)</f>
        <v>0</v>
      </c>
      <c r="N10" s="18">
        <f t="shared" si="4"/>
        <v>0</v>
      </c>
      <c r="O10" s="15">
        <f>COUNTIFS('Incident Data Dump'!$P:$P,'IT FEED'!$A$9,'Incident Data Dump'!$H:$H,'IT FEED'!$B10,'Incident Data Dump'!$Q:$Q,'IT FEED'!O$2)</f>
        <v>0</v>
      </c>
      <c r="P10" s="15">
        <f>COUNTIFS('Incident Data Dump'!$P:$P,'IT FEED'!$A$9,'Incident Data Dump'!$H:$H,'IT FEED'!$B10,'Incident Data Dump'!$Q:$Q,'IT FEED'!P$2)</f>
        <v>0</v>
      </c>
      <c r="Q10" s="15">
        <f>COUNTIFS('Incident Data Dump'!$P:$P,'IT FEED'!$A$9,'Incident Data Dump'!$H:$H,'IT FEED'!$B10,'Incident Data Dump'!$Q:$Q,'IT FEED'!Q$2)</f>
        <v>0</v>
      </c>
      <c r="R10" s="18">
        <f t="shared" si="5"/>
        <v>0</v>
      </c>
      <c r="S10" s="18">
        <f t="shared" si="0"/>
        <v>27</v>
      </c>
      <c r="T10" s="15">
        <f>COUNTIFS('Incident Data Dump'!$P:$P,'IT FEED'!$A$9,'Incident Data Dump'!$H:$H,'IT FEED'!$B10,'Incident Data Dump'!$Q:$Q,'IT FEED'!T$2)</f>
        <v>1</v>
      </c>
      <c r="U10" s="15">
        <f>COUNTIFS('Incident Data Dump'!$P:$P,'IT FEED'!$A$9,'Incident Data Dump'!$H:$H,'IT FEED'!$B10,'Incident Data Dump'!$Q:$Q,'IT FEED'!U$2)</f>
        <v>1</v>
      </c>
      <c r="V10" s="15">
        <f>COUNTIFS('Incident Data Dump'!$P:$P,'IT FEED'!$A$9,'Incident Data Dump'!$H:$H,'IT FEED'!$B10,'Incident Data Dump'!$Q:$Q,'IT FEED'!V$2)</f>
        <v>0</v>
      </c>
      <c r="W10" s="18">
        <f t="shared" si="6"/>
        <v>2</v>
      </c>
      <c r="X10" s="15">
        <f>COUNTIFS('Incident Data Dump'!$P:$P,'IT FEED'!$A$9,'Incident Data Dump'!$H:$H,'IT FEED'!$B10,'Incident Data Dump'!$Q:$Q,'IT FEED'!X$2)</f>
        <v>0</v>
      </c>
      <c r="Y10" s="15">
        <f>COUNTIFS('Incident Data Dump'!$P:$P,'IT FEED'!$A$9,'Incident Data Dump'!$H:$H,'IT FEED'!$B10,'Incident Data Dump'!$Q:$Q,'IT FEED'!Y$2)</f>
        <v>1</v>
      </c>
      <c r="Z10" s="15">
        <f>COUNTIFS('Incident Data Dump'!$P:$P,'IT FEED'!$A$9,'Incident Data Dump'!$H:$H,'IT FEED'!$B10,'Incident Data Dump'!$Q:$Q,'IT FEED'!Z$2)</f>
        <v>0</v>
      </c>
      <c r="AA10" s="18">
        <f t="shared" si="7"/>
        <v>1</v>
      </c>
      <c r="AB10" s="15">
        <f>COUNTIFS('Incident Data Dump'!$P:$P,'IT FEED'!$A$9,'Incident Data Dump'!$H:$H,'IT FEED'!$B10,'Incident Data Dump'!$Q:$Q,'IT FEED'!AB$2)</f>
        <v>1</v>
      </c>
      <c r="AC10" s="15">
        <f>COUNTIFS('Incident Data Dump'!$P:$P,'IT FEED'!$A$9,'Incident Data Dump'!$H:$H,'IT FEED'!$B10,'Incident Data Dump'!$Q:$Q,'IT FEED'!AC$2)</f>
        <v>0</v>
      </c>
      <c r="AD10" s="15">
        <f>COUNTIFS('Incident Data Dump'!$P:$P,'IT FEED'!$A$9,'Incident Data Dump'!$H:$H,'IT FEED'!$B10,'Incident Data Dump'!$Q:$Q,'IT FEED'!AD$2)</f>
        <v>0</v>
      </c>
      <c r="AE10" s="18">
        <f t="shared" si="8"/>
        <v>1</v>
      </c>
      <c r="AF10" s="15">
        <f>COUNTIFS('Incident Data Dump'!$P:$P,'IT FEED'!$A$9,'Incident Data Dump'!$H:$H,'IT FEED'!$B10,'Incident Data Dump'!$Q:$Q,'IT FEED'!AF$2)</f>
        <v>0</v>
      </c>
      <c r="AG10" s="15">
        <f>COUNTIFS('Incident Data Dump'!$P:$P,'IT FEED'!$A$9,'Incident Data Dump'!$H:$H,'IT FEED'!$B10,'Incident Data Dump'!$Q:$Q,'IT FEED'!AG$2)</f>
        <v>0</v>
      </c>
      <c r="AH10" s="15">
        <f>COUNTIFS('Incident Data Dump'!$P:$P,'IT FEED'!$A$9,'Incident Data Dump'!$H:$H,'IT FEED'!$B10,'Incident Data Dump'!$Q:$Q,'IT FEED'!AH$2)</f>
        <v>0</v>
      </c>
      <c r="AI10" s="18">
        <f t="shared" si="9"/>
        <v>0</v>
      </c>
      <c r="AJ10" s="15">
        <f t="shared" si="1"/>
        <v>4</v>
      </c>
    </row>
    <row r="11" spans="1:36" ht="15.75" thickBot="1" x14ac:dyDescent="0.3">
      <c r="A11" s="129"/>
      <c r="B11" s="13" t="s">
        <v>18</v>
      </c>
      <c r="C11" s="16">
        <f>COUNTIFS('Incident Data Dump'!$P:$P,'IT FEED'!$A$9,'Incident Data Dump'!$H:$H,'IT FEED'!$B11,'Incident Data Dump'!$Q:$Q,'IT FEED'!C$2)</f>
        <v>2</v>
      </c>
      <c r="D11" s="16">
        <f>COUNTIFS('Incident Data Dump'!$P:$P,'IT FEED'!$A$9,'Incident Data Dump'!$H:$H,'IT FEED'!$B11,'Incident Data Dump'!$Q:$Q,'IT FEED'!D$2)</f>
        <v>2</v>
      </c>
      <c r="E11" s="16">
        <f>COUNTIFS('Incident Data Dump'!$P:$P,'IT FEED'!$A$9,'Incident Data Dump'!$H:$H,'IT FEED'!$B11,'Incident Data Dump'!$Q:$Q,'IT FEED'!E$2)</f>
        <v>3</v>
      </c>
      <c r="F11" s="19">
        <f t="shared" si="2"/>
        <v>7</v>
      </c>
      <c r="G11" s="16">
        <f>COUNTIFS('Incident Data Dump'!$P:$P,'IT FEED'!$A$9,'Incident Data Dump'!$H:$H,'IT FEED'!$B11,'Incident Data Dump'!$Q:$Q,'IT FEED'!G$2)</f>
        <v>0</v>
      </c>
      <c r="H11" s="16">
        <f>COUNTIFS('Incident Data Dump'!$P:$P,'IT FEED'!$A$9,'Incident Data Dump'!$H:$H,'IT FEED'!$B11,'Incident Data Dump'!$Q:$Q,'IT FEED'!H$2)</f>
        <v>4</v>
      </c>
      <c r="I11" s="16">
        <f>COUNTIFS('Incident Data Dump'!$P:$P,'IT FEED'!$A$9,'Incident Data Dump'!$H:$H,'IT FEED'!$B11,'Incident Data Dump'!$Q:$Q,'IT FEED'!I$2)</f>
        <v>2</v>
      </c>
      <c r="J11" s="19">
        <f t="shared" si="3"/>
        <v>6</v>
      </c>
      <c r="K11" s="16">
        <f>COUNTIFS('Incident Data Dump'!$P:$P,'IT FEED'!$A$9,'Incident Data Dump'!$H:$H,'IT FEED'!$B11,'Incident Data Dump'!$Q:$Q,'IT FEED'!K$2)</f>
        <v>1</v>
      </c>
      <c r="L11" s="16">
        <f>COUNTIFS('Incident Data Dump'!$P:$P,'IT FEED'!$A$9,'Incident Data Dump'!$H:$H,'IT FEED'!$B11,'Incident Data Dump'!$Q:$Q,'IT FEED'!L$2)</f>
        <v>0</v>
      </c>
      <c r="M11" s="16">
        <f>COUNTIFS('Incident Data Dump'!$P:$P,'IT FEED'!$A$9,'Incident Data Dump'!$H:$H,'IT FEED'!$B11,'Incident Data Dump'!$Q:$Q,'IT FEED'!M$2)</f>
        <v>0</v>
      </c>
      <c r="N11" s="19">
        <f t="shared" si="4"/>
        <v>1</v>
      </c>
      <c r="O11" s="16">
        <f>COUNTIFS('Incident Data Dump'!$P:$P,'IT FEED'!$A$9,'Incident Data Dump'!$H:$H,'IT FEED'!$B11,'Incident Data Dump'!$Q:$Q,'IT FEED'!O$2)</f>
        <v>0</v>
      </c>
      <c r="P11" s="16">
        <f>COUNTIFS('Incident Data Dump'!$P:$P,'IT FEED'!$A$9,'Incident Data Dump'!$H:$H,'IT FEED'!$B11,'Incident Data Dump'!$Q:$Q,'IT FEED'!P$2)</f>
        <v>0</v>
      </c>
      <c r="Q11" s="16">
        <f>COUNTIFS('Incident Data Dump'!$P:$P,'IT FEED'!$A$9,'Incident Data Dump'!$H:$H,'IT FEED'!$B11,'Incident Data Dump'!$Q:$Q,'IT FEED'!Q$2)</f>
        <v>0</v>
      </c>
      <c r="R11" s="19">
        <f t="shared" si="5"/>
        <v>0</v>
      </c>
      <c r="S11" s="19">
        <f t="shared" si="0"/>
        <v>14</v>
      </c>
      <c r="T11" s="16">
        <f>COUNTIFS('Incident Data Dump'!$P:$P,'IT FEED'!$A$9,'Incident Data Dump'!$H:$H,'IT FEED'!$B11,'Incident Data Dump'!$Q:$Q,'IT FEED'!T$2)</f>
        <v>0</v>
      </c>
      <c r="U11" s="16">
        <f>COUNTIFS('Incident Data Dump'!$P:$P,'IT FEED'!$A$9,'Incident Data Dump'!$H:$H,'IT FEED'!$B11,'Incident Data Dump'!$Q:$Q,'IT FEED'!U$2)</f>
        <v>0</v>
      </c>
      <c r="V11" s="16">
        <f>COUNTIFS('Incident Data Dump'!$P:$P,'IT FEED'!$A$9,'Incident Data Dump'!$H:$H,'IT FEED'!$B11,'Incident Data Dump'!$Q:$Q,'IT FEED'!V$2)</f>
        <v>1</v>
      </c>
      <c r="W11" s="19">
        <f t="shared" si="6"/>
        <v>1</v>
      </c>
      <c r="X11" s="16">
        <f>COUNTIFS('Incident Data Dump'!$P:$P,'IT FEED'!$A$9,'Incident Data Dump'!$H:$H,'IT FEED'!$B11,'Incident Data Dump'!$Q:$Q,'IT FEED'!X$2)</f>
        <v>1</v>
      </c>
      <c r="Y11" s="16">
        <f>COUNTIFS('Incident Data Dump'!$P:$P,'IT FEED'!$A$9,'Incident Data Dump'!$H:$H,'IT FEED'!$B11,'Incident Data Dump'!$Q:$Q,'IT FEED'!Y$2)</f>
        <v>3</v>
      </c>
      <c r="Z11" s="16">
        <f>COUNTIFS('Incident Data Dump'!$P:$P,'IT FEED'!$A$9,'Incident Data Dump'!$H:$H,'IT FEED'!$B11,'Incident Data Dump'!$Q:$Q,'IT FEED'!Z$2)</f>
        <v>0</v>
      </c>
      <c r="AA11" s="19">
        <f t="shared" si="7"/>
        <v>4</v>
      </c>
      <c r="AB11" s="16">
        <f>COUNTIFS('Incident Data Dump'!$P:$P,'IT FEED'!$A$9,'Incident Data Dump'!$H:$H,'IT FEED'!$B11,'Incident Data Dump'!$Q:$Q,'IT FEED'!AB$2)</f>
        <v>1</v>
      </c>
      <c r="AC11" s="16">
        <f>COUNTIFS('Incident Data Dump'!$P:$P,'IT FEED'!$A$9,'Incident Data Dump'!$H:$H,'IT FEED'!$B11,'Incident Data Dump'!$Q:$Q,'IT FEED'!AC$2)</f>
        <v>1</v>
      </c>
      <c r="AD11" s="16">
        <f>COUNTIFS('Incident Data Dump'!$P:$P,'IT FEED'!$A$9,'Incident Data Dump'!$H:$H,'IT FEED'!$B11,'Incident Data Dump'!$Q:$Q,'IT FEED'!AD$2)</f>
        <v>0</v>
      </c>
      <c r="AE11" s="19">
        <f t="shared" si="8"/>
        <v>2</v>
      </c>
      <c r="AF11" s="16">
        <f>COUNTIFS('Incident Data Dump'!$P:$P,'IT FEED'!$A$9,'Incident Data Dump'!$H:$H,'IT FEED'!$B11,'Incident Data Dump'!$Q:$Q,'IT FEED'!AF$2)</f>
        <v>0</v>
      </c>
      <c r="AG11" s="16">
        <f>COUNTIFS('Incident Data Dump'!$P:$P,'IT FEED'!$A$9,'Incident Data Dump'!$H:$H,'IT FEED'!$B11,'Incident Data Dump'!$Q:$Q,'IT FEED'!AG$2)</f>
        <v>1</v>
      </c>
      <c r="AH11" s="16">
        <f>COUNTIFS('Incident Data Dump'!$P:$P,'IT FEED'!$A$9,'Incident Data Dump'!$H:$H,'IT FEED'!$B11,'Incident Data Dump'!$Q:$Q,'IT FEED'!AH$2)</f>
        <v>0</v>
      </c>
      <c r="AI11" s="19">
        <f t="shared" si="9"/>
        <v>1</v>
      </c>
      <c r="AJ11" s="16">
        <f t="shared" si="1"/>
        <v>8</v>
      </c>
    </row>
    <row r="12" spans="1:36" ht="15.75" thickBot="1" x14ac:dyDescent="0.3">
      <c r="A12" s="129" t="s">
        <v>265</v>
      </c>
      <c r="B12" s="11" t="s">
        <v>13</v>
      </c>
      <c r="C12" s="14">
        <f>COUNTIFS('Incident Data Dump'!$P:$P,'IT FEED'!$A$12,'Incident Data Dump'!$H:$H,'IT FEED'!$B12,'Incident Data Dump'!$Q:$Q,'IT FEED'!C$2)</f>
        <v>0</v>
      </c>
      <c r="D12" s="15">
        <f>COUNTIFS('Incident Data Dump'!$P:$P,'IT FEED'!$A$12,'Incident Data Dump'!$H:$H,'IT FEED'!$B12,'Incident Data Dump'!$Q:$Q,'IT FEED'!D$2)</f>
        <v>0</v>
      </c>
      <c r="E12" s="15">
        <f>COUNTIFS('Incident Data Dump'!$P:$P,'IT FEED'!$A$12,'Incident Data Dump'!$H:$H,'IT FEED'!$B12,'Incident Data Dump'!$Q:$Q,'IT FEED'!E$2)</f>
        <v>0</v>
      </c>
      <c r="F12" s="18">
        <f t="shared" si="2"/>
        <v>0</v>
      </c>
      <c r="G12" s="15">
        <f>COUNTIFS('Incident Data Dump'!$P:$P,'IT FEED'!$A$12,'Incident Data Dump'!$H:$H,'IT FEED'!$B12,'Incident Data Dump'!$Q:$Q,'IT FEED'!G$2)</f>
        <v>0</v>
      </c>
      <c r="H12" s="15">
        <f>COUNTIFS('Incident Data Dump'!$P:$P,'IT FEED'!$A$12,'Incident Data Dump'!$H:$H,'IT FEED'!$B12,'Incident Data Dump'!$Q:$Q,'IT FEED'!H$2)</f>
        <v>0</v>
      </c>
      <c r="I12" s="15">
        <f>COUNTIFS('Incident Data Dump'!$P:$P,'IT FEED'!$A$12,'Incident Data Dump'!$H:$H,'IT FEED'!$B12,'Incident Data Dump'!$Q:$Q,'IT FEED'!I$2)</f>
        <v>0</v>
      </c>
      <c r="J12" s="18">
        <f t="shared" si="3"/>
        <v>0</v>
      </c>
      <c r="K12" s="15">
        <f>COUNTIFS('Incident Data Dump'!$P:$P,'IT FEED'!$A$12,'Incident Data Dump'!$H:$H,'IT FEED'!$B12,'Incident Data Dump'!$Q:$Q,'IT FEED'!K$2)</f>
        <v>0</v>
      </c>
      <c r="L12" s="15">
        <f>COUNTIFS('Incident Data Dump'!$P:$P,'IT FEED'!$A$12,'Incident Data Dump'!$H:$H,'IT FEED'!$B12,'Incident Data Dump'!$Q:$Q,'IT FEED'!L$2)</f>
        <v>0</v>
      </c>
      <c r="M12" s="15">
        <f>COUNTIFS('Incident Data Dump'!$P:$P,'IT FEED'!$A$12,'Incident Data Dump'!$H:$H,'IT FEED'!$B12,'Incident Data Dump'!$Q:$Q,'IT FEED'!M$2)</f>
        <v>0</v>
      </c>
      <c r="N12" s="18">
        <f t="shared" si="4"/>
        <v>0</v>
      </c>
      <c r="O12" s="15">
        <f>COUNTIFS('Incident Data Dump'!$P:$P,'IT FEED'!$A$12,'Incident Data Dump'!$H:$H,'IT FEED'!$B12,'Incident Data Dump'!$Q:$Q,'IT FEED'!O$2)</f>
        <v>0</v>
      </c>
      <c r="P12" s="15">
        <f>COUNTIFS('Incident Data Dump'!$P:$P,'IT FEED'!$A$12,'Incident Data Dump'!$H:$H,'IT FEED'!$B12,'Incident Data Dump'!$Q:$Q,'IT FEED'!P$2)</f>
        <v>2</v>
      </c>
      <c r="Q12" s="15">
        <f>COUNTIFS('Incident Data Dump'!$P:$P,'IT FEED'!$A$12,'Incident Data Dump'!$H:$H,'IT FEED'!$B12,'Incident Data Dump'!$Q:$Q,'IT FEED'!Q$2)</f>
        <v>1</v>
      </c>
      <c r="R12" s="18">
        <f t="shared" si="5"/>
        <v>3</v>
      </c>
      <c r="S12" s="18">
        <f t="shared" si="0"/>
        <v>3</v>
      </c>
      <c r="T12" s="15">
        <f>COUNTIFS('Incident Data Dump'!$P:$P,'IT FEED'!$A$12,'Incident Data Dump'!$H:$H,'IT FEED'!$B12,'Incident Data Dump'!$Q:$Q,'IT FEED'!T$2)</f>
        <v>0</v>
      </c>
      <c r="U12" s="15">
        <f>COUNTIFS('Incident Data Dump'!$P:$P,'IT FEED'!$A$12,'Incident Data Dump'!$H:$H,'IT FEED'!$B12,'Incident Data Dump'!$Q:$Q,'IT FEED'!U$2)</f>
        <v>1</v>
      </c>
      <c r="V12" s="15">
        <f>COUNTIFS('Incident Data Dump'!$P:$P,'IT FEED'!$A$12,'Incident Data Dump'!$H:$H,'IT FEED'!$B12,'Incident Data Dump'!$Q:$Q,'IT FEED'!V$2)</f>
        <v>0</v>
      </c>
      <c r="W12" s="18">
        <f t="shared" si="6"/>
        <v>1</v>
      </c>
      <c r="X12" s="15">
        <f>COUNTIFS('Incident Data Dump'!$P:$P,'IT FEED'!$A$12,'Incident Data Dump'!$H:$H,'IT FEED'!$B12,'Incident Data Dump'!$Q:$Q,'IT FEED'!X$2)</f>
        <v>0</v>
      </c>
      <c r="Y12" s="15">
        <f>COUNTIFS('Incident Data Dump'!$P:$P,'IT FEED'!$A$12,'Incident Data Dump'!$H:$H,'IT FEED'!$B12,'Incident Data Dump'!$Q:$Q,'IT FEED'!Y$2)</f>
        <v>0</v>
      </c>
      <c r="Z12" s="15">
        <f>COUNTIFS('Incident Data Dump'!$P:$P,'IT FEED'!$A$12,'Incident Data Dump'!$H:$H,'IT FEED'!$B12,'Incident Data Dump'!$Q:$Q,'IT FEED'!Z$2)</f>
        <v>0</v>
      </c>
      <c r="AA12" s="18">
        <f t="shared" si="7"/>
        <v>0</v>
      </c>
      <c r="AB12" s="15">
        <f>COUNTIFS('Incident Data Dump'!$P:$P,'IT FEED'!$A$12,'Incident Data Dump'!$H:$H,'IT FEED'!$B12,'Incident Data Dump'!$Q:$Q,'IT FEED'!AB$2)</f>
        <v>0</v>
      </c>
      <c r="AC12" s="15">
        <f>COUNTIFS('Incident Data Dump'!$P:$P,'IT FEED'!$A$12,'Incident Data Dump'!$H:$H,'IT FEED'!$B12,'Incident Data Dump'!$Q:$Q,'IT FEED'!AC$2)</f>
        <v>0</v>
      </c>
      <c r="AD12" s="15">
        <f>COUNTIFS('Incident Data Dump'!$P:$P,'IT FEED'!$A$12,'Incident Data Dump'!$H:$H,'IT FEED'!$B12,'Incident Data Dump'!$Q:$Q,'IT FEED'!AD$2)</f>
        <v>0</v>
      </c>
      <c r="AE12" s="18">
        <f t="shared" si="8"/>
        <v>0</v>
      </c>
      <c r="AF12" s="15">
        <f>COUNTIFS('Incident Data Dump'!$P:$P,'IT FEED'!$A$12,'Incident Data Dump'!$H:$H,'IT FEED'!$B12,'Incident Data Dump'!$Q:$Q,'IT FEED'!AF$2)</f>
        <v>1</v>
      </c>
      <c r="AG12" s="15">
        <f>COUNTIFS('Incident Data Dump'!$P:$P,'IT FEED'!$A$12,'Incident Data Dump'!$H:$H,'IT FEED'!$B12,'Incident Data Dump'!$Q:$Q,'IT FEED'!AG$2)</f>
        <v>1</v>
      </c>
      <c r="AH12" s="15">
        <f>COUNTIFS('Incident Data Dump'!$P:$P,'IT FEED'!$A$12,'Incident Data Dump'!$H:$H,'IT FEED'!$B12,'Incident Data Dump'!$Q:$Q,'IT FEED'!AH$2)</f>
        <v>0</v>
      </c>
      <c r="AI12" s="18">
        <f t="shared" si="9"/>
        <v>2</v>
      </c>
      <c r="AJ12" s="15">
        <f t="shared" si="1"/>
        <v>3</v>
      </c>
    </row>
    <row r="13" spans="1:36" ht="15.75" thickBot="1" x14ac:dyDescent="0.3">
      <c r="A13" s="129"/>
      <c r="B13" s="12" t="s">
        <v>9</v>
      </c>
      <c r="C13" s="15">
        <f>COUNTIFS('Incident Data Dump'!$P:$P,'IT FEED'!$A$12,'Incident Data Dump'!$H:$H,'IT FEED'!$B13,'Incident Data Dump'!$Q:$Q,'IT FEED'!C$2)</f>
        <v>0</v>
      </c>
      <c r="D13" s="15">
        <f>COUNTIFS('Incident Data Dump'!$P:$P,'IT FEED'!$A$12,'Incident Data Dump'!$H:$H,'IT FEED'!$B13,'Incident Data Dump'!$Q:$Q,'IT FEED'!D$2)</f>
        <v>0</v>
      </c>
      <c r="E13" s="15">
        <f>COUNTIFS('Incident Data Dump'!$P:$P,'IT FEED'!$A$12,'Incident Data Dump'!$H:$H,'IT FEED'!$B13,'Incident Data Dump'!$Q:$Q,'IT FEED'!E$2)</f>
        <v>0</v>
      </c>
      <c r="F13" s="18">
        <f t="shared" si="2"/>
        <v>0</v>
      </c>
      <c r="G13" s="15">
        <f>COUNTIFS('Incident Data Dump'!$P:$P,'IT FEED'!$A$12,'Incident Data Dump'!$H:$H,'IT FEED'!$B13,'Incident Data Dump'!$Q:$Q,'IT FEED'!G$2)</f>
        <v>0</v>
      </c>
      <c r="H13" s="15">
        <f>COUNTIFS('Incident Data Dump'!$P:$P,'IT FEED'!$A$12,'Incident Data Dump'!$H:$H,'IT FEED'!$B13,'Incident Data Dump'!$Q:$Q,'IT FEED'!H$2)</f>
        <v>0</v>
      </c>
      <c r="I13" s="15">
        <f>COUNTIFS('Incident Data Dump'!$P:$P,'IT FEED'!$A$12,'Incident Data Dump'!$H:$H,'IT FEED'!$B13,'Incident Data Dump'!$Q:$Q,'IT FEED'!I$2)</f>
        <v>0</v>
      </c>
      <c r="J13" s="18">
        <f t="shared" si="3"/>
        <v>0</v>
      </c>
      <c r="K13" s="15">
        <f>COUNTIFS('Incident Data Dump'!$P:$P,'IT FEED'!$A$12,'Incident Data Dump'!$H:$H,'IT FEED'!$B13,'Incident Data Dump'!$Q:$Q,'IT FEED'!K$2)</f>
        <v>0</v>
      </c>
      <c r="L13" s="15">
        <f>COUNTIFS('Incident Data Dump'!$P:$P,'IT FEED'!$A$12,'Incident Data Dump'!$H:$H,'IT FEED'!$B13,'Incident Data Dump'!$Q:$Q,'IT FEED'!L$2)</f>
        <v>0</v>
      </c>
      <c r="M13" s="15">
        <f>COUNTIFS('Incident Data Dump'!$P:$P,'IT FEED'!$A$12,'Incident Data Dump'!$H:$H,'IT FEED'!$B13,'Incident Data Dump'!$Q:$Q,'IT FEED'!M$2)</f>
        <v>0</v>
      </c>
      <c r="N13" s="18">
        <f t="shared" si="4"/>
        <v>0</v>
      </c>
      <c r="O13" s="15">
        <f>COUNTIFS('Incident Data Dump'!$P:$P,'IT FEED'!$A$12,'Incident Data Dump'!$H:$H,'IT FEED'!$B13,'Incident Data Dump'!$Q:$Q,'IT FEED'!O$2)</f>
        <v>0</v>
      </c>
      <c r="P13" s="15">
        <f>COUNTIFS('Incident Data Dump'!$P:$P,'IT FEED'!$A$12,'Incident Data Dump'!$H:$H,'IT FEED'!$B13,'Incident Data Dump'!$Q:$Q,'IT FEED'!P$2)</f>
        <v>0</v>
      </c>
      <c r="Q13" s="15">
        <f>COUNTIFS('Incident Data Dump'!$P:$P,'IT FEED'!$A$12,'Incident Data Dump'!$H:$H,'IT FEED'!$B13,'Incident Data Dump'!$Q:$Q,'IT FEED'!Q$2)</f>
        <v>0</v>
      </c>
      <c r="R13" s="18">
        <f t="shared" si="5"/>
        <v>0</v>
      </c>
      <c r="S13" s="18">
        <f t="shared" si="0"/>
        <v>0</v>
      </c>
      <c r="T13" s="15">
        <f>COUNTIFS('Incident Data Dump'!$P:$P,'IT FEED'!$A$12,'Incident Data Dump'!$H:$H,'IT FEED'!$B13,'Incident Data Dump'!$Q:$Q,'IT FEED'!T$2)</f>
        <v>0</v>
      </c>
      <c r="U13" s="15">
        <f>COUNTIFS('Incident Data Dump'!$P:$P,'IT FEED'!$A$12,'Incident Data Dump'!$H:$H,'IT FEED'!$B13,'Incident Data Dump'!$Q:$Q,'IT FEED'!U$2)</f>
        <v>1</v>
      </c>
      <c r="V13" s="15">
        <f>COUNTIFS('Incident Data Dump'!$P:$P,'IT FEED'!$A$12,'Incident Data Dump'!$H:$H,'IT FEED'!$B13,'Incident Data Dump'!$Q:$Q,'IT FEED'!V$2)</f>
        <v>0</v>
      </c>
      <c r="W13" s="18">
        <f t="shared" si="6"/>
        <v>1</v>
      </c>
      <c r="X13" s="15">
        <f>COUNTIFS('Incident Data Dump'!$P:$P,'IT FEED'!$A$12,'Incident Data Dump'!$H:$H,'IT FEED'!$B13,'Incident Data Dump'!$Q:$Q,'IT FEED'!X$2)</f>
        <v>0</v>
      </c>
      <c r="Y13" s="15">
        <f>COUNTIFS('Incident Data Dump'!$P:$P,'IT FEED'!$A$12,'Incident Data Dump'!$H:$H,'IT FEED'!$B13,'Incident Data Dump'!$Q:$Q,'IT FEED'!Y$2)</f>
        <v>2</v>
      </c>
      <c r="Z13" s="15">
        <f>COUNTIFS('Incident Data Dump'!$P:$P,'IT FEED'!$A$12,'Incident Data Dump'!$H:$H,'IT FEED'!$B13,'Incident Data Dump'!$Q:$Q,'IT FEED'!Z$2)</f>
        <v>0</v>
      </c>
      <c r="AA13" s="18">
        <f t="shared" si="7"/>
        <v>2</v>
      </c>
      <c r="AB13" s="15">
        <f>COUNTIFS('Incident Data Dump'!$P:$P,'IT FEED'!$A$12,'Incident Data Dump'!$H:$H,'IT FEED'!$B13,'Incident Data Dump'!$Q:$Q,'IT FEED'!AB$2)</f>
        <v>0</v>
      </c>
      <c r="AC13" s="15">
        <f>COUNTIFS('Incident Data Dump'!$P:$P,'IT FEED'!$A$12,'Incident Data Dump'!$H:$H,'IT FEED'!$B13,'Incident Data Dump'!$Q:$Q,'IT FEED'!AC$2)</f>
        <v>1</v>
      </c>
      <c r="AD13" s="15">
        <f>COUNTIFS('Incident Data Dump'!$P:$P,'IT FEED'!$A$12,'Incident Data Dump'!$H:$H,'IT FEED'!$B13,'Incident Data Dump'!$Q:$Q,'IT FEED'!AD$2)</f>
        <v>0</v>
      </c>
      <c r="AE13" s="18">
        <f t="shared" si="8"/>
        <v>1</v>
      </c>
      <c r="AF13" s="15">
        <f>COUNTIFS('Incident Data Dump'!$P:$P,'IT FEED'!$A$12,'Incident Data Dump'!$H:$H,'IT FEED'!$B13,'Incident Data Dump'!$Q:$Q,'IT FEED'!AF$2)</f>
        <v>1</v>
      </c>
      <c r="AG13" s="15">
        <f>COUNTIFS('Incident Data Dump'!$P:$P,'IT FEED'!$A$12,'Incident Data Dump'!$H:$H,'IT FEED'!$B13,'Incident Data Dump'!$Q:$Q,'IT FEED'!AG$2)</f>
        <v>0</v>
      </c>
      <c r="AH13" s="15">
        <f>COUNTIFS('Incident Data Dump'!$P:$P,'IT FEED'!$A$12,'Incident Data Dump'!$H:$H,'IT FEED'!$B13,'Incident Data Dump'!$Q:$Q,'IT FEED'!AH$2)</f>
        <v>0</v>
      </c>
      <c r="AI13" s="18">
        <f t="shared" si="9"/>
        <v>1</v>
      </c>
      <c r="AJ13" s="15">
        <f t="shared" si="1"/>
        <v>5</v>
      </c>
    </row>
    <row r="14" spans="1:36" ht="15.75" thickBot="1" x14ac:dyDescent="0.3">
      <c r="A14" s="129"/>
      <c r="B14" s="13" t="s">
        <v>18</v>
      </c>
      <c r="C14" s="16">
        <f>COUNTIFS('Incident Data Dump'!$P:$P,'IT FEED'!$A$12,'Incident Data Dump'!$H:$H,'IT FEED'!$B14,'Incident Data Dump'!$Q:$Q,'IT FEED'!C$2)</f>
        <v>0</v>
      </c>
      <c r="D14" s="16">
        <f>COUNTIFS('Incident Data Dump'!$P:$P,'IT FEED'!$A$12,'Incident Data Dump'!$H:$H,'IT FEED'!$B14,'Incident Data Dump'!$Q:$Q,'IT FEED'!D$2)</f>
        <v>0</v>
      </c>
      <c r="E14" s="16">
        <f>COUNTIFS('Incident Data Dump'!$P:$P,'IT FEED'!$A$12,'Incident Data Dump'!$H:$H,'IT FEED'!$B14,'Incident Data Dump'!$Q:$Q,'IT FEED'!E$2)</f>
        <v>0</v>
      </c>
      <c r="F14" s="19">
        <f t="shared" si="2"/>
        <v>0</v>
      </c>
      <c r="G14" s="16">
        <f>COUNTIFS('Incident Data Dump'!$P:$P,'IT FEED'!$A$12,'Incident Data Dump'!$H:$H,'IT FEED'!$B14,'Incident Data Dump'!$Q:$Q,'IT FEED'!G$2)</f>
        <v>0</v>
      </c>
      <c r="H14" s="16">
        <f>COUNTIFS('Incident Data Dump'!$P:$P,'IT FEED'!$A$12,'Incident Data Dump'!$H:$H,'IT FEED'!$B14,'Incident Data Dump'!$Q:$Q,'IT FEED'!H$2)</f>
        <v>0</v>
      </c>
      <c r="I14" s="16">
        <f>COUNTIFS('Incident Data Dump'!$P:$P,'IT FEED'!$A$12,'Incident Data Dump'!$H:$H,'IT FEED'!$B14,'Incident Data Dump'!$Q:$Q,'IT FEED'!I$2)</f>
        <v>0</v>
      </c>
      <c r="J14" s="19">
        <f t="shared" si="3"/>
        <v>0</v>
      </c>
      <c r="K14" s="16">
        <f>COUNTIFS('Incident Data Dump'!$P:$P,'IT FEED'!$A$12,'Incident Data Dump'!$H:$H,'IT FEED'!$B14,'Incident Data Dump'!$Q:$Q,'IT FEED'!K$2)</f>
        <v>0</v>
      </c>
      <c r="L14" s="16">
        <f>COUNTIFS('Incident Data Dump'!$P:$P,'IT FEED'!$A$12,'Incident Data Dump'!$H:$H,'IT FEED'!$B14,'Incident Data Dump'!$Q:$Q,'IT FEED'!L$2)</f>
        <v>0</v>
      </c>
      <c r="M14" s="16">
        <f>COUNTIFS('Incident Data Dump'!$P:$P,'IT FEED'!$A$12,'Incident Data Dump'!$H:$H,'IT FEED'!$B14,'Incident Data Dump'!$Q:$Q,'IT FEED'!M$2)</f>
        <v>0</v>
      </c>
      <c r="N14" s="19">
        <f t="shared" si="4"/>
        <v>0</v>
      </c>
      <c r="O14" s="16">
        <f>COUNTIFS('Incident Data Dump'!$P:$P,'IT FEED'!$A$12,'Incident Data Dump'!$H:$H,'IT FEED'!$B14,'Incident Data Dump'!$Q:$Q,'IT FEED'!O$2)</f>
        <v>1</v>
      </c>
      <c r="P14" s="16">
        <f>COUNTIFS('Incident Data Dump'!$P:$P,'IT FEED'!$A$12,'Incident Data Dump'!$H:$H,'IT FEED'!$B14,'Incident Data Dump'!$Q:$Q,'IT FEED'!P$2)</f>
        <v>2</v>
      </c>
      <c r="Q14" s="16">
        <f>COUNTIFS('Incident Data Dump'!$P:$P,'IT FEED'!$A$12,'Incident Data Dump'!$H:$H,'IT FEED'!$B14,'Incident Data Dump'!$Q:$Q,'IT FEED'!Q$2)</f>
        <v>0</v>
      </c>
      <c r="R14" s="19">
        <f t="shared" si="5"/>
        <v>3</v>
      </c>
      <c r="S14" s="19">
        <f t="shared" si="0"/>
        <v>3</v>
      </c>
      <c r="T14" s="16">
        <f>COUNTIFS('Incident Data Dump'!$P:$P,'IT FEED'!$A$12,'Incident Data Dump'!$H:$H,'IT FEED'!$B14,'Incident Data Dump'!$Q:$Q,'IT FEED'!T$2)</f>
        <v>0</v>
      </c>
      <c r="U14" s="16">
        <f>COUNTIFS('Incident Data Dump'!$P:$P,'IT FEED'!$A$12,'Incident Data Dump'!$H:$H,'IT FEED'!$B14,'Incident Data Dump'!$Q:$Q,'IT FEED'!U$2)</f>
        <v>1</v>
      </c>
      <c r="V14" s="16">
        <f>COUNTIFS('Incident Data Dump'!$P:$P,'IT FEED'!$A$12,'Incident Data Dump'!$H:$H,'IT FEED'!$B14,'Incident Data Dump'!$Q:$Q,'IT FEED'!V$2)</f>
        <v>0</v>
      </c>
      <c r="W14" s="19">
        <f t="shared" si="6"/>
        <v>1</v>
      </c>
      <c r="X14" s="16">
        <f>COUNTIFS('Incident Data Dump'!$P:$P,'IT FEED'!$A$12,'Incident Data Dump'!$H:$H,'IT FEED'!$B14,'Incident Data Dump'!$Q:$Q,'IT FEED'!X$2)</f>
        <v>0</v>
      </c>
      <c r="Y14" s="16">
        <f>COUNTIFS('Incident Data Dump'!$P:$P,'IT FEED'!$A$12,'Incident Data Dump'!$H:$H,'IT FEED'!$B14,'Incident Data Dump'!$Q:$Q,'IT FEED'!Y$2)</f>
        <v>0</v>
      </c>
      <c r="Z14" s="16">
        <f>COUNTIFS('Incident Data Dump'!$P:$P,'IT FEED'!$A$12,'Incident Data Dump'!$H:$H,'IT FEED'!$B14,'Incident Data Dump'!$Q:$Q,'IT FEED'!Z$2)</f>
        <v>3</v>
      </c>
      <c r="AA14" s="19">
        <f t="shared" si="7"/>
        <v>3</v>
      </c>
      <c r="AB14" s="16">
        <f>COUNTIFS('Incident Data Dump'!$P:$P,'IT FEED'!$A$12,'Incident Data Dump'!$H:$H,'IT FEED'!$B14,'Incident Data Dump'!$Q:$Q,'IT FEED'!AB$2)</f>
        <v>0</v>
      </c>
      <c r="AC14" s="16">
        <f>COUNTIFS('Incident Data Dump'!$P:$P,'IT FEED'!$A$12,'Incident Data Dump'!$H:$H,'IT FEED'!$B14,'Incident Data Dump'!$Q:$Q,'IT FEED'!AC$2)</f>
        <v>1</v>
      </c>
      <c r="AD14" s="16">
        <f>COUNTIFS('Incident Data Dump'!$P:$P,'IT FEED'!$A$12,'Incident Data Dump'!$H:$H,'IT FEED'!$B14,'Incident Data Dump'!$Q:$Q,'IT FEED'!AD$2)</f>
        <v>3</v>
      </c>
      <c r="AE14" s="19">
        <f t="shared" si="8"/>
        <v>4</v>
      </c>
      <c r="AF14" s="16">
        <f>COUNTIFS('Incident Data Dump'!$P:$P,'IT FEED'!$A$12,'Incident Data Dump'!$H:$H,'IT FEED'!$B14,'Incident Data Dump'!$Q:$Q,'IT FEED'!AF$2)</f>
        <v>0</v>
      </c>
      <c r="AG14" s="16">
        <f>COUNTIFS('Incident Data Dump'!$P:$P,'IT FEED'!$A$12,'Incident Data Dump'!$H:$H,'IT FEED'!$B14,'Incident Data Dump'!$Q:$Q,'IT FEED'!AG$2)</f>
        <v>1</v>
      </c>
      <c r="AH14" s="16">
        <f>COUNTIFS('Incident Data Dump'!$P:$P,'IT FEED'!$A$12,'Incident Data Dump'!$H:$H,'IT FEED'!$B14,'Incident Data Dump'!$Q:$Q,'IT FEED'!AH$2)</f>
        <v>0</v>
      </c>
      <c r="AI14" s="19">
        <f t="shared" si="9"/>
        <v>1</v>
      </c>
      <c r="AJ14" s="16">
        <f t="shared" si="1"/>
        <v>9</v>
      </c>
    </row>
    <row r="17" spans="1:36" ht="15.75" thickBot="1" x14ac:dyDescent="0.3">
      <c r="B17" s="10" t="s">
        <v>267</v>
      </c>
    </row>
    <row r="18" spans="1:36" ht="15.75" thickBot="1" x14ac:dyDescent="0.3">
      <c r="A18" s="128" t="s">
        <v>266</v>
      </c>
      <c r="B18" s="11" t="s">
        <v>268</v>
      </c>
      <c r="C18" s="14">
        <f>SUBTOTAL(9,$C3:C3)</f>
        <v>1</v>
      </c>
      <c r="D18" s="14">
        <f>SUBTOTAL(9,$C3:D3)</f>
        <v>5</v>
      </c>
      <c r="E18" s="14">
        <f>SUBTOTAL(9,$C3:E3)</f>
        <v>8</v>
      </c>
      <c r="F18" s="14">
        <f>SUBTOTAL(9,$C3:F3)</f>
        <v>8</v>
      </c>
      <c r="G18" s="14">
        <f>SUBTOTAL(9,$C3:G3)</f>
        <v>8</v>
      </c>
      <c r="H18" s="14">
        <f>SUBTOTAL(9,$C3:H3)</f>
        <v>13</v>
      </c>
      <c r="I18" s="14">
        <f>SUBTOTAL(9,$C3:I3)</f>
        <v>16</v>
      </c>
      <c r="J18" s="14">
        <f>SUBTOTAL(9,$C3:J3)</f>
        <v>16</v>
      </c>
      <c r="K18" s="14">
        <f>SUBTOTAL(9,$C3:K3)</f>
        <v>17</v>
      </c>
      <c r="L18" s="14">
        <f>SUBTOTAL(9,$C3:L3)</f>
        <v>18</v>
      </c>
      <c r="M18" s="14">
        <f>SUBTOTAL(9,$C3:M3)</f>
        <v>21</v>
      </c>
      <c r="N18" s="14">
        <f>SUBTOTAL(9,$C3:N3)</f>
        <v>21</v>
      </c>
      <c r="O18" s="14">
        <f>SUBTOTAL(9,$C3:O3)</f>
        <v>21</v>
      </c>
      <c r="P18" s="14">
        <f>SUBTOTAL(9,$C3:P3)</f>
        <v>25</v>
      </c>
      <c r="Q18" s="14">
        <f>SUBTOTAL(9,$C3:Q3)</f>
        <v>27</v>
      </c>
      <c r="R18" s="14">
        <f>SUBTOTAL(9,$C3:R3)</f>
        <v>27</v>
      </c>
      <c r="S18" s="14">
        <f>SUBTOTAL(9,$C3:S3)</f>
        <v>27</v>
      </c>
      <c r="T18" s="14">
        <f>SUBTOTAL(9,$T3:T3)</f>
        <v>1</v>
      </c>
      <c r="U18" s="14">
        <f>SUBTOTAL(9,$T3:U3)</f>
        <v>3</v>
      </c>
      <c r="V18" s="14">
        <f>SUBTOTAL(9,$T3:V3)</f>
        <v>4</v>
      </c>
      <c r="W18" s="14">
        <f>SUBTOTAL(9,$T3:W3)</f>
        <v>4</v>
      </c>
      <c r="X18" s="14">
        <f>SUBTOTAL(9,$T3:X3)</f>
        <v>4</v>
      </c>
      <c r="Y18" s="14">
        <f>SUBTOTAL(9,$T3:Y3)</f>
        <v>4</v>
      </c>
      <c r="Z18" s="14">
        <f>SUBTOTAL(9,$T3:Z3)</f>
        <v>5</v>
      </c>
      <c r="AA18" s="14">
        <f>SUBTOTAL(9,$T3:AA3)</f>
        <v>5</v>
      </c>
      <c r="AB18" s="14">
        <f>SUBTOTAL(9,$T3:AB3)</f>
        <v>6</v>
      </c>
      <c r="AC18" s="14">
        <f>SUBTOTAL(9,$T3:AC3)</f>
        <v>6</v>
      </c>
      <c r="AD18" s="14">
        <f>SUBTOTAL(9,$T3:AD3)</f>
        <v>6</v>
      </c>
      <c r="AE18" s="14">
        <f>SUBTOTAL(9,$T3:AE3)</f>
        <v>6</v>
      </c>
      <c r="AF18" s="14">
        <f>SUBTOTAL(9,$T3:AF3)</f>
        <v>8</v>
      </c>
      <c r="AG18" s="14">
        <f>SUBTOTAL(9,$T3:AG3)</f>
        <v>10</v>
      </c>
      <c r="AH18" s="14">
        <f>SUBTOTAL(9,$T3:AH3)</f>
        <v>10</v>
      </c>
      <c r="AI18" s="14">
        <f>SUBTOTAL(9,$T3:AI3)</f>
        <v>10</v>
      </c>
      <c r="AJ18" s="14">
        <f>SUBTOTAL(9,$T3:AJ3)</f>
        <v>10</v>
      </c>
    </row>
    <row r="19" spans="1:36" ht="15.75" thickBot="1" x14ac:dyDescent="0.3">
      <c r="A19" s="128"/>
      <c r="B19" s="12" t="s">
        <v>269</v>
      </c>
      <c r="C19" s="15">
        <f>SUBTOTAL(9,$C4:C4)</f>
        <v>4</v>
      </c>
      <c r="D19" s="15">
        <f>SUBTOTAL(9,$C4:D4)</f>
        <v>10</v>
      </c>
      <c r="E19" s="15">
        <f>SUBTOTAL(9,$C4:E4)</f>
        <v>17</v>
      </c>
      <c r="F19" s="15">
        <f>SUBTOTAL(9,$C4:F4)</f>
        <v>17</v>
      </c>
      <c r="G19" s="15">
        <f>SUBTOTAL(9,$C4:G4)</f>
        <v>26</v>
      </c>
      <c r="H19" s="15">
        <f>SUBTOTAL(9,$C4:H4)</f>
        <v>31</v>
      </c>
      <c r="I19" s="15">
        <f>SUBTOTAL(9,$C4:I4)</f>
        <v>34</v>
      </c>
      <c r="J19" s="15">
        <f>SUBTOTAL(9,$C4:J4)</f>
        <v>34</v>
      </c>
      <c r="K19" s="15">
        <f>SUBTOTAL(9,$C4:K4)</f>
        <v>36</v>
      </c>
      <c r="L19" s="15">
        <f>SUBTOTAL(9,$C4:L4)</f>
        <v>37</v>
      </c>
      <c r="M19" s="15">
        <f>SUBTOTAL(9,$C4:M4)</f>
        <v>37</v>
      </c>
      <c r="N19" s="15">
        <f>SUBTOTAL(9,$C4:N4)</f>
        <v>37</v>
      </c>
      <c r="O19" s="15">
        <f>SUBTOTAL(9,$C4:O4)</f>
        <v>39</v>
      </c>
      <c r="P19" s="15">
        <f>SUBTOTAL(9,$C4:P4)</f>
        <v>39</v>
      </c>
      <c r="Q19" s="15">
        <f>SUBTOTAL(9,$C4:Q4)</f>
        <v>41</v>
      </c>
      <c r="R19" s="15">
        <f>SUBTOTAL(9,$C4:R4)</f>
        <v>41</v>
      </c>
      <c r="S19" s="15">
        <f>SUBTOTAL(9,$C4:S4)</f>
        <v>41</v>
      </c>
      <c r="T19" s="15">
        <f>SUBTOTAL(9,$T4:T4)</f>
        <v>1</v>
      </c>
      <c r="U19" s="15">
        <f>SUBTOTAL(9,$T4:U4)</f>
        <v>8</v>
      </c>
      <c r="V19" s="15">
        <f>SUBTOTAL(9,$T4:V4)</f>
        <v>8</v>
      </c>
      <c r="W19" s="15">
        <f>SUBTOTAL(9,$T4:W4)</f>
        <v>8</v>
      </c>
      <c r="X19" s="15">
        <f>SUBTOTAL(9,$T4:X4)</f>
        <v>9</v>
      </c>
      <c r="Y19" s="15">
        <f>SUBTOTAL(9,$T4:Y4)</f>
        <v>15</v>
      </c>
      <c r="Z19" s="15">
        <f>SUBTOTAL(9,$T4:Z4)</f>
        <v>15</v>
      </c>
      <c r="AA19" s="15">
        <f>SUBTOTAL(9,$T4:AA4)</f>
        <v>15</v>
      </c>
      <c r="AB19" s="15">
        <f>SUBTOTAL(9,$T4:AB4)</f>
        <v>19</v>
      </c>
      <c r="AC19" s="15">
        <f>SUBTOTAL(9,$T4:AC4)</f>
        <v>23</v>
      </c>
      <c r="AD19" s="15">
        <f>SUBTOTAL(9,$T4:AD4)</f>
        <v>24</v>
      </c>
      <c r="AE19" s="15">
        <f>SUBTOTAL(9,$T4:AE4)</f>
        <v>24</v>
      </c>
      <c r="AF19" s="15">
        <f>SUBTOTAL(9,$T4:AF4)</f>
        <v>29</v>
      </c>
      <c r="AG19" s="15">
        <f>SUBTOTAL(9,$T4:AG4)</f>
        <v>31</v>
      </c>
      <c r="AH19" s="15">
        <f>SUBTOTAL(9,$T4:AH4)</f>
        <v>31</v>
      </c>
      <c r="AI19" s="15">
        <f>SUBTOTAL(9,$T4:AI4)</f>
        <v>31</v>
      </c>
      <c r="AJ19" s="15">
        <f>SUBTOTAL(9,$T4:AJ4)</f>
        <v>31</v>
      </c>
    </row>
    <row r="20" spans="1:36" ht="15.75" thickBot="1" x14ac:dyDescent="0.3">
      <c r="A20" s="128"/>
      <c r="B20" s="13" t="s">
        <v>270</v>
      </c>
      <c r="C20" s="16">
        <f>SUBTOTAL(9,$C5:C5)</f>
        <v>2</v>
      </c>
      <c r="D20" s="16">
        <f>SUBTOTAL(9,$C5:D5)</f>
        <v>4</v>
      </c>
      <c r="E20" s="16">
        <f>SUBTOTAL(9,$C5:E5)</f>
        <v>7</v>
      </c>
      <c r="F20" s="16">
        <f>SUBTOTAL(9,$C5:F5)</f>
        <v>7</v>
      </c>
      <c r="G20" s="16">
        <f>SUBTOTAL(9,$C5:G5)</f>
        <v>7</v>
      </c>
      <c r="H20" s="16">
        <f>SUBTOTAL(9,$C5:H5)</f>
        <v>11</v>
      </c>
      <c r="I20" s="16">
        <f>SUBTOTAL(9,$C5:I5)</f>
        <v>13</v>
      </c>
      <c r="J20" s="16">
        <f>SUBTOTAL(9,$C5:J5)</f>
        <v>13</v>
      </c>
      <c r="K20" s="16">
        <f>SUBTOTAL(9,$C5:K5)</f>
        <v>16</v>
      </c>
      <c r="L20" s="16">
        <f>SUBTOTAL(9,$C5:L5)</f>
        <v>22</v>
      </c>
      <c r="M20" s="16">
        <f>SUBTOTAL(9,$C5:M5)</f>
        <v>23</v>
      </c>
      <c r="N20" s="16">
        <f>SUBTOTAL(9,$C5:N5)</f>
        <v>23</v>
      </c>
      <c r="O20" s="16">
        <f>SUBTOTAL(9,$C5:O5)</f>
        <v>24</v>
      </c>
      <c r="P20" s="16">
        <f>SUBTOTAL(9,$C5:P5)</f>
        <v>31</v>
      </c>
      <c r="Q20" s="16">
        <f>SUBTOTAL(9,$C5:Q5)</f>
        <v>35</v>
      </c>
      <c r="R20" s="16">
        <f>SUBTOTAL(9,$C5:R5)</f>
        <v>35</v>
      </c>
      <c r="S20" s="16">
        <f>SUBTOTAL(9,$C5:S5)</f>
        <v>35</v>
      </c>
      <c r="T20" s="16">
        <f>SUBTOTAL(9,$T5:T5)</f>
        <v>3</v>
      </c>
      <c r="U20" s="16">
        <f>SUBTOTAL(9,$T5:U5)</f>
        <v>10</v>
      </c>
      <c r="V20" s="16">
        <f>SUBTOTAL(9,$T5:V5)</f>
        <v>11</v>
      </c>
      <c r="W20" s="16">
        <f>SUBTOTAL(9,$T5:W5)</f>
        <v>11</v>
      </c>
      <c r="X20" s="16">
        <f>SUBTOTAL(9,$T5:X5)</f>
        <v>16</v>
      </c>
      <c r="Y20" s="16">
        <f>SUBTOTAL(9,$T5:Y5)</f>
        <v>24</v>
      </c>
      <c r="Z20" s="16">
        <f>SUBTOTAL(9,$T5:Z5)</f>
        <v>33</v>
      </c>
      <c r="AA20" s="16">
        <f>SUBTOTAL(9,$T5:AA5)</f>
        <v>33</v>
      </c>
      <c r="AB20" s="16">
        <f>SUBTOTAL(9,$T5:AB5)</f>
        <v>37</v>
      </c>
      <c r="AC20" s="16">
        <f>SUBTOTAL(9,$T5:AC5)</f>
        <v>41</v>
      </c>
      <c r="AD20" s="16">
        <f>SUBTOTAL(9,$T5:AD5)</f>
        <v>49</v>
      </c>
      <c r="AE20" s="16">
        <f>SUBTOTAL(9,$T5:AE5)</f>
        <v>49</v>
      </c>
      <c r="AF20" s="16">
        <f>SUBTOTAL(9,$T5:AF5)</f>
        <v>49</v>
      </c>
      <c r="AG20" s="16">
        <f>SUBTOTAL(9,$T5:AG5)</f>
        <v>52</v>
      </c>
      <c r="AH20" s="16">
        <f>SUBTOTAL(9,$T5:AH5)</f>
        <v>52</v>
      </c>
      <c r="AI20" s="16">
        <f>SUBTOTAL(9,$T5:AI5)</f>
        <v>52</v>
      </c>
      <c r="AJ20" s="16">
        <f>SUBTOTAL(9,$T5:AJ5)</f>
        <v>52</v>
      </c>
    </row>
    <row r="21" spans="1:36" ht="15.75" thickBot="1" x14ac:dyDescent="0.3">
      <c r="A21" s="129" t="s">
        <v>263</v>
      </c>
      <c r="B21" s="11" t="s">
        <v>268</v>
      </c>
      <c r="C21" s="14">
        <f>SUBTOTAL(9,$C6:C6)</f>
        <v>1</v>
      </c>
      <c r="D21" s="14">
        <f>SUBTOTAL(9,$C6:D6)</f>
        <v>1</v>
      </c>
      <c r="E21" s="14">
        <f>SUBTOTAL(9,$C6:E6)</f>
        <v>1</v>
      </c>
      <c r="F21" s="14">
        <f>SUBTOTAL(9,$C6:F6)</f>
        <v>1</v>
      </c>
      <c r="G21" s="14">
        <f>SUBTOTAL(9,$C6:G6)</f>
        <v>1</v>
      </c>
      <c r="H21" s="14">
        <f>SUBTOTAL(9,$C6:H6)</f>
        <v>4</v>
      </c>
      <c r="I21" s="14">
        <f>SUBTOTAL(9,$C6:I6)</f>
        <v>5</v>
      </c>
      <c r="J21" s="14">
        <f>SUBTOTAL(9,$C6:J6)</f>
        <v>5</v>
      </c>
      <c r="K21" s="14">
        <f>SUBTOTAL(9,$C6:K6)</f>
        <v>6</v>
      </c>
      <c r="L21" s="14">
        <f>SUBTOTAL(9,$C6:L6)</f>
        <v>7</v>
      </c>
      <c r="M21" s="14">
        <f>SUBTOTAL(9,$C6:M6)</f>
        <v>10</v>
      </c>
      <c r="N21" s="14">
        <f>SUBTOTAL(9,$C6:N6)</f>
        <v>10</v>
      </c>
      <c r="O21" s="14">
        <f>SUBTOTAL(9,$C6:O6)</f>
        <v>10</v>
      </c>
      <c r="P21" s="14">
        <f>SUBTOTAL(9,$C6:P6)</f>
        <v>11</v>
      </c>
      <c r="Q21" s="14">
        <f>SUBTOTAL(9,$C6:Q6)</f>
        <v>11</v>
      </c>
      <c r="R21" s="14">
        <f>SUBTOTAL(9,$C6:R6)</f>
        <v>11</v>
      </c>
      <c r="S21" s="14">
        <f>SUBTOTAL(9,$C6:S6)</f>
        <v>11</v>
      </c>
      <c r="T21" s="14">
        <f>SUBTOTAL(9,$T6:T6)</f>
        <v>1</v>
      </c>
      <c r="U21" s="14">
        <f>SUBTOTAL(9,$T6:U6)</f>
        <v>2</v>
      </c>
      <c r="V21" s="14">
        <f>SUBTOTAL(9,$T6:V6)</f>
        <v>3</v>
      </c>
      <c r="W21" s="14">
        <f>SUBTOTAL(9,$T6:W6)</f>
        <v>3</v>
      </c>
      <c r="X21" s="14">
        <f>SUBTOTAL(9,$T6:X6)</f>
        <v>3</v>
      </c>
      <c r="Y21" s="14">
        <f>SUBTOTAL(9,$T6:Y6)</f>
        <v>3</v>
      </c>
      <c r="Z21" s="14">
        <f>SUBTOTAL(9,$T6:Z6)</f>
        <v>4</v>
      </c>
      <c r="AA21" s="14">
        <f>SUBTOTAL(9,$T6:AA6)</f>
        <v>4</v>
      </c>
      <c r="AB21" s="14">
        <f>SUBTOTAL(9,$T6:AB6)</f>
        <v>5</v>
      </c>
      <c r="AC21" s="14">
        <f>SUBTOTAL(9,$T6:AC6)</f>
        <v>5</v>
      </c>
      <c r="AD21" s="14">
        <f>SUBTOTAL(9,$T6:AD6)</f>
        <v>5</v>
      </c>
      <c r="AE21" s="14">
        <f>SUBTOTAL(9,$T6:AE6)</f>
        <v>5</v>
      </c>
      <c r="AF21" s="14">
        <f>SUBTOTAL(9,$T6:AF6)</f>
        <v>6</v>
      </c>
      <c r="AG21" s="14">
        <f>SUBTOTAL(9,$T6:AG6)</f>
        <v>7</v>
      </c>
      <c r="AH21" s="14">
        <f>SUBTOTAL(9,$T6:AH6)</f>
        <v>7</v>
      </c>
      <c r="AI21" s="14">
        <f>SUBTOTAL(9,$T6:AI6)</f>
        <v>7</v>
      </c>
      <c r="AJ21" s="14">
        <f>SUBTOTAL(9,$T6:AJ6)</f>
        <v>7</v>
      </c>
    </row>
    <row r="22" spans="1:36" ht="15.75" thickBot="1" x14ac:dyDescent="0.3">
      <c r="A22" s="129"/>
      <c r="B22" s="12" t="s">
        <v>269</v>
      </c>
      <c r="C22" s="15">
        <f>SUBTOTAL(9,$C7:C7)</f>
        <v>0</v>
      </c>
      <c r="D22" s="15">
        <f>SUBTOTAL(9,$C7:D7)</f>
        <v>1</v>
      </c>
      <c r="E22" s="15">
        <f>SUBTOTAL(9,$C7:E7)</f>
        <v>4</v>
      </c>
      <c r="F22" s="15">
        <f>SUBTOTAL(9,$C7:F7)</f>
        <v>4</v>
      </c>
      <c r="G22" s="15">
        <f>SUBTOTAL(9,$C7:G7)</f>
        <v>5</v>
      </c>
      <c r="H22" s="15">
        <f>SUBTOTAL(9,$C7:H7)</f>
        <v>7</v>
      </c>
      <c r="I22" s="15">
        <f>SUBTOTAL(9,$C7:I7)</f>
        <v>7</v>
      </c>
      <c r="J22" s="15">
        <f>SUBTOTAL(9,$C7:J7)</f>
        <v>7</v>
      </c>
      <c r="K22" s="15">
        <f>SUBTOTAL(9,$C7:K7)</f>
        <v>9</v>
      </c>
      <c r="L22" s="15">
        <f>SUBTOTAL(9,$C7:L7)</f>
        <v>10</v>
      </c>
      <c r="M22" s="15">
        <f>SUBTOTAL(9,$C7:M7)</f>
        <v>10</v>
      </c>
      <c r="N22" s="15">
        <f>SUBTOTAL(9,$C7:N7)</f>
        <v>10</v>
      </c>
      <c r="O22" s="15">
        <f>SUBTOTAL(9,$C7:O7)</f>
        <v>12</v>
      </c>
      <c r="P22" s="15">
        <f>SUBTOTAL(9,$C7:P7)</f>
        <v>12</v>
      </c>
      <c r="Q22" s="15">
        <f>SUBTOTAL(9,$C7:Q7)</f>
        <v>14</v>
      </c>
      <c r="R22" s="15">
        <f>SUBTOTAL(9,$C7:R7)</f>
        <v>14</v>
      </c>
      <c r="S22" s="15">
        <f>SUBTOTAL(9,$C7:S7)</f>
        <v>14</v>
      </c>
      <c r="T22" s="15">
        <f>SUBTOTAL(9,$T7:T7)</f>
        <v>0</v>
      </c>
      <c r="U22" s="15">
        <f>SUBTOTAL(9,$T7:U7)</f>
        <v>5</v>
      </c>
      <c r="V22" s="15">
        <f>SUBTOTAL(9,$T7:V7)</f>
        <v>5</v>
      </c>
      <c r="W22" s="15">
        <f>SUBTOTAL(9,$T7:W7)</f>
        <v>5</v>
      </c>
      <c r="X22" s="15">
        <f>SUBTOTAL(9,$T7:X7)</f>
        <v>6</v>
      </c>
      <c r="Y22" s="15">
        <f>SUBTOTAL(9,$T7:Y7)</f>
        <v>9</v>
      </c>
      <c r="Z22" s="15">
        <f>SUBTOTAL(9,$T7:Z7)</f>
        <v>9</v>
      </c>
      <c r="AA22" s="15">
        <f>SUBTOTAL(9,$T7:AA7)</f>
        <v>9</v>
      </c>
      <c r="AB22" s="15">
        <f>SUBTOTAL(9,$T7:AB7)</f>
        <v>12</v>
      </c>
      <c r="AC22" s="15">
        <f>SUBTOTAL(9,$T7:AC7)</f>
        <v>15</v>
      </c>
      <c r="AD22" s="15">
        <f>SUBTOTAL(9,$T7:AD7)</f>
        <v>16</v>
      </c>
      <c r="AE22" s="15">
        <f>SUBTOTAL(9,$T7:AE7)</f>
        <v>16</v>
      </c>
      <c r="AF22" s="15">
        <f>SUBTOTAL(9,$T7:AF7)</f>
        <v>20</v>
      </c>
      <c r="AG22" s="15">
        <f>SUBTOTAL(9,$T7:AG7)</f>
        <v>22</v>
      </c>
      <c r="AH22" s="15">
        <f>SUBTOTAL(9,$T7:AH7)</f>
        <v>22</v>
      </c>
      <c r="AI22" s="15">
        <f>SUBTOTAL(9,$T7:AI7)</f>
        <v>22</v>
      </c>
      <c r="AJ22" s="15">
        <f>SUBTOTAL(9,$T7:AJ7)</f>
        <v>22</v>
      </c>
    </row>
    <row r="23" spans="1:36" ht="15.75" thickBot="1" x14ac:dyDescent="0.3">
      <c r="A23" s="129"/>
      <c r="B23" s="13" t="s">
        <v>270</v>
      </c>
      <c r="C23" s="16">
        <f>SUBTOTAL(9,$C8:C8)</f>
        <v>0</v>
      </c>
      <c r="D23" s="16">
        <f>SUBTOTAL(9,$C8:D8)</f>
        <v>0</v>
      </c>
      <c r="E23" s="16">
        <f>SUBTOTAL(9,$C8:E8)</f>
        <v>0</v>
      </c>
      <c r="F23" s="16">
        <f>SUBTOTAL(9,$C8:F8)</f>
        <v>0</v>
      </c>
      <c r="G23" s="16">
        <f>SUBTOTAL(9,$C8:G8)</f>
        <v>0</v>
      </c>
      <c r="H23" s="16">
        <f>SUBTOTAL(9,$C8:H8)</f>
        <v>0</v>
      </c>
      <c r="I23" s="16">
        <f>SUBTOTAL(9,$C8:I8)</f>
        <v>0</v>
      </c>
      <c r="J23" s="16">
        <f>SUBTOTAL(9,$C8:J8)</f>
        <v>0</v>
      </c>
      <c r="K23" s="16">
        <f>SUBTOTAL(9,$C8:K8)</f>
        <v>2</v>
      </c>
      <c r="L23" s="16">
        <f>SUBTOTAL(9,$C8:L8)</f>
        <v>8</v>
      </c>
      <c r="M23" s="16">
        <f>SUBTOTAL(9,$C8:M8)</f>
        <v>9</v>
      </c>
      <c r="N23" s="16">
        <f>SUBTOTAL(9,$C8:N8)</f>
        <v>9</v>
      </c>
      <c r="O23" s="16">
        <f>SUBTOTAL(9,$C8:O8)</f>
        <v>9</v>
      </c>
      <c r="P23" s="16">
        <f>SUBTOTAL(9,$C8:P8)</f>
        <v>14</v>
      </c>
      <c r="Q23" s="16">
        <f>SUBTOTAL(9,$C8:Q8)</f>
        <v>18</v>
      </c>
      <c r="R23" s="16">
        <f>SUBTOTAL(9,$C8:R8)</f>
        <v>18</v>
      </c>
      <c r="S23" s="16">
        <f>SUBTOTAL(9,$C8:S8)</f>
        <v>18</v>
      </c>
      <c r="T23" s="16">
        <f>SUBTOTAL(9,$T8:T8)</f>
        <v>3</v>
      </c>
      <c r="U23" s="16">
        <f>SUBTOTAL(9,$T8:U8)</f>
        <v>9</v>
      </c>
      <c r="V23" s="16">
        <f>SUBTOTAL(9,$T8:V8)</f>
        <v>9</v>
      </c>
      <c r="W23" s="16">
        <f>SUBTOTAL(9,$T8:W8)</f>
        <v>9</v>
      </c>
      <c r="X23" s="16">
        <f>SUBTOTAL(9,$T8:X8)</f>
        <v>13</v>
      </c>
      <c r="Y23" s="16">
        <f>SUBTOTAL(9,$T8:Y8)</f>
        <v>18</v>
      </c>
      <c r="Z23" s="16">
        <f>SUBTOTAL(9,$T8:Z8)</f>
        <v>24</v>
      </c>
      <c r="AA23" s="16">
        <f>SUBTOTAL(9,$T8:AA8)</f>
        <v>24</v>
      </c>
      <c r="AB23" s="16">
        <f>SUBTOTAL(9,$T8:AB8)</f>
        <v>27</v>
      </c>
      <c r="AC23" s="16">
        <f>SUBTOTAL(9,$T8:AC8)</f>
        <v>29</v>
      </c>
      <c r="AD23" s="16">
        <f>SUBTOTAL(9,$T8:AD8)</f>
        <v>34</v>
      </c>
      <c r="AE23" s="16">
        <f>SUBTOTAL(9,$T8:AE8)</f>
        <v>34</v>
      </c>
      <c r="AF23" s="16">
        <f>SUBTOTAL(9,$T8:AF8)</f>
        <v>34</v>
      </c>
      <c r="AG23" s="16">
        <f>SUBTOTAL(9,$T8:AG8)</f>
        <v>35</v>
      </c>
      <c r="AH23" s="16">
        <f>SUBTOTAL(9,$T8:AH8)</f>
        <v>35</v>
      </c>
      <c r="AI23" s="16">
        <f>SUBTOTAL(9,$T8:AI8)</f>
        <v>35</v>
      </c>
      <c r="AJ23" s="16">
        <f>SUBTOTAL(9,$T8:AJ8)</f>
        <v>35</v>
      </c>
    </row>
    <row r="24" spans="1:36" ht="15.75" thickBot="1" x14ac:dyDescent="0.3">
      <c r="A24" s="129" t="s">
        <v>264</v>
      </c>
      <c r="B24" s="11" t="s">
        <v>268</v>
      </c>
      <c r="C24" s="14">
        <f>SUBTOTAL(9,$C9:C9)</f>
        <v>0</v>
      </c>
      <c r="D24" s="14">
        <f>SUBTOTAL(9,$C9:D9)</f>
        <v>4</v>
      </c>
      <c r="E24" s="14">
        <f>SUBTOTAL(9,$C9:E9)</f>
        <v>7</v>
      </c>
      <c r="F24" s="14">
        <f>SUBTOTAL(9,$C9:F9)</f>
        <v>7</v>
      </c>
      <c r="G24" s="14">
        <f>SUBTOTAL(9,$C9:G9)</f>
        <v>7</v>
      </c>
      <c r="H24" s="14">
        <f>SUBTOTAL(9,$C9:H9)</f>
        <v>9</v>
      </c>
      <c r="I24" s="14">
        <f>SUBTOTAL(9,$C9:I9)</f>
        <v>11</v>
      </c>
      <c r="J24" s="14">
        <f>SUBTOTAL(9,$C9:J9)</f>
        <v>11</v>
      </c>
      <c r="K24" s="14">
        <f>SUBTOTAL(9,$C9:K9)</f>
        <v>11</v>
      </c>
      <c r="L24" s="14">
        <f>SUBTOTAL(9,$C9:L9)</f>
        <v>11</v>
      </c>
      <c r="M24" s="14">
        <f>SUBTOTAL(9,$C9:M9)</f>
        <v>11</v>
      </c>
      <c r="N24" s="14">
        <f>SUBTOTAL(9,$C9:N9)</f>
        <v>11</v>
      </c>
      <c r="O24" s="14">
        <f>SUBTOTAL(9,$C9:O9)</f>
        <v>11</v>
      </c>
      <c r="P24" s="14">
        <f>SUBTOTAL(9,$C9:P9)</f>
        <v>12</v>
      </c>
      <c r="Q24" s="14">
        <f>SUBTOTAL(9,$C9:Q9)</f>
        <v>13</v>
      </c>
      <c r="R24" s="14">
        <f>SUBTOTAL(9,$C9:R9)</f>
        <v>13</v>
      </c>
      <c r="S24" s="14">
        <f>SUBTOTAL(9,$C9:S9)</f>
        <v>13</v>
      </c>
      <c r="T24" s="14">
        <f>SUBTOTAL(9,$T9:T9)</f>
        <v>0</v>
      </c>
      <c r="U24" s="14">
        <f>SUBTOTAL(9,$T9:U9)</f>
        <v>0</v>
      </c>
      <c r="V24" s="14">
        <f>SUBTOTAL(9,$T9:V9)</f>
        <v>0</v>
      </c>
      <c r="W24" s="14">
        <f>SUBTOTAL(9,$T9:W9)</f>
        <v>0</v>
      </c>
      <c r="X24" s="14">
        <f>SUBTOTAL(9,$T9:X9)</f>
        <v>0</v>
      </c>
      <c r="Y24" s="14">
        <f>SUBTOTAL(9,$T9:Y9)</f>
        <v>0</v>
      </c>
      <c r="Z24" s="14">
        <f>SUBTOTAL(9,$T9:Z9)</f>
        <v>0</v>
      </c>
      <c r="AA24" s="14">
        <f>SUBTOTAL(9,$T9:AA9)</f>
        <v>0</v>
      </c>
      <c r="AB24" s="14">
        <f>SUBTOTAL(9,$T9:AB9)</f>
        <v>0</v>
      </c>
      <c r="AC24" s="14">
        <f>SUBTOTAL(9,$T9:AC9)</f>
        <v>0</v>
      </c>
      <c r="AD24" s="14">
        <f>SUBTOTAL(9,$T9:AD9)</f>
        <v>0</v>
      </c>
      <c r="AE24" s="14">
        <f>SUBTOTAL(9,$T9:AE9)</f>
        <v>0</v>
      </c>
      <c r="AF24" s="14">
        <f>SUBTOTAL(9,$T9:AF9)</f>
        <v>0</v>
      </c>
      <c r="AG24" s="14">
        <f>SUBTOTAL(9,$T9:AG9)</f>
        <v>0</v>
      </c>
      <c r="AH24" s="14">
        <f>SUBTOTAL(9,$T9:AH9)</f>
        <v>0</v>
      </c>
      <c r="AI24" s="14">
        <f>SUBTOTAL(9,$T9:AI9)</f>
        <v>0</v>
      </c>
      <c r="AJ24" s="14">
        <f>SUBTOTAL(9,$T9:AJ9)</f>
        <v>0</v>
      </c>
    </row>
    <row r="25" spans="1:36" ht="15.75" thickBot="1" x14ac:dyDescent="0.3">
      <c r="A25" s="129"/>
      <c r="B25" s="12" t="s">
        <v>269</v>
      </c>
      <c r="C25" s="15">
        <f>SUBTOTAL(9,$C10:C10)</f>
        <v>4</v>
      </c>
      <c r="D25" s="15">
        <f>SUBTOTAL(9,$C10:D10)</f>
        <v>9</v>
      </c>
      <c r="E25" s="15">
        <f>SUBTOTAL(9,$C10:E10)</f>
        <v>13</v>
      </c>
      <c r="F25" s="15">
        <f>SUBTOTAL(9,$C10:F10)</f>
        <v>13</v>
      </c>
      <c r="G25" s="15">
        <f>SUBTOTAL(9,$C10:G10)</f>
        <v>21</v>
      </c>
      <c r="H25" s="15">
        <f>SUBTOTAL(9,$C10:H10)</f>
        <v>24</v>
      </c>
      <c r="I25" s="15">
        <f>SUBTOTAL(9,$C10:I10)</f>
        <v>27</v>
      </c>
      <c r="J25" s="15">
        <f>SUBTOTAL(9,$C10:J10)</f>
        <v>27</v>
      </c>
      <c r="K25" s="15">
        <f>SUBTOTAL(9,$C10:K10)</f>
        <v>27</v>
      </c>
      <c r="L25" s="15">
        <f>SUBTOTAL(9,$C10:L10)</f>
        <v>27</v>
      </c>
      <c r="M25" s="15">
        <f>SUBTOTAL(9,$C10:M10)</f>
        <v>27</v>
      </c>
      <c r="N25" s="15">
        <f>SUBTOTAL(9,$C10:N10)</f>
        <v>27</v>
      </c>
      <c r="O25" s="15">
        <f>SUBTOTAL(9,$C10:O10)</f>
        <v>27</v>
      </c>
      <c r="P25" s="15">
        <f>SUBTOTAL(9,$C10:P10)</f>
        <v>27</v>
      </c>
      <c r="Q25" s="15">
        <f>SUBTOTAL(9,$C10:Q10)</f>
        <v>27</v>
      </c>
      <c r="R25" s="15">
        <f>SUBTOTAL(9,$C10:R10)</f>
        <v>27</v>
      </c>
      <c r="S25" s="15">
        <f>SUBTOTAL(9,$C10:S10)</f>
        <v>27</v>
      </c>
      <c r="T25" s="15">
        <f>SUBTOTAL(9,$T10:T10)</f>
        <v>1</v>
      </c>
      <c r="U25" s="15">
        <f>SUBTOTAL(9,$T10:U10)</f>
        <v>2</v>
      </c>
      <c r="V25" s="15">
        <f>SUBTOTAL(9,$T10:V10)</f>
        <v>2</v>
      </c>
      <c r="W25" s="15">
        <f>SUBTOTAL(9,$T10:W10)</f>
        <v>2</v>
      </c>
      <c r="X25" s="15">
        <f>SUBTOTAL(9,$T10:X10)</f>
        <v>2</v>
      </c>
      <c r="Y25" s="15">
        <f>SUBTOTAL(9,$T10:Y10)</f>
        <v>3</v>
      </c>
      <c r="Z25" s="15">
        <f>SUBTOTAL(9,$T10:Z10)</f>
        <v>3</v>
      </c>
      <c r="AA25" s="15">
        <f>SUBTOTAL(9,$T10:AA10)</f>
        <v>3</v>
      </c>
      <c r="AB25" s="15">
        <f>SUBTOTAL(9,$T10:AB10)</f>
        <v>4</v>
      </c>
      <c r="AC25" s="15">
        <f>SUBTOTAL(9,$T10:AC10)</f>
        <v>4</v>
      </c>
      <c r="AD25" s="15">
        <f>SUBTOTAL(9,$T10:AD10)</f>
        <v>4</v>
      </c>
      <c r="AE25" s="15">
        <f>SUBTOTAL(9,$T10:AE10)</f>
        <v>4</v>
      </c>
      <c r="AF25" s="15">
        <f>SUBTOTAL(9,$T10:AF10)</f>
        <v>4</v>
      </c>
      <c r="AG25" s="15">
        <f>SUBTOTAL(9,$T10:AG10)</f>
        <v>4</v>
      </c>
      <c r="AH25" s="15">
        <f>SUBTOTAL(9,$T10:AH10)</f>
        <v>4</v>
      </c>
      <c r="AI25" s="15">
        <f>SUBTOTAL(9,$T10:AI10)</f>
        <v>4</v>
      </c>
      <c r="AJ25" s="15">
        <f>SUBTOTAL(9,$T10:AJ10)</f>
        <v>4</v>
      </c>
    </row>
    <row r="26" spans="1:36" ht="15.75" thickBot="1" x14ac:dyDescent="0.3">
      <c r="A26" s="129"/>
      <c r="B26" s="13" t="s">
        <v>270</v>
      </c>
      <c r="C26" s="16">
        <f>SUBTOTAL(9,$C11:C11)</f>
        <v>2</v>
      </c>
      <c r="D26" s="16">
        <f>SUBTOTAL(9,$C11:D11)</f>
        <v>4</v>
      </c>
      <c r="E26" s="16">
        <f>SUBTOTAL(9,$C11:E11)</f>
        <v>7</v>
      </c>
      <c r="F26" s="16">
        <f>SUBTOTAL(9,$C11:F11)</f>
        <v>7</v>
      </c>
      <c r="G26" s="16">
        <f>SUBTOTAL(9,$C11:G11)</f>
        <v>7</v>
      </c>
      <c r="H26" s="16">
        <f>SUBTOTAL(9,$C11:H11)</f>
        <v>11</v>
      </c>
      <c r="I26" s="16">
        <f>SUBTOTAL(9,$C11:I11)</f>
        <v>13</v>
      </c>
      <c r="J26" s="16">
        <f>SUBTOTAL(9,$C11:J11)</f>
        <v>13</v>
      </c>
      <c r="K26" s="16">
        <f>SUBTOTAL(9,$C11:K11)</f>
        <v>14</v>
      </c>
      <c r="L26" s="16">
        <f>SUBTOTAL(9,$C11:L11)</f>
        <v>14</v>
      </c>
      <c r="M26" s="16">
        <f>SUBTOTAL(9,$C11:M11)</f>
        <v>14</v>
      </c>
      <c r="N26" s="16">
        <f>SUBTOTAL(9,$C11:N11)</f>
        <v>14</v>
      </c>
      <c r="O26" s="16">
        <f>SUBTOTAL(9,$C11:O11)</f>
        <v>14</v>
      </c>
      <c r="P26" s="16">
        <f>SUBTOTAL(9,$C11:P11)</f>
        <v>14</v>
      </c>
      <c r="Q26" s="16">
        <f>SUBTOTAL(9,$C11:Q11)</f>
        <v>14</v>
      </c>
      <c r="R26" s="16">
        <f>SUBTOTAL(9,$C11:R11)</f>
        <v>14</v>
      </c>
      <c r="S26" s="16">
        <f>SUBTOTAL(9,$C11:S11)</f>
        <v>14</v>
      </c>
      <c r="T26" s="16">
        <f>SUBTOTAL(9,$T11:T11)</f>
        <v>0</v>
      </c>
      <c r="U26" s="16">
        <f>SUBTOTAL(9,$T11:U11)</f>
        <v>0</v>
      </c>
      <c r="V26" s="16">
        <f>SUBTOTAL(9,$T11:V11)</f>
        <v>1</v>
      </c>
      <c r="W26" s="16">
        <f>SUBTOTAL(9,$T11:W11)</f>
        <v>1</v>
      </c>
      <c r="X26" s="16">
        <f>SUBTOTAL(9,$T11:X11)</f>
        <v>2</v>
      </c>
      <c r="Y26" s="16">
        <f>SUBTOTAL(9,$T11:Y11)</f>
        <v>5</v>
      </c>
      <c r="Z26" s="16">
        <f>SUBTOTAL(9,$T11:Z11)</f>
        <v>5</v>
      </c>
      <c r="AA26" s="16">
        <f>SUBTOTAL(9,$T11:AA11)</f>
        <v>5</v>
      </c>
      <c r="AB26" s="16">
        <f>SUBTOTAL(9,$T11:AB11)</f>
        <v>6</v>
      </c>
      <c r="AC26" s="16">
        <f>SUBTOTAL(9,$T11:AC11)</f>
        <v>7</v>
      </c>
      <c r="AD26" s="16">
        <f>SUBTOTAL(9,$T11:AD11)</f>
        <v>7</v>
      </c>
      <c r="AE26" s="16">
        <f>SUBTOTAL(9,$T11:AE11)</f>
        <v>7</v>
      </c>
      <c r="AF26" s="16">
        <f>SUBTOTAL(9,$T11:AF11)</f>
        <v>7</v>
      </c>
      <c r="AG26" s="16">
        <f>SUBTOTAL(9,$T11:AG11)</f>
        <v>8</v>
      </c>
      <c r="AH26" s="16">
        <f>SUBTOTAL(9,$T11:AH11)</f>
        <v>8</v>
      </c>
      <c r="AI26" s="16">
        <f>SUBTOTAL(9,$T11:AI11)</f>
        <v>8</v>
      </c>
      <c r="AJ26" s="16">
        <f>SUBTOTAL(9,$T11:AJ11)</f>
        <v>8</v>
      </c>
    </row>
    <row r="27" spans="1:36" ht="15.75" thickBot="1" x14ac:dyDescent="0.3">
      <c r="A27" s="129" t="s">
        <v>265</v>
      </c>
      <c r="B27" s="11" t="s">
        <v>268</v>
      </c>
      <c r="C27" s="15">
        <f>SUBTOTAL(9,$C12:C12)</f>
        <v>0</v>
      </c>
      <c r="D27" s="15">
        <f>SUBTOTAL(9,$C12:D12)</f>
        <v>0</v>
      </c>
      <c r="E27" s="15">
        <f>SUBTOTAL(9,$C12:E12)</f>
        <v>0</v>
      </c>
      <c r="F27" s="15">
        <f>SUBTOTAL(9,$C12:F12)</f>
        <v>0</v>
      </c>
      <c r="G27" s="15">
        <f>SUBTOTAL(9,$C12:G12)</f>
        <v>0</v>
      </c>
      <c r="H27" s="15">
        <f>SUBTOTAL(9,$C12:H12)</f>
        <v>0</v>
      </c>
      <c r="I27" s="15">
        <f>SUBTOTAL(9,$C12:I12)</f>
        <v>0</v>
      </c>
      <c r="J27" s="15">
        <f>SUBTOTAL(9,$C12:J12)</f>
        <v>0</v>
      </c>
      <c r="K27" s="15">
        <f>SUBTOTAL(9,$C12:K12)</f>
        <v>0</v>
      </c>
      <c r="L27" s="15">
        <f>SUBTOTAL(9,$C12:L12)</f>
        <v>0</v>
      </c>
      <c r="M27" s="15">
        <f>SUBTOTAL(9,$C12:M12)</f>
        <v>0</v>
      </c>
      <c r="N27" s="15">
        <f>SUBTOTAL(9,$C12:N12)</f>
        <v>0</v>
      </c>
      <c r="O27" s="15">
        <f>SUBTOTAL(9,$C12:O12)</f>
        <v>0</v>
      </c>
      <c r="P27" s="15">
        <f>SUBTOTAL(9,$C12:P12)</f>
        <v>2</v>
      </c>
      <c r="Q27" s="15">
        <f>SUBTOTAL(9,$C12:Q12)</f>
        <v>3</v>
      </c>
      <c r="R27" s="15">
        <f>SUBTOTAL(9,$C12:R12)</f>
        <v>3</v>
      </c>
      <c r="S27" s="15">
        <f>SUBTOTAL(9,$C12:S12)</f>
        <v>3</v>
      </c>
      <c r="T27" s="15">
        <f>SUBTOTAL(9,$T12:T12)</f>
        <v>0</v>
      </c>
      <c r="U27" s="15">
        <f>SUBTOTAL(9,$T12:U12)</f>
        <v>1</v>
      </c>
      <c r="V27" s="15">
        <f>SUBTOTAL(9,$T12:V12)</f>
        <v>1</v>
      </c>
      <c r="W27" s="15">
        <f>SUBTOTAL(9,$T12:W12)</f>
        <v>1</v>
      </c>
      <c r="X27" s="15">
        <f>SUBTOTAL(9,$T12:X12)</f>
        <v>1</v>
      </c>
      <c r="Y27" s="15">
        <f>SUBTOTAL(9,$T12:Y12)</f>
        <v>1</v>
      </c>
      <c r="Z27" s="15">
        <f>SUBTOTAL(9,$T12:Z12)</f>
        <v>1</v>
      </c>
      <c r="AA27" s="15">
        <f>SUBTOTAL(9,$T12:AA12)</f>
        <v>1</v>
      </c>
      <c r="AB27" s="15">
        <f>SUBTOTAL(9,$T12:AB12)</f>
        <v>1</v>
      </c>
      <c r="AC27" s="15">
        <f>SUBTOTAL(9,$T12:AC12)</f>
        <v>1</v>
      </c>
      <c r="AD27" s="15">
        <f>SUBTOTAL(9,$T12:AD12)</f>
        <v>1</v>
      </c>
      <c r="AE27" s="15">
        <f>SUBTOTAL(9,$T12:AE12)</f>
        <v>1</v>
      </c>
      <c r="AF27" s="15">
        <f>SUBTOTAL(9,$T12:AF12)</f>
        <v>2</v>
      </c>
      <c r="AG27" s="15">
        <f>SUBTOTAL(9,$T12:AG12)</f>
        <v>3</v>
      </c>
      <c r="AH27" s="15">
        <f>SUBTOTAL(9,$T12:AH12)</f>
        <v>3</v>
      </c>
      <c r="AI27" s="15">
        <f>SUBTOTAL(9,$T12:AI12)</f>
        <v>3</v>
      </c>
      <c r="AJ27" s="15">
        <f>SUBTOTAL(9,$T12:AJ12)</f>
        <v>3</v>
      </c>
    </row>
    <row r="28" spans="1:36" ht="15.75" thickBot="1" x14ac:dyDescent="0.3">
      <c r="A28" s="129"/>
      <c r="B28" s="12" t="s">
        <v>269</v>
      </c>
      <c r="C28" s="15">
        <f>SUBTOTAL(9,$C13:C13)</f>
        <v>0</v>
      </c>
      <c r="D28" s="15">
        <f>SUBTOTAL(9,$C13:D13)</f>
        <v>0</v>
      </c>
      <c r="E28" s="15">
        <f>SUBTOTAL(9,$C13:E13)</f>
        <v>0</v>
      </c>
      <c r="F28" s="15">
        <f>SUBTOTAL(9,$C13:F13)</f>
        <v>0</v>
      </c>
      <c r="G28" s="15">
        <f>SUBTOTAL(9,$C13:G13)</f>
        <v>0</v>
      </c>
      <c r="H28" s="15">
        <f>SUBTOTAL(9,$C13:H13)</f>
        <v>0</v>
      </c>
      <c r="I28" s="15">
        <f>SUBTOTAL(9,$C13:I13)</f>
        <v>0</v>
      </c>
      <c r="J28" s="15">
        <f>SUBTOTAL(9,$C13:J13)</f>
        <v>0</v>
      </c>
      <c r="K28" s="15">
        <f>SUBTOTAL(9,$C13:K13)</f>
        <v>0</v>
      </c>
      <c r="L28" s="15">
        <f>SUBTOTAL(9,$C13:L13)</f>
        <v>0</v>
      </c>
      <c r="M28" s="15">
        <f>SUBTOTAL(9,$C13:M13)</f>
        <v>0</v>
      </c>
      <c r="N28" s="15">
        <f>SUBTOTAL(9,$C13:N13)</f>
        <v>0</v>
      </c>
      <c r="O28" s="15">
        <f>SUBTOTAL(9,$C13:O13)</f>
        <v>0</v>
      </c>
      <c r="P28" s="15">
        <f>SUBTOTAL(9,$C13:P13)</f>
        <v>0</v>
      </c>
      <c r="Q28" s="15">
        <f>SUBTOTAL(9,$C13:Q13)</f>
        <v>0</v>
      </c>
      <c r="R28" s="15">
        <f>SUBTOTAL(9,$C13:R13)</f>
        <v>0</v>
      </c>
      <c r="S28" s="15">
        <f>SUBTOTAL(9,$C13:S13)</f>
        <v>0</v>
      </c>
      <c r="T28" s="15">
        <f>SUBTOTAL(9,$T13:T13)</f>
        <v>0</v>
      </c>
      <c r="U28" s="15">
        <f>SUBTOTAL(9,$T13:U13)</f>
        <v>1</v>
      </c>
      <c r="V28" s="15">
        <f>SUBTOTAL(9,$T13:V13)</f>
        <v>1</v>
      </c>
      <c r="W28" s="15">
        <f>SUBTOTAL(9,$T13:W13)</f>
        <v>1</v>
      </c>
      <c r="X28" s="15">
        <f>SUBTOTAL(9,$T13:X13)</f>
        <v>1</v>
      </c>
      <c r="Y28" s="15">
        <f>SUBTOTAL(9,$T13:Y13)</f>
        <v>3</v>
      </c>
      <c r="Z28" s="15">
        <f>SUBTOTAL(9,$T13:Z13)</f>
        <v>3</v>
      </c>
      <c r="AA28" s="15">
        <f>SUBTOTAL(9,$T13:AA13)</f>
        <v>3</v>
      </c>
      <c r="AB28" s="15">
        <f>SUBTOTAL(9,$T13:AB13)</f>
        <v>3</v>
      </c>
      <c r="AC28" s="15">
        <f>SUBTOTAL(9,$T13:AC13)</f>
        <v>4</v>
      </c>
      <c r="AD28" s="15">
        <f>SUBTOTAL(9,$T13:AD13)</f>
        <v>4</v>
      </c>
      <c r="AE28" s="15">
        <f>SUBTOTAL(9,$T13:AE13)</f>
        <v>4</v>
      </c>
      <c r="AF28" s="15">
        <f>SUBTOTAL(9,$T13:AF13)</f>
        <v>5</v>
      </c>
      <c r="AG28" s="15">
        <f>SUBTOTAL(9,$T13:AG13)</f>
        <v>5</v>
      </c>
      <c r="AH28" s="15">
        <f>SUBTOTAL(9,$T13:AH13)</f>
        <v>5</v>
      </c>
      <c r="AI28" s="15">
        <f>SUBTOTAL(9,$T13:AI13)</f>
        <v>5</v>
      </c>
      <c r="AJ28" s="15">
        <f>SUBTOTAL(9,$T13:AJ13)</f>
        <v>5</v>
      </c>
    </row>
    <row r="29" spans="1:36" ht="15.75" thickBot="1" x14ac:dyDescent="0.3">
      <c r="A29" s="129"/>
      <c r="B29" s="13" t="s">
        <v>270</v>
      </c>
      <c r="C29" s="16">
        <f>SUBTOTAL(9,$C14:C14)</f>
        <v>0</v>
      </c>
      <c r="D29" s="16">
        <f>SUBTOTAL(9,$C14:D14)</f>
        <v>0</v>
      </c>
      <c r="E29" s="16">
        <f>SUBTOTAL(9,$C14:E14)</f>
        <v>0</v>
      </c>
      <c r="F29" s="16">
        <f>SUBTOTAL(9,$C14:F14)</f>
        <v>0</v>
      </c>
      <c r="G29" s="16">
        <f>SUBTOTAL(9,$C14:G14)</f>
        <v>0</v>
      </c>
      <c r="H29" s="16">
        <f>SUBTOTAL(9,$C14:H14)</f>
        <v>0</v>
      </c>
      <c r="I29" s="16">
        <f>SUBTOTAL(9,$C14:I14)</f>
        <v>0</v>
      </c>
      <c r="J29" s="16">
        <f>SUBTOTAL(9,$C14:J14)</f>
        <v>0</v>
      </c>
      <c r="K29" s="16">
        <f>SUBTOTAL(9,$C14:K14)</f>
        <v>0</v>
      </c>
      <c r="L29" s="16">
        <f>SUBTOTAL(9,$C14:L14)</f>
        <v>0</v>
      </c>
      <c r="M29" s="16">
        <f>SUBTOTAL(9,$C14:M14)</f>
        <v>0</v>
      </c>
      <c r="N29" s="16">
        <f>SUBTOTAL(9,$C14:N14)</f>
        <v>0</v>
      </c>
      <c r="O29" s="16">
        <f>SUBTOTAL(9,$C14:O14)</f>
        <v>1</v>
      </c>
      <c r="P29" s="16">
        <f>SUBTOTAL(9,$C14:P14)</f>
        <v>3</v>
      </c>
      <c r="Q29" s="16">
        <f>SUBTOTAL(9,$C14:Q14)</f>
        <v>3</v>
      </c>
      <c r="R29" s="16">
        <f>SUBTOTAL(9,$C14:R14)</f>
        <v>3</v>
      </c>
      <c r="S29" s="16">
        <f>SUBTOTAL(9,$C14:S14)</f>
        <v>3</v>
      </c>
      <c r="T29" s="16">
        <f>SUBTOTAL(9,$T14:T14)</f>
        <v>0</v>
      </c>
      <c r="U29" s="16">
        <f>SUBTOTAL(9,$T14:U14)</f>
        <v>1</v>
      </c>
      <c r="V29" s="16">
        <f>SUBTOTAL(9,$T14:V14)</f>
        <v>1</v>
      </c>
      <c r="W29" s="16">
        <f>SUBTOTAL(9,$T14:W14)</f>
        <v>1</v>
      </c>
      <c r="X29" s="16">
        <f>SUBTOTAL(9,$T14:X14)</f>
        <v>1</v>
      </c>
      <c r="Y29" s="16">
        <f>SUBTOTAL(9,$T14:Y14)</f>
        <v>1</v>
      </c>
      <c r="Z29" s="16">
        <f>SUBTOTAL(9,$T14:Z14)</f>
        <v>4</v>
      </c>
      <c r="AA29" s="16">
        <f>SUBTOTAL(9,$T14:AA14)</f>
        <v>4</v>
      </c>
      <c r="AB29" s="16">
        <f>SUBTOTAL(9,$T14:AB14)</f>
        <v>4</v>
      </c>
      <c r="AC29" s="16">
        <f>SUBTOTAL(9,$T14:AC14)</f>
        <v>5</v>
      </c>
      <c r="AD29" s="16">
        <f>SUBTOTAL(9,$T14:AD14)</f>
        <v>8</v>
      </c>
      <c r="AE29" s="16">
        <f>SUBTOTAL(9,$T14:AE14)</f>
        <v>8</v>
      </c>
      <c r="AF29" s="16">
        <f>SUBTOTAL(9,$T14:AF14)</f>
        <v>8</v>
      </c>
      <c r="AG29" s="16">
        <f>SUBTOTAL(9,$T14:AG14)</f>
        <v>9</v>
      </c>
      <c r="AH29" s="16">
        <f>SUBTOTAL(9,$T14:AH14)</f>
        <v>9</v>
      </c>
      <c r="AI29" s="16">
        <f>SUBTOTAL(9,$T14:AI14)</f>
        <v>9</v>
      </c>
      <c r="AJ29" s="16">
        <f>SUBTOTAL(9,$T14:AJ14)</f>
        <v>9</v>
      </c>
    </row>
  </sheetData>
  <mergeCells count="10">
    <mergeCell ref="T1:AJ1"/>
    <mergeCell ref="A9:A11"/>
    <mergeCell ref="A12:A14"/>
    <mergeCell ref="A3:A5"/>
    <mergeCell ref="A6:A8"/>
    <mergeCell ref="A18:A20"/>
    <mergeCell ref="A21:A23"/>
    <mergeCell ref="A24:A26"/>
    <mergeCell ref="A27:A29"/>
    <mergeCell ref="C1:S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73A3E-5E42-44BA-95DE-493E03BF130B}">
  <sheetPr>
    <tabColor theme="4" tint="0.39997558519241921"/>
  </sheetPr>
  <dimension ref="A1:AJ35"/>
  <sheetViews>
    <sheetView topLeftCell="D1" workbookViewId="0">
      <selection activeCell="AG3" sqref="AG3"/>
    </sheetView>
  </sheetViews>
  <sheetFormatPr defaultRowHeight="15" outlineLevelCol="1" x14ac:dyDescent="0.25"/>
  <cols>
    <col min="2" max="2" width="25.140625" bestFit="1" customWidth="1"/>
    <col min="3" max="5" width="9.140625" customWidth="1" outlineLevel="1"/>
    <col min="6" max="6" width="9.140625" hidden="1" customWidth="1" outlineLevel="1"/>
    <col min="7" max="9" width="9.140625" customWidth="1" outlineLevel="1"/>
    <col min="10" max="10" width="9.140625" hidden="1" customWidth="1" outlineLevel="1"/>
    <col min="11" max="13" width="9.140625" customWidth="1" outlineLevel="1"/>
    <col min="14" max="14" width="9.140625" hidden="1" customWidth="1" outlineLevel="1"/>
    <col min="15" max="17" width="9.140625" customWidth="1" outlineLevel="1"/>
    <col min="18" max="18" width="9.140625" hidden="1" customWidth="1" outlineLevel="1"/>
    <col min="19" max="19" width="13" hidden="1" customWidth="1"/>
    <col min="23" max="23" width="0" hidden="1" customWidth="1"/>
    <col min="27" max="27" width="0" hidden="1" customWidth="1"/>
    <col min="31" max="31" width="0" hidden="1" customWidth="1"/>
    <col min="35" max="35" width="0" hidden="1" customWidth="1"/>
    <col min="36" max="36" width="15.85546875" customWidth="1"/>
  </cols>
  <sheetData>
    <row r="1" spans="1:36" ht="19.5" customHeight="1" thickBot="1" x14ac:dyDescent="0.3">
      <c r="B1" s="9" t="s">
        <v>259</v>
      </c>
      <c r="C1" s="130" t="s">
        <v>251</v>
      </c>
      <c r="D1" s="131"/>
      <c r="E1" s="131"/>
      <c r="F1" s="131"/>
      <c r="G1" s="131"/>
      <c r="H1" s="131"/>
      <c r="I1" s="131"/>
      <c r="J1" s="131"/>
      <c r="K1" s="131"/>
      <c r="L1" s="131"/>
      <c r="M1" s="131"/>
      <c r="N1" s="131"/>
      <c r="O1" s="131"/>
      <c r="P1" s="131"/>
      <c r="Q1" s="131"/>
      <c r="R1" s="131"/>
      <c r="S1" s="132"/>
      <c r="T1" s="133" t="s">
        <v>252</v>
      </c>
      <c r="U1" s="134"/>
      <c r="V1" s="134"/>
      <c r="W1" s="134"/>
      <c r="X1" s="134"/>
      <c r="Y1" s="134"/>
      <c r="Z1" s="134"/>
      <c r="AA1" s="134"/>
      <c r="AB1" s="134"/>
      <c r="AC1" s="134"/>
      <c r="AD1" s="134"/>
      <c r="AE1" s="134"/>
      <c r="AF1" s="134"/>
      <c r="AG1" s="134"/>
      <c r="AH1" s="134"/>
      <c r="AI1" s="134"/>
      <c r="AJ1" s="134"/>
    </row>
    <row r="2" spans="1:36" ht="15.75" thickBot="1" x14ac:dyDescent="0.3">
      <c r="B2" s="10" t="s">
        <v>259</v>
      </c>
      <c r="C2" s="8" t="str">
        <f>"JUL, "&amp;C1</f>
        <v>JUL, FY24</v>
      </c>
      <c r="D2" s="5" t="str">
        <f>"AUG, "&amp;C1</f>
        <v>AUG, FY24</v>
      </c>
      <c r="E2" s="5" t="str">
        <f>"SEP, "&amp;C1</f>
        <v>SEP, FY24</v>
      </c>
      <c r="F2" s="17" t="str">
        <f>"Q1, "&amp;C1</f>
        <v>Q1, FY24</v>
      </c>
      <c r="G2" s="5" t="str">
        <f>"OCT, "&amp;C1</f>
        <v>OCT, FY24</v>
      </c>
      <c r="H2" s="5" t="str">
        <f>"NOV, "&amp;C1</f>
        <v>NOV, FY24</v>
      </c>
      <c r="I2" s="5" t="str">
        <f>"DEC, "&amp;C1</f>
        <v>DEC, FY24</v>
      </c>
      <c r="J2" s="17" t="str">
        <f>"Q2, "&amp;C1</f>
        <v>Q2, FY24</v>
      </c>
      <c r="K2" s="5" t="str">
        <f>"JAN, "&amp;C1</f>
        <v>JAN, FY24</v>
      </c>
      <c r="L2" s="5" t="str">
        <f>"FEB, "&amp;C1</f>
        <v>FEB, FY24</v>
      </c>
      <c r="M2" s="5" t="str">
        <f>"MAR, "&amp;C1</f>
        <v>MAR, FY24</v>
      </c>
      <c r="N2" s="17" t="str">
        <f>"Q3, "&amp;C1</f>
        <v>Q3, FY24</v>
      </c>
      <c r="O2" s="5" t="str">
        <f>"APR, "&amp;C1</f>
        <v>APR, FY24</v>
      </c>
      <c r="P2" s="5" t="str">
        <f>"MAY, "&amp;C1</f>
        <v>MAY, FY24</v>
      </c>
      <c r="Q2" s="5" t="str">
        <f>"JUN, "&amp;C1</f>
        <v>JUN, FY24</v>
      </c>
      <c r="R2" s="17" t="str">
        <f>"Q4, "&amp;C1</f>
        <v>Q4, FY24</v>
      </c>
      <c r="S2" s="17" t="str">
        <f>"Full Year, "&amp;C1</f>
        <v>Full Year, FY24</v>
      </c>
      <c r="T2" s="6" t="str">
        <f>"JUL, "&amp;T1</f>
        <v>JUL, FY25</v>
      </c>
      <c r="U2" s="6" t="str">
        <f>"AUG, "&amp;T1</f>
        <v>AUG, FY25</v>
      </c>
      <c r="V2" s="6" t="str">
        <f>"SEP, "&amp;T1</f>
        <v>SEP, FY25</v>
      </c>
      <c r="W2" s="17" t="str">
        <f>"Q1, "&amp;T1</f>
        <v>Q1, FY25</v>
      </c>
      <c r="X2" s="6" t="str">
        <f>"OCT, "&amp;T1</f>
        <v>OCT, FY25</v>
      </c>
      <c r="Y2" s="6" t="str">
        <f>"NOV, "&amp;T1</f>
        <v>NOV, FY25</v>
      </c>
      <c r="Z2" s="6" t="str">
        <f>"DEC, "&amp;T1</f>
        <v>DEC, FY25</v>
      </c>
      <c r="AA2" s="17" t="str">
        <f>"Q2, "&amp;T1</f>
        <v>Q2, FY25</v>
      </c>
      <c r="AB2" s="6" t="str">
        <f>"JAN, "&amp;T1</f>
        <v>JAN, FY25</v>
      </c>
      <c r="AC2" s="6" t="str">
        <f>"FEB, "&amp;T1</f>
        <v>FEB, FY25</v>
      </c>
      <c r="AD2" s="6" t="str">
        <f>"MAR, "&amp;T1</f>
        <v>MAR, FY25</v>
      </c>
      <c r="AE2" s="17" t="str">
        <f>"Q3, "&amp;T1</f>
        <v>Q3, FY25</v>
      </c>
      <c r="AF2" s="6" t="str">
        <f>"APR, "&amp;T1</f>
        <v>APR, FY25</v>
      </c>
      <c r="AG2" s="6" t="str">
        <f>"MAY, "&amp;T1</f>
        <v>MAY, FY25</v>
      </c>
      <c r="AH2" s="6" t="str">
        <f>"JUN, "&amp;T1</f>
        <v>JUN, FY25</v>
      </c>
      <c r="AI2" s="17" t="str">
        <f>"Q4, "&amp;T1</f>
        <v>Q4, FY25</v>
      </c>
      <c r="AJ2" s="6" t="str">
        <f>"Full Year, "&amp;T1</f>
        <v>Full Year, FY25</v>
      </c>
    </row>
    <row r="3" spans="1:36" ht="15.75" thickBot="1" x14ac:dyDescent="0.3">
      <c r="A3" s="128" t="s">
        <v>266</v>
      </c>
      <c r="B3" s="11" t="s">
        <v>13</v>
      </c>
      <c r="C3" s="14">
        <f>COUNTIFS('Incident Data Dump'!$H:$H,'IT FEED - Chart'!$B3,'Incident Data Dump'!$Q:$Q,'IT FEED - Chart'!C$2)</f>
        <v>1</v>
      </c>
      <c r="D3" s="14">
        <f>COUNTIFS('Incident Data Dump'!$H:$H,'IT FEED - Chart'!$B3,'Incident Data Dump'!$Q:$Q,'IT FEED - Chart'!D$2)</f>
        <v>4</v>
      </c>
      <c r="E3" s="14">
        <f>COUNTIFS('Incident Data Dump'!$H:$H,'IT FEED - Chart'!$B3,'Incident Data Dump'!$Q:$Q,'IT FEED - Chart'!E$2)</f>
        <v>3</v>
      </c>
      <c r="F3" s="17">
        <f>SUBTOTAL(9,C3:E3)</f>
        <v>8</v>
      </c>
      <c r="G3" s="14">
        <f>COUNTIFS('Incident Data Dump'!$H:$H,'IT FEED - Chart'!$B3,'Incident Data Dump'!$Q:$Q,'IT FEED - Chart'!G$2)</f>
        <v>0</v>
      </c>
      <c r="H3" s="14">
        <f>COUNTIFS('Incident Data Dump'!$H:$H,'IT FEED - Chart'!$B3,'Incident Data Dump'!$Q:$Q,'IT FEED - Chart'!H$2)</f>
        <v>5</v>
      </c>
      <c r="I3" s="14">
        <f>COUNTIFS('Incident Data Dump'!$H:$H,'IT FEED - Chart'!$B3,'Incident Data Dump'!$Q:$Q,'IT FEED - Chart'!I$2)</f>
        <v>3</v>
      </c>
      <c r="J3" s="17">
        <f>SUBTOTAL(9,G3:I3)</f>
        <v>8</v>
      </c>
      <c r="K3" s="14">
        <f>COUNTIFS('Incident Data Dump'!$H:$H,'IT FEED - Chart'!$B3,'Incident Data Dump'!$Q:$Q,'IT FEED - Chart'!K$2)</f>
        <v>1</v>
      </c>
      <c r="L3" s="14">
        <f>COUNTIFS('Incident Data Dump'!$H:$H,'IT FEED - Chart'!$B3,'Incident Data Dump'!$Q:$Q,'IT FEED - Chart'!L$2)</f>
        <v>1</v>
      </c>
      <c r="M3" s="14">
        <f>COUNTIFS('Incident Data Dump'!$H:$H,'IT FEED - Chart'!$B3,'Incident Data Dump'!$Q:$Q,'IT FEED - Chart'!M$2)</f>
        <v>3</v>
      </c>
      <c r="N3" s="17">
        <f>SUBTOTAL(9,K3:M3)</f>
        <v>5</v>
      </c>
      <c r="O3" s="14">
        <f>COUNTIFS('Incident Data Dump'!$H:$H,'IT FEED - Chart'!$B3,'Incident Data Dump'!$Q:$Q,'IT FEED - Chart'!O$2)</f>
        <v>0</v>
      </c>
      <c r="P3" s="14">
        <f>COUNTIFS('Incident Data Dump'!$H:$H,'IT FEED - Chart'!$B3,'Incident Data Dump'!$Q:$Q,'IT FEED - Chart'!P$2)</f>
        <v>4</v>
      </c>
      <c r="Q3" s="14">
        <f>COUNTIFS('Incident Data Dump'!$H:$H,'IT FEED - Chart'!$B3,'Incident Data Dump'!$Q:$Q,'IT FEED - Chart'!Q$2)</f>
        <v>2</v>
      </c>
      <c r="R3" s="17">
        <f>SUBTOTAL(9,O3:Q3)</f>
        <v>6</v>
      </c>
      <c r="S3" s="17">
        <f>SUBTOTAL(9,C3:R3)</f>
        <v>27</v>
      </c>
      <c r="T3" s="14">
        <f>COUNTIFS('Incident Data Dump'!$H:$H,'IT FEED - Chart'!$B3,'Incident Data Dump'!$Q:$Q,'IT FEED - Chart'!T$2)</f>
        <v>1</v>
      </c>
      <c r="U3" s="14">
        <f>COUNTIFS('Incident Data Dump'!$H:$H,'IT FEED - Chart'!$B3,'Incident Data Dump'!$Q:$Q,'IT FEED - Chart'!U$2)</f>
        <v>2</v>
      </c>
      <c r="V3" s="14">
        <f>COUNTIFS('Incident Data Dump'!$H:$H,'IT FEED - Chart'!$B3,'Incident Data Dump'!$Q:$Q,'IT FEED - Chart'!V$2)</f>
        <v>1</v>
      </c>
      <c r="W3" s="17">
        <f>SUBTOTAL(9,T3:V3)</f>
        <v>4</v>
      </c>
      <c r="X3" s="14">
        <f>COUNTIFS('Incident Data Dump'!$H:$H,'IT FEED - Chart'!$B3,'Incident Data Dump'!$Q:$Q,'IT FEED - Chart'!X$2)</f>
        <v>0</v>
      </c>
      <c r="Y3" s="14">
        <f>COUNTIFS('Incident Data Dump'!$H:$H,'IT FEED - Chart'!$B3,'Incident Data Dump'!$Q:$Q,'IT FEED - Chart'!Y$2)</f>
        <v>0</v>
      </c>
      <c r="Z3" s="14">
        <f>COUNTIFS('Incident Data Dump'!$H:$H,'IT FEED - Chart'!$B3,'Incident Data Dump'!$Q:$Q,'IT FEED - Chart'!Z$2)</f>
        <v>1</v>
      </c>
      <c r="AA3" s="17">
        <f>SUBTOTAL(9,X3:Z3)</f>
        <v>1</v>
      </c>
      <c r="AB3" s="14">
        <f>COUNTIFS('Incident Data Dump'!$H:$H,'IT FEED - Chart'!$B3,'Incident Data Dump'!$Q:$Q,'IT FEED - Chart'!AB$2)</f>
        <v>1</v>
      </c>
      <c r="AC3" s="14">
        <f>COUNTIFS('Incident Data Dump'!$H:$H,'IT FEED - Chart'!$B3,'Incident Data Dump'!$Q:$Q,'IT FEED - Chart'!AC$2)</f>
        <v>0</v>
      </c>
      <c r="AD3" s="14">
        <f>COUNTIFS('Incident Data Dump'!$H:$H,'IT FEED - Chart'!$B3,'Incident Data Dump'!$Q:$Q,'IT FEED - Chart'!AD$2)</f>
        <v>0</v>
      </c>
      <c r="AE3" s="17">
        <f>SUBTOTAL(9,AB3:AD3)</f>
        <v>1</v>
      </c>
      <c r="AF3" s="14">
        <f>COUNTIFS('Incident Data Dump'!$H:$H,'IT FEED - Chart'!$B3,'Incident Data Dump'!$Q:$Q,'IT FEED - Chart'!AF$2)</f>
        <v>2</v>
      </c>
      <c r="AG3" s="14">
        <f>COUNTIFS('Incident Data Dump'!$H:$H,'IT FEED - Chart'!$B3,'Incident Data Dump'!$Q:$Q,'IT FEED - Chart'!AG$2)</f>
        <v>2</v>
      </c>
      <c r="AH3" s="14">
        <f>COUNTIFS('Incident Data Dump'!$H:$H,'IT FEED - Chart'!$B3,'Incident Data Dump'!$Q:$Q,'IT FEED - Chart'!AH$2)</f>
        <v>0</v>
      </c>
      <c r="AI3" s="17">
        <f>SUBTOTAL(9,AF3:AH3)</f>
        <v>4</v>
      </c>
      <c r="AJ3" s="14">
        <f>SUBTOTAL(9,T3:AI3)</f>
        <v>10</v>
      </c>
    </row>
    <row r="4" spans="1:36" ht="15.75" thickBot="1" x14ac:dyDescent="0.3">
      <c r="A4" s="128"/>
      <c r="B4" s="12" t="s">
        <v>9</v>
      </c>
      <c r="C4" s="15">
        <f>COUNTIFS('Incident Data Dump'!$H:$H,'IT FEED - Chart'!$B4,'Incident Data Dump'!$Q:$Q,'IT FEED - Chart'!C$2)</f>
        <v>4</v>
      </c>
      <c r="D4" s="15">
        <f>COUNTIFS('Incident Data Dump'!$H:$H,'IT FEED - Chart'!$B4,'Incident Data Dump'!$Q:$Q,'IT FEED - Chart'!D$2)</f>
        <v>6</v>
      </c>
      <c r="E4" s="15">
        <f>COUNTIFS('Incident Data Dump'!$H:$H,'IT FEED - Chart'!$B4,'Incident Data Dump'!$Q:$Q,'IT FEED - Chart'!E$2)</f>
        <v>7</v>
      </c>
      <c r="F4" s="18">
        <f>SUBTOTAL(9,C4:E4)</f>
        <v>17</v>
      </c>
      <c r="G4" s="15">
        <f>COUNTIFS('Incident Data Dump'!$H:$H,'IT FEED - Chart'!$B4,'Incident Data Dump'!$Q:$Q,'IT FEED - Chart'!G$2)</f>
        <v>9</v>
      </c>
      <c r="H4" s="15">
        <f>COUNTIFS('Incident Data Dump'!$H:$H,'IT FEED - Chart'!$B4,'Incident Data Dump'!$Q:$Q,'IT FEED - Chart'!H$2)</f>
        <v>5</v>
      </c>
      <c r="I4" s="15">
        <f>COUNTIFS('Incident Data Dump'!$H:$H,'IT FEED - Chart'!$B4,'Incident Data Dump'!$Q:$Q,'IT FEED - Chart'!I$2)</f>
        <v>3</v>
      </c>
      <c r="J4" s="18">
        <f>SUBTOTAL(9,G4:I4)</f>
        <v>17</v>
      </c>
      <c r="K4" s="15">
        <f>COUNTIFS('Incident Data Dump'!$H:$H,'IT FEED - Chart'!$B4,'Incident Data Dump'!$Q:$Q,'IT FEED - Chart'!K$2)</f>
        <v>2</v>
      </c>
      <c r="L4" s="15">
        <f>COUNTIFS('Incident Data Dump'!$H:$H,'IT FEED - Chart'!$B4,'Incident Data Dump'!$Q:$Q,'IT FEED - Chart'!L$2)</f>
        <v>1</v>
      </c>
      <c r="M4" s="15">
        <f>COUNTIFS('Incident Data Dump'!$H:$H,'IT FEED - Chart'!$B4,'Incident Data Dump'!$Q:$Q,'IT FEED - Chart'!M$2)</f>
        <v>0</v>
      </c>
      <c r="N4" s="18">
        <f>SUBTOTAL(9,K4:M4)</f>
        <v>3</v>
      </c>
      <c r="O4" s="15">
        <f>COUNTIFS('Incident Data Dump'!$H:$H,'IT FEED - Chart'!$B4,'Incident Data Dump'!$Q:$Q,'IT FEED - Chart'!O$2)</f>
        <v>2</v>
      </c>
      <c r="P4" s="15">
        <f>COUNTIFS('Incident Data Dump'!$H:$H,'IT FEED - Chart'!$B4,'Incident Data Dump'!$Q:$Q,'IT FEED - Chart'!P$2)</f>
        <v>0</v>
      </c>
      <c r="Q4" s="15">
        <f>COUNTIFS('Incident Data Dump'!$H:$H,'IT FEED - Chart'!$B4,'Incident Data Dump'!$Q:$Q,'IT FEED - Chart'!Q$2)</f>
        <v>2</v>
      </c>
      <c r="R4" s="18">
        <f>SUBTOTAL(9,O4:Q4)</f>
        <v>4</v>
      </c>
      <c r="S4" s="18">
        <f>SUBTOTAL(9,C4:R4)</f>
        <v>41</v>
      </c>
      <c r="T4" s="15">
        <f>COUNTIFS('Incident Data Dump'!$H:$H,'IT FEED - Chart'!$B4,'Incident Data Dump'!$Q:$Q,'IT FEED - Chart'!T$2)</f>
        <v>1</v>
      </c>
      <c r="U4" s="15">
        <f>COUNTIFS('Incident Data Dump'!$H:$H,'IT FEED - Chart'!$B4,'Incident Data Dump'!$Q:$Q,'IT FEED - Chart'!U$2)</f>
        <v>7</v>
      </c>
      <c r="V4" s="15">
        <f>COUNTIFS('Incident Data Dump'!$H:$H,'IT FEED - Chart'!$B4,'Incident Data Dump'!$Q:$Q,'IT FEED - Chart'!V$2)</f>
        <v>0</v>
      </c>
      <c r="W4" s="18">
        <f>SUBTOTAL(9,T4:V4)</f>
        <v>8</v>
      </c>
      <c r="X4" s="15">
        <f>COUNTIFS('Incident Data Dump'!$H:$H,'IT FEED - Chart'!$B4,'Incident Data Dump'!$Q:$Q,'IT FEED - Chart'!X$2)</f>
        <v>1</v>
      </c>
      <c r="Y4" s="15">
        <f>COUNTIFS('Incident Data Dump'!$H:$H,'IT FEED - Chart'!$B4,'Incident Data Dump'!$Q:$Q,'IT FEED - Chart'!Y$2)</f>
        <v>6</v>
      </c>
      <c r="Z4" s="15">
        <f>COUNTIFS('Incident Data Dump'!$H:$H,'IT FEED - Chart'!$B4,'Incident Data Dump'!$Q:$Q,'IT FEED - Chart'!Z$2)</f>
        <v>0</v>
      </c>
      <c r="AA4" s="18">
        <f>SUBTOTAL(9,X4:Z4)</f>
        <v>7</v>
      </c>
      <c r="AB4" s="15">
        <f>COUNTIFS('Incident Data Dump'!$H:$H,'IT FEED - Chart'!$B4,'Incident Data Dump'!$Q:$Q,'IT FEED - Chart'!AB$2)</f>
        <v>4</v>
      </c>
      <c r="AC4" s="15">
        <f>COUNTIFS('Incident Data Dump'!$H:$H,'IT FEED - Chart'!$B4,'Incident Data Dump'!$Q:$Q,'IT FEED - Chart'!AC$2)</f>
        <v>4</v>
      </c>
      <c r="AD4" s="15">
        <f>COUNTIFS('Incident Data Dump'!$H:$H,'IT FEED - Chart'!$B4,'Incident Data Dump'!$Q:$Q,'IT FEED - Chart'!AD$2)</f>
        <v>1</v>
      </c>
      <c r="AE4" s="18">
        <f>SUBTOTAL(9,AB4:AD4)</f>
        <v>9</v>
      </c>
      <c r="AF4" s="15">
        <f>COUNTIFS('Incident Data Dump'!$H:$H,'IT FEED - Chart'!$B4,'Incident Data Dump'!$Q:$Q,'IT FEED - Chart'!AF$2)</f>
        <v>5</v>
      </c>
      <c r="AG4" s="15">
        <f>COUNTIFS('Incident Data Dump'!$H:$H,'IT FEED - Chart'!$B4,'Incident Data Dump'!$Q:$Q,'IT FEED - Chart'!AG$2)</f>
        <v>2</v>
      </c>
      <c r="AH4" s="15">
        <f>COUNTIFS('Incident Data Dump'!$H:$H,'IT FEED - Chart'!$B4,'Incident Data Dump'!$Q:$Q,'IT FEED - Chart'!AH$2)</f>
        <v>0</v>
      </c>
      <c r="AI4" s="18">
        <f>SUBTOTAL(9,AF4:AH4)</f>
        <v>7</v>
      </c>
      <c r="AJ4" s="15">
        <f>SUBTOTAL(9,T4:AI4)</f>
        <v>31</v>
      </c>
    </row>
    <row r="5" spans="1:36" ht="15.75" thickBot="1" x14ac:dyDescent="0.3">
      <c r="A5" s="128"/>
      <c r="B5" s="13" t="s">
        <v>18</v>
      </c>
      <c r="C5" s="16">
        <f>COUNTIFS('Incident Data Dump'!$H:$H,'IT FEED - Chart'!$B5,'Incident Data Dump'!$Q:$Q,'IT FEED - Chart'!C$2)</f>
        <v>2</v>
      </c>
      <c r="D5" s="16">
        <f>COUNTIFS('Incident Data Dump'!$H:$H,'IT FEED - Chart'!$B5,'Incident Data Dump'!$Q:$Q,'IT FEED - Chart'!D$2)</f>
        <v>2</v>
      </c>
      <c r="E5" s="16">
        <f>COUNTIFS('Incident Data Dump'!$H:$H,'IT FEED - Chart'!$B5,'Incident Data Dump'!$Q:$Q,'IT FEED - Chart'!E$2)</f>
        <v>3</v>
      </c>
      <c r="F5" s="19">
        <f>SUBTOTAL(9,C5:E5)</f>
        <v>7</v>
      </c>
      <c r="G5" s="16">
        <f>COUNTIFS('Incident Data Dump'!$H:$H,'IT FEED - Chart'!$B5,'Incident Data Dump'!$Q:$Q,'IT FEED - Chart'!G$2)</f>
        <v>0</v>
      </c>
      <c r="H5" s="16">
        <f>COUNTIFS('Incident Data Dump'!$H:$H,'IT FEED - Chart'!$B5,'Incident Data Dump'!$Q:$Q,'IT FEED - Chart'!H$2)</f>
        <v>4</v>
      </c>
      <c r="I5" s="16">
        <f>COUNTIFS('Incident Data Dump'!$H:$H,'IT FEED - Chart'!$B5,'Incident Data Dump'!$Q:$Q,'IT FEED - Chart'!I$2)</f>
        <v>2</v>
      </c>
      <c r="J5" s="19">
        <f>SUBTOTAL(9,G5:I5)</f>
        <v>6</v>
      </c>
      <c r="K5" s="16">
        <f>COUNTIFS('Incident Data Dump'!$H:$H,'IT FEED - Chart'!$B5,'Incident Data Dump'!$Q:$Q,'IT FEED - Chart'!K$2)</f>
        <v>3</v>
      </c>
      <c r="L5" s="16">
        <f>COUNTIFS('Incident Data Dump'!$H:$H,'IT FEED - Chart'!$B5,'Incident Data Dump'!$Q:$Q,'IT FEED - Chart'!L$2)</f>
        <v>6</v>
      </c>
      <c r="M5" s="16">
        <f>COUNTIFS('Incident Data Dump'!$H:$H,'IT FEED - Chart'!$B5,'Incident Data Dump'!$Q:$Q,'IT FEED - Chart'!M$2)</f>
        <v>1</v>
      </c>
      <c r="N5" s="19">
        <f>SUBTOTAL(9,K5:M5)</f>
        <v>10</v>
      </c>
      <c r="O5" s="16">
        <f>COUNTIFS('Incident Data Dump'!$H:$H,'IT FEED - Chart'!$B5,'Incident Data Dump'!$Q:$Q,'IT FEED - Chart'!O$2)</f>
        <v>1</v>
      </c>
      <c r="P5" s="16">
        <f>COUNTIFS('Incident Data Dump'!$H:$H,'IT FEED - Chart'!$B5,'Incident Data Dump'!$Q:$Q,'IT FEED - Chart'!P$2)</f>
        <v>7</v>
      </c>
      <c r="Q5" s="16">
        <f>COUNTIFS('Incident Data Dump'!$H:$H,'IT FEED - Chart'!$B5,'Incident Data Dump'!$Q:$Q,'IT FEED - Chart'!Q$2)</f>
        <v>4</v>
      </c>
      <c r="R5" s="19">
        <f>SUBTOTAL(9,O5:Q5)</f>
        <v>12</v>
      </c>
      <c r="S5" s="19">
        <f>SUBTOTAL(9,C5:R5)</f>
        <v>35</v>
      </c>
      <c r="T5" s="16">
        <f>COUNTIFS('Incident Data Dump'!$H:$H,'IT FEED - Chart'!$B5,'Incident Data Dump'!$Q:$Q,'IT FEED - Chart'!T$2)</f>
        <v>3</v>
      </c>
      <c r="U5" s="16">
        <f>COUNTIFS('Incident Data Dump'!$H:$H,'IT FEED - Chart'!$B5,'Incident Data Dump'!$Q:$Q,'IT FEED - Chart'!U$2)</f>
        <v>7</v>
      </c>
      <c r="V5" s="16">
        <f>COUNTIFS('Incident Data Dump'!$H:$H,'IT FEED - Chart'!$B5,'Incident Data Dump'!$Q:$Q,'IT FEED - Chart'!V$2)</f>
        <v>1</v>
      </c>
      <c r="W5" s="19">
        <f>SUBTOTAL(9,T5:V5)</f>
        <v>11</v>
      </c>
      <c r="X5" s="16">
        <f>COUNTIFS('Incident Data Dump'!$H:$H,'IT FEED - Chart'!$B5,'Incident Data Dump'!$Q:$Q,'IT FEED - Chart'!X$2)</f>
        <v>5</v>
      </c>
      <c r="Y5" s="16">
        <f>COUNTIFS('Incident Data Dump'!$H:$H,'IT FEED - Chart'!$B5,'Incident Data Dump'!$Q:$Q,'IT FEED - Chart'!Y$2)</f>
        <v>8</v>
      </c>
      <c r="Z5" s="16">
        <f>COUNTIFS('Incident Data Dump'!$H:$H,'IT FEED - Chart'!$B5,'Incident Data Dump'!$Q:$Q,'IT FEED - Chart'!Z$2)</f>
        <v>9</v>
      </c>
      <c r="AA5" s="19">
        <f>SUBTOTAL(9,X5:Z5)</f>
        <v>22</v>
      </c>
      <c r="AB5" s="16">
        <f>COUNTIFS('Incident Data Dump'!$H:$H,'IT FEED - Chart'!$B5,'Incident Data Dump'!$Q:$Q,'IT FEED - Chart'!AB$2)</f>
        <v>4</v>
      </c>
      <c r="AC5" s="16">
        <f>COUNTIFS('Incident Data Dump'!$H:$H,'IT FEED - Chart'!$B5,'Incident Data Dump'!$Q:$Q,'IT FEED - Chart'!AC$2)</f>
        <v>4</v>
      </c>
      <c r="AD5" s="16">
        <f>COUNTIFS('Incident Data Dump'!$H:$H,'IT FEED - Chart'!$B5,'Incident Data Dump'!$Q:$Q,'IT FEED - Chart'!AD$2)</f>
        <v>8</v>
      </c>
      <c r="AE5" s="19">
        <f>SUBTOTAL(9,AB5:AD5)</f>
        <v>16</v>
      </c>
      <c r="AF5" s="16">
        <f>COUNTIFS('Incident Data Dump'!$H:$H,'IT FEED - Chart'!$B5,'Incident Data Dump'!$Q:$Q,'IT FEED - Chart'!AF$2)</f>
        <v>0</v>
      </c>
      <c r="AG5" s="16">
        <f>COUNTIFS('Incident Data Dump'!$H:$H,'IT FEED - Chart'!$B5,'Incident Data Dump'!$Q:$Q,'IT FEED - Chart'!AG$2)</f>
        <v>3</v>
      </c>
      <c r="AH5" s="16">
        <f>COUNTIFS('Incident Data Dump'!$H:$H,'IT FEED - Chart'!$B5,'Incident Data Dump'!$Q:$Q,'IT FEED - Chart'!AH$2)</f>
        <v>0</v>
      </c>
      <c r="AI5" s="19">
        <f>SUBTOTAL(9,AF5:AH5)</f>
        <v>3</v>
      </c>
      <c r="AJ5" s="16">
        <f>SUBTOTAL(9,T5:AI5)</f>
        <v>52</v>
      </c>
    </row>
    <row r="6" spans="1:36" ht="15.75" thickBot="1" x14ac:dyDescent="0.3">
      <c r="A6" s="26"/>
      <c r="B6" s="56" t="s">
        <v>272</v>
      </c>
      <c r="C6" s="37">
        <f t="shared" ref="C6:S6" si="0">SUM(C3:C5)</f>
        <v>7</v>
      </c>
      <c r="D6" s="37">
        <f t="shared" si="0"/>
        <v>12</v>
      </c>
      <c r="E6" s="37">
        <f t="shared" si="0"/>
        <v>13</v>
      </c>
      <c r="F6" s="37">
        <f t="shared" si="0"/>
        <v>32</v>
      </c>
      <c r="G6" s="37">
        <f t="shared" si="0"/>
        <v>9</v>
      </c>
      <c r="H6" s="37">
        <f t="shared" si="0"/>
        <v>14</v>
      </c>
      <c r="I6" s="37">
        <f t="shared" si="0"/>
        <v>8</v>
      </c>
      <c r="J6" s="37">
        <f t="shared" si="0"/>
        <v>31</v>
      </c>
      <c r="K6" s="37">
        <f t="shared" si="0"/>
        <v>6</v>
      </c>
      <c r="L6" s="37">
        <f t="shared" si="0"/>
        <v>8</v>
      </c>
      <c r="M6" s="37">
        <f t="shared" si="0"/>
        <v>4</v>
      </c>
      <c r="N6" s="37">
        <f t="shared" si="0"/>
        <v>18</v>
      </c>
      <c r="O6" s="37">
        <f t="shared" si="0"/>
        <v>3</v>
      </c>
      <c r="P6" s="37">
        <f t="shared" si="0"/>
        <v>11</v>
      </c>
      <c r="Q6" s="37">
        <f t="shared" si="0"/>
        <v>8</v>
      </c>
      <c r="R6" s="37">
        <f t="shared" si="0"/>
        <v>22</v>
      </c>
      <c r="S6" s="37">
        <f t="shared" si="0"/>
        <v>103</v>
      </c>
      <c r="T6" s="37">
        <f>SUM(T3:T5)</f>
        <v>5</v>
      </c>
      <c r="U6" s="37">
        <f t="shared" ref="U6:W6" si="1">SUM(U3:U5)</f>
        <v>16</v>
      </c>
      <c r="V6" s="37">
        <f t="shared" si="1"/>
        <v>2</v>
      </c>
      <c r="W6" s="37">
        <f t="shared" si="1"/>
        <v>23</v>
      </c>
      <c r="X6" s="37">
        <f t="shared" ref="X6" si="2">SUM(X3:X5)</f>
        <v>6</v>
      </c>
      <c r="Y6" s="37">
        <f t="shared" ref="Y6" si="3">SUM(Y3:Y5)</f>
        <v>14</v>
      </c>
      <c r="Z6" s="37">
        <f t="shared" ref="Z6" si="4">SUM(Z3:Z5)</f>
        <v>10</v>
      </c>
      <c r="AA6" s="37">
        <f t="shared" ref="AA6" si="5">SUM(AA3:AA5)</f>
        <v>30</v>
      </c>
      <c r="AB6" s="37">
        <f t="shared" ref="AB6" si="6">SUM(AB3:AB5)</f>
        <v>9</v>
      </c>
      <c r="AC6" s="37">
        <f t="shared" ref="AC6" si="7">SUM(AC3:AC5)</f>
        <v>8</v>
      </c>
      <c r="AD6" s="37">
        <f t="shared" ref="AD6" si="8">SUM(AD3:AD5)</f>
        <v>9</v>
      </c>
      <c r="AE6" s="37">
        <f t="shared" ref="AE6" si="9">SUM(AE3:AE5)</f>
        <v>26</v>
      </c>
      <c r="AF6" s="37">
        <f t="shared" ref="AF6" si="10">SUM(AF3:AF5)</f>
        <v>7</v>
      </c>
      <c r="AG6" s="37">
        <f t="shared" ref="AG6" si="11">SUM(AG3:AG5)</f>
        <v>7</v>
      </c>
      <c r="AH6" s="37">
        <f t="shared" ref="AH6" si="12">SUM(AH3:AH5)</f>
        <v>0</v>
      </c>
      <c r="AI6" s="37">
        <f t="shared" ref="AI6" si="13">SUM(AI3:AI5)</f>
        <v>14</v>
      </c>
      <c r="AJ6" s="37">
        <f t="shared" ref="AJ6" si="14">SUM(AJ3:AJ5)</f>
        <v>93</v>
      </c>
    </row>
    <row r="7" spans="1:36" ht="15.75" thickBot="1" x14ac:dyDescent="0.3">
      <c r="C7" s="40"/>
      <c r="D7" s="40"/>
      <c r="E7" s="40"/>
      <c r="F7" s="40"/>
      <c r="G7" s="40"/>
      <c r="H7" s="40"/>
      <c r="I7" s="40"/>
      <c r="J7" s="40"/>
      <c r="K7" s="40"/>
      <c r="L7" s="40"/>
      <c r="M7" s="40"/>
      <c r="N7" s="40"/>
      <c r="O7" s="40"/>
      <c r="P7" s="40"/>
      <c r="Q7" s="40"/>
      <c r="R7" s="40"/>
      <c r="S7" s="40"/>
      <c r="T7" s="40"/>
    </row>
    <row r="8" spans="1:36" ht="15.75" thickBot="1" x14ac:dyDescent="0.3">
      <c r="A8" s="129" t="s">
        <v>263</v>
      </c>
      <c r="B8" s="11" t="s">
        <v>13</v>
      </c>
      <c r="C8" s="15">
        <f>COUNTIFS('Incident Data Dump'!$P:$P,'IT FEED - Chart'!$A$8,'Incident Data Dump'!$H:$H,'IT FEED - Chart'!$B8,'Incident Data Dump'!$Q:$Q,'IT FEED - Chart'!C$2)</f>
        <v>1</v>
      </c>
      <c r="D8" s="15">
        <f>COUNTIFS('Incident Data Dump'!$P:$P,'IT FEED - Chart'!$A$8,'Incident Data Dump'!$H:$H,'IT FEED - Chart'!$B8,'Incident Data Dump'!$Q:$Q,'IT FEED - Chart'!D$2)</f>
        <v>0</v>
      </c>
      <c r="E8" s="15">
        <f>COUNTIFS('Incident Data Dump'!$P:$P,'IT FEED - Chart'!$A$8,'Incident Data Dump'!$H:$H,'IT FEED - Chart'!$B8,'Incident Data Dump'!$Q:$Q,'IT FEED - Chart'!E$2)</f>
        <v>0</v>
      </c>
      <c r="F8" s="18">
        <f>SUBTOTAL(9,C8:E8)</f>
        <v>1</v>
      </c>
      <c r="G8" s="15">
        <f>COUNTIFS('Incident Data Dump'!$P:$P,'IT FEED - Chart'!$A$8,'Incident Data Dump'!$H:$H,'IT FEED - Chart'!$B8,'Incident Data Dump'!$Q:$Q,'IT FEED - Chart'!G$2)</f>
        <v>0</v>
      </c>
      <c r="H8" s="15">
        <f>COUNTIFS('Incident Data Dump'!$P:$P,'IT FEED - Chart'!$A$8,'Incident Data Dump'!$H:$H,'IT FEED - Chart'!$B8,'Incident Data Dump'!$Q:$Q,'IT FEED - Chart'!H$2)</f>
        <v>3</v>
      </c>
      <c r="I8" s="15">
        <f>COUNTIFS('Incident Data Dump'!$P:$P,'IT FEED - Chart'!$A$8,'Incident Data Dump'!$H:$H,'IT FEED - Chart'!$B8,'Incident Data Dump'!$Q:$Q,'IT FEED - Chart'!I$2)</f>
        <v>1</v>
      </c>
      <c r="J8" s="18">
        <f>SUBTOTAL(9,G8:I8)</f>
        <v>4</v>
      </c>
      <c r="K8" s="15">
        <f>COUNTIFS('Incident Data Dump'!$P:$P,'IT FEED - Chart'!$A$8,'Incident Data Dump'!$H:$H,'IT FEED - Chart'!$B8,'Incident Data Dump'!$Q:$Q,'IT FEED - Chart'!K$2)</f>
        <v>1</v>
      </c>
      <c r="L8" s="15">
        <f>COUNTIFS('Incident Data Dump'!$P:$P,'IT FEED - Chart'!$A$8,'Incident Data Dump'!$H:$H,'IT FEED - Chart'!$B8,'Incident Data Dump'!$Q:$Q,'IT FEED - Chart'!L$2)</f>
        <v>1</v>
      </c>
      <c r="M8" s="15">
        <f>COUNTIFS('Incident Data Dump'!$P:$P,'IT FEED - Chart'!$A$8,'Incident Data Dump'!$H:$H,'IT FEED - Chart'!$B8,'Incident Data Dump'!$Q:$Q,'IT FEED - Chart'!M$2)</f>
        <v>3</v>
      </c>
      <c r="N8" s="18">
        <f>SUBTOTAL(9,K8:M8)</f>
        <v>5</v>
      </c>
      <c r="O8" s="15">
        <f>COUNTIFS('Incident Data Dump'!$P:$P,'IT FEED - Chart'!$A$8,'Incident Data Dump'!$H:$H,'IT FEED - Chart'!$B8,'Incident Data Dump'!$Q:$Q,'IT FEED - Chart'!O$2)</f>
        <v>0</v>
      </c>
      <c r="P8" s="15">
        <f>COUNTIFS('Incident Data Dump'!$P:$P,'IT FEED - Chart'!$A$8,'Incident Data Dump'!$H:$H,'IT FEED - Chart'!$B8,'Incident Data Dump'!$Q:$Q,'IT FEED - Chart'!P$2)</f>
        <v>1</v>
      </c>
      <c r="Q8" s="15">
        <f>COUNTIFS('Incident Data Dump'!$P:$P,'IT FEED - Chart'!$A$8,'Incident Data Dump'!$H:$H,'IT FEED - Chart'!$B8,'Incident Data Dump'!$Q:$Q,'IT FEED - Chart'!Q$2)</f>
        <v>0</v>
      </c>
      <c r="R8" s="18">
        <f>SUBTOTAL(9,O8:Q8)</f>
        <v>1</v>
      </c>
      <c r="S8" s="18">
        <f t="shared" ref="S8:S20" si="15">SUBTOTAL(9,C8:R8)</f>
        <v>11</v>
      </c>
      <c r="T8" s="15">
        <f>COUNTIFS('Incident Data Dump'!$P:$P,'IT FEED - Chart'!$A$8,'Incident Data Dump'!$H:$H,'IT FEED - Chart'!$B8,'Incident Data Dump'!$Q:$Q,'IT FEED - Chart'!T$2)</f>
        <v>1</v>
      </c>
      <c r="U8" s="14">
        <f>COUNTIFS('Incident Data Dump'!$P:$P,'IT FEED - Chart'!$A$8,'Incident Data Dump'!$H:$H,'IT FEED - Chart'!$B8,'Incident Data Dump'!$Q:$Q,'IT FEED - Chart'!U$2)</f>
        <v>1</v>
      </c>
      <c r="V8" s="14">
        <f>COUNTIFS('Incident Data Dump'!$P:$P,'IT FEED - Chart'!$A$8,'Incident Data Dump'!$H:$H,'IT FEED - Chart'!$B8,'Incident Data Dump'!$Q:$Q,'IT FEED - Chart'!V$2)</f>
        <v>1</v>
      </c>
      <c r="W8" s="17">
        <f>SUBTOTAL(9,T8:V8)</f>
        <v>3</v>
      </c>
      <c r="X8" s="14">
        <f>COUNTIFS('Incident Data Dump'!$P:$P,'IT FEED - Chart'!$A$8,'Incident Data Dump'!$H:$H,'IT FEED - Chart'!$B8,'Incident Data Dump'!$Q:$Q,'IT FEED - Chart'!X$2)</f>
        <v>0</v>
      </c>
      <c r="Y8" s="14">
        <f>COUNTIFS('Incident Data Dump'!$P:$P,'IT FEED - Chart'!$A$8,'Incident Data Dump'!$H:$H,'IT FEED - Chart'!$B8,'Incident Data Dump'!$Q:$Q,'IT FEED - Chart'!Y$2)</f>
        <v>0</v>
      </c>
      <c r="Z8" s="14">
        <f>COUNTIFS('Incident Data Dump'!$P:$P,'IT FEED - Chart'!$A$8,'Incident Data Dump'!$H:$H,'IT FEED - Chart'!$B8,'Incident Data Dump'!$Q:$Q,'IT FEED - Chart'!Z$2)</f>
        <v>1</v>
      </c>
      <c r="AA8" s="17">
        <f>SUBTOTAL(9,X8:Z8)</f>
        <v>1</v>
      </c>
      <c r="AB8" s="14">
        <f>COUNTIFS('Incident Data Dump'!$P:$P,'IT FEED - Chart'!$A$8,'Incident Data Dump'!$H:$H,'IT FEED - Chart'!$B8,'Incident Data Dump'!$Q:$Q,'IT FEED - Chart'!AB$2)</f>
        <v>1</v>
      </c>
      <c r="AC8" s="14">
        <f>COUNTIFS('Incident Data Dump'!$P:$P,'IT FEED - Chart'!$A$8,'Incident Data Dump'!$H:$H,'IT FEED - Chart'!$B8,'Incident Data Dump'!$Q:$Q,'IT FEED - Chart'!AC$2)</f>
        <v>0</v>
      </c>
      <c r="AD8" s="14">
        <f>COUNTIFS('Incident Data Dump'!$P:$P,'IT FEED - Chart'!$A$8,'Incident Data Dump'!$H:$H,'IT FEED - Chart'!$B8,'Incident Data Dump'!$Q:$Q,'IT FEED - Chart'!AD$2)</f>
        <v>0</v>
      </c>
      <c r="AE8" s="17">
        <f>SUBTOTAL(9,AB8:AD8)</f>
        <v>1</v>
      </c>
      <c r="AF8" s="14">
        <f>COUNTIFS('Incident Data Dump'!$P:$P,'IT FEED - Chart'!$A$8,'Incident Data Dump'!$H:$H,'IT FEED - Chart'!$B8,'Incident Data Dump'!$Q:$Q,'IT FEED - Chart'!AF$2)</f>
        <v>1</v>
      </c>
      <c r="AG8" s="14">
        <f>COUNTIFS('Incident Data Dump'!$P:$P,'IT FEED - Chart'!$A$8,'Incident Data Dump'!$H:$H,'IT FEED - Chart'!$B8,'Incident Data Dump'!$Q:$Q,'IT FEED - Chart'!AG$2)</f>
        <v>1</v>
      </c>
      <c r="AH8" s="14">
        <f>COUNTIFS('Incident Data Dump'!$P:$P,'IT FEED - Chart'!$A$8,'Incident Data Dump'!$H:$H,'IT FEED - Chart'!$B8,'Incident Data Dump'!$Q:$Q,'IT FEED - Chart'!AH$2)</f>
        <v>0</v>
      </c>
      <c r="AI8" s="17">
        <f>SUBTOTAL(9,AF8:AH8)</f>
        <v>2</v>
      </c>
      <c r="AJ8" s="14">
        <f t="shared" ref="AJ8:AJ20" si="16">SUBTOTAL(9,T8:AI8)</f>
        <v>7</v>
      </c>
    </row>
    <row r="9" spans="1:36" ht="15.75" thickBot="1" x14ac:dyDescent="0.3">
      <c r="A9" s="129"/>
      <c r="B9" s="12" t="s">
        <v>9</v>
      </c>
      <c r="C9" s="15">
        <f>COUNTIFS('Incident Data Dump'!$P:$P,'IT FEED - Chart'!$A$8,'Incident Data Dump'!$H:$H,'IT FEED - Chart'!$B9,'Incident Data Dump'!$Q:$Q,'IT FEED - Chart'!C$2)</f>
        <v>0</v>
      </c>
      <c r="D9" s="15">
        <f>COUNTIFS('Incident Data Dump'!$P:$P,'IT FEED - Chart'!$A$8,'Incident Data Dump'!$H:$H,'IT FEED - Chart'!$B9,'Incident Data Dump'!$Q:$Q,'IT FEED - Chart'!D$2)</f>
        <v>1</v>
      </c>
      <c r="E9" s="15">
        <f>COUNTIFS('Incident Data Dump'!$P:$P,'IT FEED - Chart'!$A$8,'Incident Data Dump'!$H:$H,'IT FEED - Chart'!$B9,'Incident Data Dump'!$Q:$Q,'IT FEED - Chart'!E$2)</f>
        <v>3</v>
      </c>
      <c r="F9" s="18">
        <f t="shared" ref="F9:F20" si="17">SUBTOTAL(9,C9:E9)</f>
        <v>4</v>
      </c>
      <c r="G9" s="15">
        <f>COUNTIFS('Incident Data Dump'!$P:$P,'IT FEED - Chart'!$A$8,'Incident Data Dump'!$H:$H,'IT FEED - Chart'!$B9,'Incident Data Dump'!$Q:$Q,'IT FEED - Chart'!G$2)</f>
        <v>1</v>
      </c>
      <c r="H9" s="15">
        <f>COUNTIFS('Incident Data Dump'!$P:$P,'IT FEED - Chart'!$A$8,'Incident Data Dump'!$H:$H,'IT FEED - Chart'!$B9,'Incident Data Dump'!$Q:$Q,'IT FEED - Chart'!H$2)</f>
        <v>2</v>
      </c>
      <c r="I9" s="15">
        <f>COUNTIFS('Incident Data Dump'!$P:$P,'IT FEED - Chart'!$A$8,'Incident Data Dump'!$H:$H,'IT FEED - Chart'!$B9,'Incident Data Dump'!$Q:$Q,'IT FEED - Chart'!I$2)</f>
        <v>0</v>
      </c>
      <c r="J9" s="18">
        <f t="shared" ref="J9:J20" si="18">SUBTOTAL(9,G9:I9)</f>
        <v>3</v>
      </c>
      <c r="K9" s="15">
        <f>COUNTIFS('Incident Data Dump'!$P:$P,'IT FEED - Chart'!$A$8,'Incident Data Dump'!$H:$H,'IT FEED - Chart'!$B9,'Incident Data Dump'!$Q:$Q,'IT FEED - Chart'!K$2)</f>
        <v>2</v>
      </c>
      <c r="L9" s="15">
        <f>COUNTIFS('Incident Data Dump'!$P:$P,'IT FEED - Chart'!$A$8,'Incident Data Dump'!$H:$H,'IT FEED - Chart'!$B9,'Incident Data Dump'!$Q:$Q,'IT FEED - Chart'!L$2)</f>
        <v>1</v>
      </c>
      <c r="M9" s="15">
        <f>COUNTIFS('Incident Data Dump'!$P:$P,'IT FEED - Chart'!$A$8,'Incident Data Dump'!$H:$H,'IT FEED - Chart'!$B9,'Incident Data Dump'!$Q:$Q,'IT FEED - Chart'!M$2)</f>
        <v>0</v>
      </c>
      <c r="N9" s="18">
        <f t="shared" ref="N9:N20" si="19">SUBTOTAL(9,K9:M9)</f>
        <v>3</v>
      </c>
      <c r="O9" s="15">
        <f>COUNTIFS('Incident Data Dump'!$P:$P,'IT FEED - Chart'!$A$8,'Incident Data Dump'!$H:$H,'IT FEED - Chart'!$B9,'Incident Data Dump'!$Q:$Q,'IT FEED - Chart'!O$2)</f>
        <v>2</v>
      </c>
      <c r="P9" s="15">
        <f>COUNTIFS('Incident Data Dump'!$P:$P,'IT FEED - Chart'!$A$8,'Incident Data Dump'!$H:$H,'IT FEED - Chart'!$B9,'Incident Data Dump'!$Q:$Q,'IT FEED - Chart'!P$2)</f>
        <v>0</v>
      </c>
      <c r="Q9" s="15">
        <f>COUNTIFS('Incident Data Dump'!$P:$P,'IT FEED - Chart'!$A$8,'Incident Data Dump'!$H:$H,'IT FEED - Chart'!$B9,'Incident Data Dump'!$Q:$Q,'IT FEED - Chart'!Q$2)</f>
        <v>2</v>
      </c>
      <c r="R9" s="18">
        <f t="shared" ref="R9:R20" si="20">SUBTOTAL(9,O9:Q9)</f>
        <v>4</v>
      </c>
      <c r="S9" s="18">
        <f t="shared" si="15"/>
        <v>14</v>
      </c>
      <c r="T9" s="15">
        <f>COUNTIFS('Incident Data Dump'!$P:$P,'IT FEED - Chart'!$A$8,'Incident Data Dump'!$H:$H,'IT FEED - Chart'!$B9,'Incident Data Dump'!$Q:$Q,'IT FEED - Chart'!T$2)</f>
        <v>0</v>
      </c>
      <c r="U9" s="15">
        <f>COUNTIFS('Incident Data Dump'!$P:$P,'IT FEED - Chart'!$A$8,'Incident Data Dump'!$H:$H,'IT FEED - Chart'!$B9,'Incident Data Dump'!$Q:$Q,'IT FEED - Chart'!U$2)</f>
        <v>5</v>
      </c>
      <c r="V9" s="15">
        <f>COUNTIFS('Incident Data Dump'!$P:$P,'IT FEED - Chart'!$A$8,'Incident Data Dump'!$H:$H,'IT FEED - Chart'!$B9,'Incident Data Dump'!$Q:$Q,'IT FEED - Chart'!V$2)</f>
        <v>0</v>
      </c>
      <c r="W9" s="18">
        <f t="shared" ref="W9:W20" si="21">SUBTOTAL(9,T9:V9)</f>
        <v>5</v>
      </c>
      <c r="X9" s="15">
        <f>COUNTIFS('Incident Data Dump'!$P:$P,'IT FEED - Chart'!$A$8,'Incident Data Dump'!$H:$H,'IT FEED - Chart'!$B9,'Incident Data Dump'!$Q:$Q,'IT FEED - Chart'!X$2)</f>
        <v>1</v>
      </c>
      <c r="Y9" s="15">
        <f>COUNTIFS('Incident Data Dump'!$P:$P,'IT FEED - Chart'!$A$8,'Incident Data Dump'!$H:$H,'IT FEED - Chart'!$B9,'Incident Data Dump'!$Q:$Q,'IT FEED - Chart'!Y$2)</f>
        <v>3</v>
      </c>
      <c r="Z9" s="15">
        <f>COUNTIFS('Incident Data Dump'!$P:$P,'IT FEED - Chart'!$A$8,'Incident Data Dump'!$H:$H,'IT FEED - Chart'!$B9,'Incident Data Dump'!$Q:$Q,'IT FEED - Chart'!Z$2)</f>
        <v>0</v>
      </c>
      <c r="AA9" s="18">
        <f t="shared" ref="AA9:AA20" si="22">SUBTOTAL(9,X9:Z9)</f>
        <v>4</v>
      </c>
      <c r="AB9" s="15">
        <f>COUNTIFS('Incident Data Dump'!$P:$P,'IT FEED - Chart'!$A$8,'Incident Data Dump'!$H:$H,'IT FEED - Chart'!$B9,'Incident Data Dump'!$Q:$Q,'IT FEED - Chart'!AB$2)</f>
        <v>3</v>
      </c>
      <c r="AC9" s="15">
        <f>COUNTIFS('Incident Data Dump'!$P:$P,'IT FEED - Chart'!$A$8,'Incident Data Dump'!$H:$H,'IT FEED - Chart'!$B9,'Incident Data Dump'!$Q:$Q,'IT FEED - Chart'!AC$2)</f>
        <v>3</v>
      </c>
      <c r="AD9" s="15">
        <f>COUNTIFS('Incident Data Dump'!$P:$P,'IT FEED - Chart'!$A$8,'Incident Data Dump'!$H:$H,'IT FEED - Chart'!$B9,'Incident Data Dump'!$Q:$Q,'IT FEED - Chart'!AD$2)</f>
        <v>1</v>
      </c>
      <c r="AE9" s="18">
        <f t="shared" ref="AE9:AE20" si="23">SUBTOTAL(9,AB9:AD9)</f>
        <v>7</v>
      </c>
      <c r="AF9" s="15">
        <f>COUNTIFS('Incident Data Dump'!$P:$P,'IT FEED - Chart'!$A$8,'Incident Data Dump'!$H:$H,'IT FEED - Chart'!$B9,'Incident Data Dump'!$Q:$Q,'IT FEED - Chart'!AF$2)</f>
        <v>4</v>
      </c>
      <c r="AG9" s="15">
        <f>COUNTIFS('Incident Data Dump'!$P:$P,'IT FEED - Chart'!$A$8,'Incident Data Dump'!$H:$H,'IT FEED - Chart'!$B9,'Incident Data Dump'!$Q:$Q,'IT FEED - Chart'!AG$2)</f>
        <v>2</v>
      </c>
      <c r="AH9" s="15">
        <f>COUNTIFS('Incident Data Dump'!$P:$P,'IT FEED - Chart'!$A$8,'Incident Data Dump'!$H:$H,'IT FEED - Chart'!$B9,'Incident Data Dump'!$Q:$Q,'IT FEED - Chart'!AH$2)</f>
        <v>0</v>
      </c>
      <c r="AI9" s="18">
        <f t="shared" ref="AI9:AI20" si="24">SUBTOTAL(9,AF9:AH9)</f>
        <v>6</v>
      </c>
      <c r="AJ9" s="15">
        <f t="shared" si="16"/>
        <v>22</v>
      </c>
    </row>
    <row r="10" spans="1:36" ht="15.75" thickBot="1" x14ac:dyDescent="0.3">
      <c r="A10" s="129"/>
      <c r="B10" s="13" t="s">
        <v>18</v>
      </c>
      <c r="C10" s="38">
        <f>COUNTIFS('Incident Data Dump'!$P:$P,'IT FEED - Chart'!$A$8,'Incident Data Dump'!$H:$H,'IT FEED - Chart'!$B10,'Incident Data Dump'!$Q:$Q,'IT FEED - Chart'!C$2)</f>
        <v>0</v>
      </c>
      <c r="D10" s="38">
        <f>COUNTIFS('Incident Data Dump'!$P:$P,'IT FEED - Chart'!$A$8,'Incident Data Dump'!$H:$H,'IT FEED - Chart'!$B10,'Incident Data Dump'!$Q:$Q,'IT FEED - Chart'!D$2)</f>
        <v>0</v>
      </c>
      <c r="E10" s="38">
        <f>COUNTIFS('Incident Data Dump'!$P:$P,'IT FEED - Chart'!$A$8,'Incident Data Dump'!$H:$H,'IT FEED - Chart'!$B10,'Incident Data Dump'!$Q:$Q,'IT FEED - Chart'!E$2)</f>
        <v>0</v>
      </c>
      <c r="F10" s="39">
        <f t="shared" si="17"/>
        <v>0</v>
      </c>
      <c r="G10" s="38">
        <f>COUNTIFS('Incident Data Dump'!$P:$P,'IT FEED - Chart'!$A$8,'Incident Data Dump'!$H:$H,'IT FEED - Chart'!$B10,'Incident Data Dump'!$Q:$Q,'IT FEED - Chart'!G$2)</f>
        <v>0</v>
      </c>
      <c r="H10" s="38">
        <f>COUNTIFS('Incident Data Dump'!$P:$P,'IT FEED - Chart'!$A$8,'Incident Data Dump'!$H:$H,'IT FEED - Chart'!$B10,'Incident Data Dump'!$Q:$Q,'IT FEED - Chart'!H$2)</f>
        <v>0</v>
      </c>
      <c r="I10" s="38">
        <f>COUNTIFS('Incident Data Dump'!$P:$P,'IT FEED - Chart'!$A$8,'Incident Data Dump'!$H:$H,'IT FEED - Chart'!$B10,'Incident Data Dump'!$Q:$Q,'IT FEED - Chart'!I$2)</f>
        <v>0</v>
      </c>
      <c r="J10" s="39">
        <f t="shared" si="18"/>
        <v>0</v>
      </c>
      <c r="K10" s="38">
        <f>COUNTIFS('Incident Data Dump'!$P:$P,'IT FEED - Chart'!$A$8,'Incident Data Dump'!$H:$H,'IT FEED - Chart'!$B10,'Incident Data Dump'!$Q:$Q,'IT FEED - Chart'!K$2)</f>
        <v>2</v>
      </c>
      <c r="L10" s="38">
        <f>COUNTIFS('Incident Data Dump'!$P:$P,'IT FEED - Chart'!$A$8,'Incident Data Dump'!$H:$H,'IT FEED - Chart'!$B10,'Incident Data Dump'!$Q:$Q,'IT FEED - Chart'!L$2)</f>
        <v>6</v>
      </c>
      <c r="M10" s="38">
        <f>COUNTIFS('Incident Data Dump'!$P:$P,'IT FEED - Chart'!$A$8,'Incident Data Dump'!$H:$H,'IT FEED - Chart'!$B10,'Incident Data Dump'!$Q:$Q,'IT FEED - Chart'!M$2)</f>
        <v>1</v>
      </c>
      <c r="N10" s="39">
        <f t="shared" si="19"/>
        <v>9</v>
      </c>
      <c r="O10" s="38">
        <f>COUNTIFS('Incident Data Dump'!$P:$P,'IT FEED - Chart'!$A$8,'Incident Data Dump'!$H:$H,'IT FEED - Chart'!$B10,'Incident Data Dump'!$Q:$Q,'IT FEED - Chart'!O$2)</f>
        <v>0</v>
      </c>
      <c r="P10" s="38">
        <f>COUNTIFS('Incident Data Dump'!$P:$P,'IT FEED - Chart'!$A$8,'Incident Data Dump'!$H:$H,'IT FEED - Chart'!$B10,'Incident Data Dump'!$Q:$Q,'IT FEED - Chart'!P$2)</f>
        <v>5</v>
      </c>
      <c r="Q10" s="38">
        <f>COUNTIFS('Incident Data Dump'!$P:$P,'IT FEED - Chart'!$A$8,'Incident Data Dump'!$H:$H,'IT FEED - Chart'!$B10,'Incident Data Dump'!$Q:$Q,'IT FEED - Chart'!Q$2)</f>
        <v>4</v>
      </c>
      <c r="R10" s="19">
        <f t="shared" si="20"/>
        <v>9</v>
      </c>
      <c r="S10" s="19">
        <f t="shared" si="15"/>
        <v>18</v>
      </c>
      <c r="T10" s="16">
        <f>COUNTIFS('Incident Data Dump'!$P:$P,'IT FEED - Chart'!$A$8,'Incident Data Dump'!$H:$H,'IT FEED - Chart'!$B10,'Incident Data Dump'!$Q:$Q,'IT FEED - Chart'!T$2)</f>
        <v>3</v>
      </c>
      <c r="U10" s="16">
        <f>COUNTIFS('Incident Data Dump'!$P:$P,'IT FEED - Chart'!$A$8,'Incident Data Dump'!$H:$H,'IT FEED - Chart'!$B10,'Incident Data Dump'!$Q:$Q,'IT FEED - Chart'!U$2)</f>
        <v>6</v>
      </c>
      <c r="V10" s="16">
        <f>COUNTIFS('Incident Data Dump'!$P:$P,'IT FEED - Chart'!$A$8,'Incident Data Dump'!$H:$H,'IT FEED - Chart'!$B10,'Incident Data Dump'!$Q:$Q,'IT FEED - Chart'!V$2)</f>
        <v>0</v>
      </c>
      <c r="W10" s="19">
        <f t="shared" si="21"/>
        <v>9</v>
      </c>
      <c r="X10" s="16">
        <f>COUNTIFS('Incident Data Dump'!$P:$P,'IT FEED - Chart'!$A$8,'Incident Data Dump'!$H:$H,'IT FEED - Chart'!$B10,'Incident Data Dump'!$Q:$Q,'IT FEED - Chart'!X$2)</f>
        <v>4</v>
      </c>
      <c r="Y10" s="16">
        <f>COUNTIFS('Incident Data Dump'!$P:$P,'IT FEED - Chart'!$A$8,'Incident Data Dump'!$H:$H,'IT FEED - Chart'!$B10,'Incident Data Dump'!$Q:$Q,'IT FEED - Chart'!Y$2)</f>
        <v>5</v>
      </c>
      <c r="Z10" s="16">
        <f>COUNTIFS('Incident Data Dump'!$P:$P,'IT FEED - Chart'!$A$8,'Incident Data Dump'!$H:$H,'IT FEED - Chart'!$B10,'Incident Data Dump'!$Q:$Q,'IT FEED - Chart'!Z$2)</f>
        <v>6</v>
      </c>
      <c r="AA10" s="19">
        <f t="shared" si="22"/>
        <v>15</v>
      </c>
      <c r="AB10" s="16">
        <f>COUNTIFS('Incident Data Dump'!$P:$P,'IT FEED - Chart'!$A$8,'Incident Data Dump'!$H:$H,'IT FEED - Chart'!$B10,'Incident Data Dump'!$Q:$Q,'IT FEED - Chart'!AB$2)</f>
        <v>3</v>
      </c>
      <c r="AC10" s="16">
        <f>COUNTIFS('Incident Data Dump'!$P:$P,'IT FEED - Chart'!$A$8,'Incident Data Dump'!$H:$H,'IT FEED - Chart'!$B10,'Incident Data Dump'!$Q:$Q,'IT FEED - Chart'!AC$2)</f>
        <v>2</v>
      </c>
      <c r="AD10" s="16">
        <f>COUNTIFS('Incident Data Dump'!$P:$P,'IT FEED - Chart'!$A$8,'Incident Data Dump'!$H:$H,'IT FEED - Chart'!$B10,'Incident Data Dump'!$Q:$Q,'IT FEED - Chart'!AD$2)</f>
        <v>5</v>
      </c>
      <c r="AE10" s="19">
        <f t="shared" si="23"/>
        <v>10</v>
      </c>
      <c r="AF10" s="16">
        <f>COUNTIFS('Incident Data Dump'!$P:$P,'IT FEED - Chart'!$A$8,'Incident Data Dump'!$H:$H,'IT FEED - Chart'!$B10,'Incident Data Dump'!$Q:$Q,'IT FEED - Chart'!AF$2)</f>
        <v>0</v>
      </c>
      <c r="AG10" s="16">
        <f>COUNTIFS('Incident Data Dump'!$P:$P,'IT FEED - Chart'!$A$8,'Incident Data Dump'!$H:$H,'IT FEED - Chart'!$B10,'Incident Data Dump'!$Q:$Q,'IT FEED - Chart'!AG$2)</f>
        <v>1</v>
      </c>
      <c r="AH10" s="16">
        <f>COUNTIFS('Incident Data Dump'!$P:$P,'IT FEED - Chart'!$A$8,'Incident Data Dump'!$H:$H,'IT FEED - Chart'!$B10,'Incident Data Dump'!$Q:$Q,'IT FEED - Chart'!AH$2)</f>
        <v>0</v>
      </c>
      <c r="AI10" s="19">
        <f t="shared" si="24"/>
        <v>1</v>
      </c>
      <c r="AJ10" s="16">
        <f t="shared" si="16"/>
        <v>35</v>
      </c>
    </row>
    <row r="11" spans="1:36" ht="15.75" thickBot="1" x14ac:dyDescent="0.3">
      <c r="A11" s="26"/>
      <c r="B11" s="56" t="s">
        <v>272</v>
      </c>
      <c r="C11" s="37">
        <f t="shared" ref="C11:S11" si="25">SUM(C8:C10)</f>
        <v>1</v>
      </c>
      <c r="D11" s="37">
        <f t="shared" si="25"/>
        <v>1</v>
      </c>
      <c r="E11" s="37">
        <f t="shared" si="25"/>
        <v>3</v>
      </c>
      <c r="F11" s="37">
        <f t="shared" si="25"/>
        <v>5</v>
      </c>
      <c r="G11" s="37">
        <f t="shared" si="25"/>
        <v>1</v>
      </c>
      <c r="H11" s="37">
        <f t="shared" si="25"/>
        <v>5</v>
      </c>
      <c r="I11" s="37">
        <f t="shared" si="25"/>
        <v>1</v>
      </c>
      <c r="J11" s="37">
        <f t="shared" si="25"/>
        <v>7</v>
      </c>
      <c r="K11" s="37">
        <f t="shared" si="25"/>
        <v>5</v>
      </c>
      <c r="L11" s="37">
        <f t="shared" si="25"/>
        <v>8</v>
      </c>
      <c r="M11" s="37">
        <f t="shared" si="25"/>
        <v>4</v>
      </c>
      <c r="N11" s="37">
        <f t="shared" si="25"/>
        <v>17</v>
      </c>
      <c r="O11" s="37">
        <f t="shared" si="25"/>
        <v>2</v>
      </c>
      <c r="P11" s="37">
        <f t="shared" si="25"/>
        <v>6</v>
      </c>
      <c r="Q11" s="37">
        <f t="shared" si="25"/>
        <v>6</v>
      </c>
      <c r="R11" s="37">
        <f t="shared" si="25"/>
        <v>14</v>
      </c>
      <c r="S11" s="37">
        <f t="shared" si="25"/>
        <v>43</v>
      </c>
      <c r="T11" s="37">
        <f>SUM(T8:T10)</f>
        <v>4</v>
      </c>
      <c r="U11" s="37">
        <f t="shared" ref="U11:AJ11" si="26">SUM(U8:U10)</f>
        <v>12</v>
      </c>
      <c r="V11" s="37">
        <f t="shared" si="26"/>
        <v>1</v>
      </c>
      <c r="W11" s="37">
        <f t="shared" si="26"/>
        <v>17</v>
      </c>
      <c r="X11" s="37">
        <f t="shared" si="26"/>
        <v>5</v>
      </c>
      <c r="Y11" s="37">
        <f t="shared" si="26"/>
        <v>8</v>
      </c>
      <c r="Z11" s="37">
        <f t="shared" si="26"/>
        <v>7</v>
      </c>
      <c r="AA11" s="37">
        <f t="shared" si="26"/>
        <v>20</v>
      </c>
      <c r="AB11" s="37">
        <f t="shared" si="26"/>
        <v>7</v>
      </c>
      <c r="AC11" s="37">
        <f t="shared" si="26"/>
        <v>5</v>
      </c>
      <c r="AD11" s="37">
        <f t="shared" si="26"/>
        <v>6</v>
      </c>
      <c r="AE11" s="37">
        <f t="shared" si="26"/>
        <v>18</v>
      </c>
      <c r="AF11" s="37">
        <f t="shared" si="26"/>
        <v>5</v>
      </c>
      <c r="AG11" s="37">
        <f t="shared" si="26"/>
        <v>4</v>
      </c>
      <c r="AH11" s="37">
        <f t="shared" si="26"/>
        <v>0</v>
      </c>
      <c r="AI11" s="37">
        <f t="shared" si="26"/>
        <v>9</v>
      </c>
      <c r="AJ11" s="37">
        <f t="shared" si="26"/>
        <v>64</v>
      </c>
    </row>
    <row r="12" spans="1:36" ht="15.75" thickBot="1" x14ac:dyDescent="0.3">
      <c r="C12" s="40"/>
      <c r="D12" s="40"/>
      <c r="E12" s="40"/>
      <c r="F12" s="40"/>
      <c r="G12" s="40"/>
      <c r="H12" s="40"/>
      <c r="I12" s="40"/>
      <c r="J12" s="40"/>
      <c r="K12" s="40"/>
      <c r="L12" s="40"/>
      <c r="M12" s="40"/>
      <c r="N12" s="40"/>
      <c r="O12" s="40"/>
      <c r="P12" s="40"/>
      <c r="Q12" s="40"/>
      <c r="R12" s="40"/>
      <c r="S12" s="40"/>
      <c r="T12" s="40"/>
    </row>
    <row r="13" spans="1:36" ht="15.75" thickBot="1" x14ac:dyDescent="0.3">
      <c r="A13" s="129" t="s">
        <v>264</v>
      </c>
      <c r="B13" s="11" t="s">
        <v>13</v>
      </c>
      <c r="C13" s="15">
        <f>COUNTIFS('Incident Data Dump'!$P:$P,'IT FEED - Chart'!$A$13,'Incident Data Dump'!$H:$H,'IT FEED - Chart'!$B13,'Incident Data Dump'!$Q:$Q,'IT FEED - Chart'!C$2)</f>
        <v>0</v>
      </c>
      <c r="D13" s="15">
        <f>COUNTIFS('Incident Data Dump'!$P:$P,'IT FEED - Chart'!$A$13,'Incident Data Dump'!$H:$H,'IT FEED - Chart'!$B13,'Incident Data Dump'!$Q:$Q,'IT FEED - Chart'!D$2)</f>
        <v>4</v>
      </c>
      <c r="E13" s="15">
        <f>COUNTIFS('Incident Data Dump'!$P:$P,'IT FEED - Chart'!$A$13,'Incident Data Dump'!$H:$H,'IT FEED - Chart'!$B13,'Incident Data Dump'!$Q:$Q,'IT FEED - Chart'!E$2)</f>
        <v>3</v>
      </c>
      <c r="F13" s="18">
        <f t="shared" si="17"/>
        <v>7</v>
      </c>
      <c r="G13" s="15">
        <f>COUNTIFS('Incident Data Dump'!$P:$P,'IT FEED - Chart'!$A$13,'Incident Data Dump'!$H:$H,'IT FEED - Chart'!$B13,'Incident Data Dump'!$Q:$Q,'IT FEED - Chart'!G$2)</f>
        <v>0</v>
      </c>
      <c r="H13" s="15">
        <f>COUNTIFS('Incident Data Dump'!$P:$P,'IT FEED - Chart'!$A$13,'Incident Data Dump'!$H:$H,'IT FEED - Chart'!$B13,'Incident Data Dump'!$Q:$Q,'IT FEED - Chart'!H$2)</f>
        <v>2</v>
      </c>
      <c r="I13" s="15">
        <f>COUNTIFS('Incident Data Dump'!$P:$P,'IT FEED - Chart'!$A$13,'Incident Data Dump'!$H:$H,'IT FEED - Chart'!$B13,'Incident Data Dump'!$Q:$Q,'IT FEED - Chart'!I$2)</f>
        <v>2</v>
      </c>
      <c r="J13" s="18">
        <f t="shared" si="18"/>
        <v>4</v>
      </c>
      <c r="K13" s="15">
        <f>COUNTIFS('Incident Data Dump'!$P:$P,'IT FEED - Chart'!$A$13,'Incident Data Dump'!$H:$H,'IT FEED - Chart'!$B13,'Incident Data Dump'!$Q:$Q,'IT FEED - Chart'!K$2)</f>
        <v>0</v>
      </c>
      <c r="L13" s="15">
        <f>COUNTIFS('Incident Data Dump'!$P:$P,'IT FEED - Chart'!$A$13,'Incident Data Dump'!$H:$H,'IT FEED - Chart'!$B13,'Incident Data Dump'!$Q:$Q,'IT FEED - Chart'!L$2)</f>
        <v>0</v>
      </c>
      <c r="M13" s="15">
        <f>COUNTIFS('Incident Data Dump'!$P:$P,'IT FEED - Chart'!$A$13,'Incident Data Dump'!$H:$H,'IT FEED - Chart'!$B13,'Incident Data Dump'!$Q:$Q,'IT FEED - Chart'!M$2)</f>
        <v>0</v>
      </c>
      <c r="N13" s="18">
        <f t="shared" si="19"/>
        <v>0</v>
      </c>
      <c r="O13" s="15">
        <f>COUNTIFS('Incident Data Dump'!$P:$P,'IT FEED - Chart'!$A$13,'Incident Data Dump'!$H:$H,'IT FEED - Chart'!$B13,'Incident Data Dump'!$Q:$Q,'IT FEED - Chart'!O$2)</f>
        <v>0</v>
      </c>
      <c r="P13" s="15">
        <f>COUNTIFS('Incident Data Dump'!$P:$P,'IT FEED - Chart'!$A$13,'Incident Data Dump'!$H:$H,'IT FEED - Chart'!$B13,'Incident Data Dump'!$Q:$Q,'IT FEED - Chart'!P$2)</f>
        <v>1</v>
      </c>
      <c r="Q13" s="15">
        <f>COUNTIFS('Incident Data Dump'!$P:$P,'IT FEED - Chart'!$A$13,'Incident Data Dump'!$H:$H,'IT FEED - Chart'!$B13,'Incident Data Dump'!$Q:$Q,'IT FEED - Chart'!Q$2)</f>
        <v>1</v>
      </c>
      <c r="R13" s="17">
        <f t="shared" si="20"/>
        <v>2</v>
      </c>
      <c r="S13" s="17">
        <f t="shared" si="15"/>
        <v>13</v>
      </c>
      <c r="T13" s="14">
        <f>COUNTIFS('Incident Data Dump'!$P:$P,'IT FEED - Chart'!$A$13,'Incident Data Dump'!$H:$H,'IT FEED - Chart'!$B13,'Incident Data Dump'!$Q:$Q,'IT FEED - Chart'!T$2)</f>
        <v>0</v>
      </c>
      <c r="U13" s="14">
        <f>COUNTIFS('Incident Data Dump'!$P:$P,'IT FEED - Chart'!$A$13,'Incident Data Dump'!$H:$H,'IT FEED - Chart'!$B13,'Incident Data Dump'!$Q:$Q,'IT FEED - Chart'!U$2)</f>
        <v>0</v>
      </c>
      <c r="V13" s="14">
        <f>COUNTIFS('Incident Data Dump'!$P:$P,'IT FEED - Chart'!$A$13,'Incident Data Dump'!$H:$H,'IT FEED - Chart'!$B13,'Incident Data Dump'!$Q:$Q,'IT FEED - Chart'!V$2)</f>
        <v>0</v>
      </c>
      <c r="W13" s="17">
        <f t="shared" si="21"/>
        <v>0</v>
      </c>
      <c r="X13" s="14">
        <f>COUNTIFS('Incident Data Dump'!$P:$P,'IT FEED - Chart'!$A$13,'Incident Data Dump'!$H:$H,'IT FEED - Chart'!$B13,'Incident Data Dump'!$Q:$Q,'IT FEED - Chart'!X$2)</f>
        <v>0</v>
      </c>
      <c r="Y13" s="14">
        <f>COUNTIFS('Incident Data Dump'!$P:$P,'IT FEED - Chart'!$A$13,'Incident Data Dump'!$H:$H,'IT FEED - Chart'!$B13,'Incident Data Dump'!$Q:$Q,'IT FEED - Chart'!Y$2)</f>
        <v>0</v>
      </c>
      <c r="Z13" s="14">
        <f>COUNTIFS('Incident Data Dump'!$P:$P,'IT FEED - Chart'!$A$13,'Incident Data Dump'!$H:$H,'IT FEED - Chart'!$B13,'Incident Data Dump'!$Q:$Q,'IT FEED - Chart'!Z$2)</f>
        <v>0</v>
      </c>
      <c r="AA13" s="17">
        <f t="shared" si="22"/>
        <v>0</v>
      </c>
      <c r="AB13" s="14">
        <f>COUNTIFS('Incident Data Dump'!$P:$P,'IT FEED - Chart'!$A$13,'Incident Data Dump'!$H:$H,'IT FEED - Chart'!$B13,'Incident Data Dump'!$Q:$Q,'IT FEED - Chart'!AB$2)</f>
        <v>0</v>
      </c>
      <c r="AC13" s="14">
        <f>COUNTIFS('Incident Data Dump'!$P:$P,'IT FEED - Chart'!$A$13,'Incident Data Dump'!$H:$H,'IT FEED - Chart'!$B13,'Incident Data Dump'!$Q:$Q,'IT FEED - Chart'!AC$2)</f>
        <v>0</v>
      </c>
      <c r="AD13" s="14">
        <f>COUNTIFS('Incident Data Dump'!$P:$P,'IT FEED - Chart'!$A$13,'Incident Data Dump'!$H:$H,'IT FEED - Chart'!$B13,'Incident Data Dump'!$Q:$Q,'IT FEED - Chart'!AD$2)</f>
        <v>0</v>
      </c>
      <c r="AE13" s="17">
        <f t="shared" si="23"/>
        <v>0</v>
      </c>
      <c r="AF13" s="14">
        <f>COUNTIFS('Incident Data Dump'!$P:$P,'IT FEED - Chart'!$A$13,'Incident Data Dump'!$H:$H,'IT FEED - Chart'!$B13,'Incident Data Dump'!$Q:$Q,'IT FEED - Chart'!AF$2)</f>
        <v>0</v>
      </c>
      <c r="AG13" s="14">
        <f>COUNTIFS('Incident Data Dump'!$P:$P,'IT FEED - Chart'!$A$13,'Incident Data Dump'!$H:$H,'IT FEED - Chart'!$B13,'Incident Data Dump'!$Q:$Q,'IT FEED - Chart'!AG$2)</f>
        <v>0</v>
      </c>
      <c r="AH13" s="14">
        <f>COUNTIFS('Incident Data Dump'!$P:$P,'IT FEED - Chart'!$A$13,'Incident Data Dump'!$H:$H,'IT FEED - Chart'!$B13,'Incident Data Dump'!$Q:$Q,'IT FEED - Chart'!AH$2)</f>
        <v>0</v>
      </c>
      <c r="AI13" s="17">
        <f t="shared" si="24"/>
        <v>0</v>
      </c>
      <c r="AJ13" s="14">
        <f t="shared" si="16"/>
        <v>0</v>
      </c>
    </row>
    <row r="14" spans="1:36" ht="15.75" thickBot="1" x14ac:dyDescent="0.3">
      <c r="A14" s="129"/>
      <c r="B14" s="12" t="s">
        <v>9</v>
      </c>
      <c r="C14" s="15">
        <f>COUNTIFS('Incident Data Dump'!$P:$P,'IT FEED - Chart'!$A$13,'Incident Data Dump'!$H:$H,'IT FEED - Chart'!$B14,'Incident Data Dump'!$Q:$Q,'IT FEED - Chart'!C$2)</f>
        <v>4</v>
      </c>
      <c r="D14" s="15">
        <f>COUNTIFS('Incident Data Dump'!$P:$P,'IT FEED - Chart'!$A$13,'Incident Data Dump'!$H:$H,'IT FEED - Chart'!$B14,'Incident Data Dump'!$Q:$Q,'IT FEED - Chart'!D$2)</f>
        <v>5</v>
      </c>
      <c r="E14" s="15">
        <f>COUNTIFS('Incident Data Dump'!$P:$P,'IT FEED - Chart'!$A$13,'Incident Data Dump'!$H:$H,'IT FEED - Chart'!$B14,'Incident Data Dump'!$Q:$Q,'IT FEED - Chart'!E$2)</f>
        <v>4</v>
      </c>
      <c r="F14" s="18">
        <f t="shared" si="17"/>
        <v>13</v>
      </c>
      <c r="G14" s="15">
        <f>COUNTIFS('Incident Data Dump'!$P:$P,'IT FEED - Chart'!$A$13,'Incident Data Dump'!$H:$H,'IT FEED - Chart'!$B14,'Incident Data Dump'!$Q:$Q,'IT FEED - Chart'!G$2)</f>
        <v>8</v>
      </c>
      <c r="H14" s="15">
        <f>COUNTIFS('Incident Data Dump'!$P:$P,'IT FEED - Chart'!$A$13,'Incident Data Dump'!$H:$H,'IT FEED - Chart'!$B14,'Incident Data Dump'!$Q:$Q,'IT FEED - Chart'!H$2)</f>
        <v>3</v>
      </c>
      <c r="I14" s="15">
        <f>COUNTIFS('Incident Data Dump'!$P:$P,'IT FEED - Chart'!$A$13,'Incident Data Dump'!$H:$H,'IT FEED - Chart'!$B14,'Incident Data Dump'!$Q:$Q,'IT FEED - Chart'!I$2)</f>
        <v>3</v>
      </c>
      <c r="J14" s="18">
        <f t="shared" si="18"/>
        <v>14</v>
      </c>
      <c r="K14" s="15">
        <f>COUNTIFS('Incident Data Dump'!$P:$P,'IT FEED - Chart'!$A$13,'Incident Data Dump'!$H:$H,'IT FEED - Chart'!$B14,'Incident Data Dump'!$Q:$Q,'IT FEED - Chart'!K$2)</f>
        <v>0</v>
      </c>
      <c r="L14" s="15">
        <f>COUNTIFS('Incident Data Dump'!$P:$P,'IT FEED - Chart'!$A$13,'Incident Data Dump'!$H:$H,'IT FEED - Chart'!$B14,'Incident Data Dump'!$Q:$Q,'IT FEED - Chart'!L$2)</f>
        <v>0</v>
      </c>
      <c r="M14" s="15">
        <f>COUNTIFS('Incident Data Dump'!$P:$P,'IT FEED - Chart'!$A$13,'Incident Data Dump'!$H:$H,'IT FEED - Chart'!$B14,'Incident Data Dump'!$Q:$Q,'IT FEED - Chart'!M$2)</f>
        <v>0</v>
      </c>
      <c r="N14" s="18">
        <f t="shared" si="19"/>
        <v>0</v>
      </c>
      <c r="O14" s="15">
        <f>COUNTIFS('Incident Data Dump'!$P:$P,'IT FEED - Chart'!$A$13,'Incident Data Dump'!$H:$H,'IT FEED - Chart'!$B14,'Incident Data Dump'!$Q:$Q,'IT FEED - Chart'!O$2)</f>
        <v>0</v>
      </c>
      <c r="P14" s="15">
        <f>COUNTIFS('Incident Data Dump'!$P:$P,'IT FEED - Chart'!$A$13,'Incident Data Dump'!$H:$H,'IT FEED - Chart'!$B14,'Incident Data Dump'!$Q:$Q,'IT FEED - Chart'!P$2)</f>
        <v>0</v>
      </c>
      <c r="Q14" s="15">
        <f>COUNTIFS('Incident Data Dump'!$P:$P,'IT FEED - Chart'!$A$13,'Incident Data Dump'!$H:$H,'IT FEED - Chart'!$B14,'Incident Data Dump'!$Q:$Q,'IT FEED - Chart'!Q$2)</f>
        <v>0</v>
      </c>
      <c r="R14" s="18">
        <f t="shared" si="20"/>
        <v>0</v>
      </c>
      <c r="S14" s="18">
        <f t="shared" si="15"/>
        <v>27</v>
      </c>
      <c r="T14" s="15">
        <f>COUNTIFS('Incident Data Dump'!$P:$P,'IT FEED - Chart'!$A$13,'Incident Data Dump'!$H:$H,'IT FEED - Chart'!$B14,'Incident Data Dump'!$Q:$Q,'IT FEED - Chart'!T$2)</f>
        <v>1</v>
      </c>
      <c r="U14" s="15">
        <f>COUNTIFS('Incident Data Dump'!$P:$P,'IT FEED - Chart'!$A$13,'Incident Data Dump'!$H:$H,'IT FEED - Chart'!$B14,'Incident Data Dump'!$Q:$Q,'IT FEED - Chart'!U$2)</f>
        <v>1</v>
      </c>
      <c r="V14" s="15">
        <f>COUNTIFS('Incident Data Dump'!$P:$P,'IT FEED - Chart'!$A$13,'Incident Data Dump'!$H:$H,'IT FEED - Chart'!$B14,'Incident Data Dump'!$Q:$Q,'IT FEED - Chart'!V$2)</f>
        <v>0</v>
      </c>
      <c r="W14" s="18">
        <f t="shared" si="21"/>
        <v>2</v>
      </c>
      <c r="X14" s="15">
        <f>COUNTIFS('Incident Data Dump'!$P:$P,'IT FEED - Chart'!$A$13,'Incident Data Dump'!$H:$H,'IT FEED - Chart'!$B14,'Incident Data Dump'!$Q:$Q,'IT FEED - Chart'!X$2)</f>
        <v>0</v>
      </c>
      <c r="Y14" s="15">
        <f>COUNTIFS('Incident Data Dump'!$P:$P,'IT FEED - Chart'!$A$13,'Incident Data Dump'!$H:$H,'IT FEED - Chart'!$B14,'Incident Data Dump'!$Q:$Q,'IT FEED - Chart'!Y$2)</f>
        <v>1</v>
      </c>
      <c r="Z14" s="15">
        <f>COUNTIFS('Incident Data Dump'!$P:$P,'IT FEED - Chart'!$A$13,'Incident Data Dump'!$H:$H,'IT FEED - Chart'!$B14,'Incident Data Dump'!$Q:$Q,'IT FEED - Chart'!Z$2)</f>
        <v>0</v>
      </c>
      <c r="AA14" s="18">
        <f t="shared" si="22"/>
        <v>1</v>
      </c>
      <c r="AB14" s="15">
        <f>COUNTIFS('Incident Data Dump'!$P:$P,'IT FEED - Chart'!$A$13,'Incident Data Dump'!$H:$H,'IT FEED - Chart'!$B14,'Incident Data Dump'!$Q:$Q,'IT FEED - Chart'!AB$2)</f>
        <v>1</v>
      </c>
      <c r="AC14" s="15">
        <f>COUNTIFS('Incident Data Dump'!$P:$P,'IT FEED - Chart'!$A$13,'Incident Data Dump'!$H:$H,'IT FEED - Chart'!$B14,'Incident Data Dump'!$Q:$Q,'IT FEED - Chart'!AC$2)</f>
        <v>0</v>
      </c>
      <c r="AD14" s="15">
        <f>COUNTIFS('Incident Data Dump'!$P:$P,'IT FEED - Chart'!$A$13,'Incident Data Dump'!$H:$H,'IT FEED - Chart'!$B14,'Incident Data Dump'!$Q:$Q,'IT FEED - Chart'!AD$2)</f>
        <v>0</v>
      </c>
      <c r="AE14" s="18">
        <f t="shared" si="23"/>
        <v>1</v>
      </c>
      <c r="AF14" s="15">
        <f>COUNTIFS('Incident Data Dump'!$P:$P,'IT FEED - Chart'!$A$13,'Incident Data Dump'!$H:$H,'IT FEED - Chart'!$B14,'Incident Data Dump'!$Q:$Q,'IT FEED - Chart'!AF$2)</f>
        <v>0</v>
      </c>
      <c r="AG14" s="15">
        <f>COUNTIFS('Incident Data Dump'!$P:$P,'IT FEED - Chart'!$A$13,'Incident Data Dump'!$H:$H,'IT FEED - Chart'!$B14,'Incident Data Dump'!$Q:$Q,'IT FEED - Chart'!AG$2)</f>
        <v>0</v>
      </c>
      <c r="AH14" s="15">
        <f>COUNTIFS('Incident Data Dump'!$P:$P,'IT FEED - Chart'!$A$13,'Incident Data Dump'!$H:$H,'IT FEED - Chart'!$B14,'Incident Data Dump'!$Q:$Q,'IT FEED - Chart'!AH$2)</f>
        <v>0</v>
      </c>
      <c r="AI14" s="18">
        <f t="shared" si="24"/>
        <v>0</v>
      </c>
      <c r="AJ14" s="15">
        <f t="shared" si="16"/>
        <v>4</v>
      </c>
    </row>
    <row r="15" spans="1:36" ht="15.75" thickBot="1" x14ac:dyDescent="0.3">
      <c r="A15" s="129"/>
      <c r="B15" s="13" t="s">
        <v>18</v>
      </c>
      <c r="C15" s="16">
        <f>COUNTIFS('Incident Data Dump'!$P:$P,'IT FEED - Chart'!$A$13,'Incident Data Dump'!$H:$H,'IT FEED - Chart'!$B15,'Incident Data Dump'!$Q:$Q,'IT FEED - Chart'!C$2)</f>
        <v>2</v>
      </c>
      <c r="D15" s="16">
        <f>COUNTIFS('Incident Data Dump'!$P:$P,'IT FEED - Chart'!$A$13,'Incident Data Dump'!$H:$H,'IT FEED - Chart'!$B15,'Incident Data Dump'!$Q:$Q,'IT FEED - Chart'!D$2)</f>
        <v>2</v>
      </c>
      <c r="E15" s="16">
        <f>COUNTIFS('Incident Data Dump'!$P:$P,'IT FEED - Chart'!$A$13,'Incident Data Dump'!$H:$H,'IT FEED - Chart'!$B15,'Incident Data Dump'!$Q:$Q,'IT FEED - Chart'!E$2)</f>
        <v>3</v>
      </c>
      <c r="F15" s="19">
        <f t="shared" si="17"/>
        <v>7</v>
      </c>
      <c r="G15" s="16">
        <f>COUNTIFS('Incident Data Dump'!$P:$P,'IT FEED - Chart'!$A$13,'Incident Data Dump'!$H:$H,'IT FEED - Chart'!$B15,'Incident Data Dump'!$Q:$Q,'IT FEED - Chart'!G$2)</f>
        <v>0</v>
      </c>
      <c r="H15" s="16">
        <f>COUNTIFS('Incident Data Dump'!$P:$P,'IT FEED - Chart'!$A$13,'Incident Data Dump'!$H:$H,'IT FEED - Chart'!$B15,'Incident Data Dump'!$Q:$Q,'IT FEED - Chart'!H$2)</f>
        <v>4</v>
      </c>
      <c r="I15" s="16">
        <f>COUNTIFS('Incident Data Dump'!$P:$P,'IT FEED - Chart'!$A$13,'Incident Data Dump'!$H:$H,'IT FEED - Chart'!$B15,'Incident Data Dump'!$Q:$Q,'IT FEED - Chart'!I$2)</f>
        <v>2</v>
      </c>
      <c r="J15" s="19">
        <f t="shared" si="18"/>
        <v>6</v>
      </c>
      <c r="K15" s="16">
        <f>COUNTIFS('Incident Data Dump'!$P:$P,'IT FEED - Chart'!$A$13,'Incident Data Dump'!$H:$H,'IT FEED - Chart'!$B15,'Incident Data Dump'!$Q:$Q,'IT FEED - Chart'!K$2)</f>
        <v>1</v>
      </c>
      <c r="L15" s="16">
        <f>COUNTIFS('Incident Data Dump'!$P:$P,'IT FEED - Chart'!$A$13,'Incident Data Dump'!$H:$H,'IT FEED - Chart'!$B15,'Incident Data Dump'!$Q:$Q,'IT FEED - Chart'!L$2)</f>
        <v>0</v>
      </c>
      <c r="M15" s="16">
        <f>COUNTIFS('Incident Data Dump'!$P:$P,'IT FEED - Chart'!$A$13,'Incident Data Dump'!$H:$H,'IT FEED - Chart'!$B15,'Incident Data Dump'!$Q:$Q,'IT FEED - Chart'!M$2)</f>
        <v>0</v>
      </c>
      <c r="N15" s="19">
        <f t="shared" si="19"/>
        <v>1</v>
      </c>
      <c r="O15" s="16">
        <f>COUNTIFS('Incident Data Dump'!$P:$P,'IT FEED - Chart'!$A$13,'Incident Data Dump'!$H:$H,'IT FEED - Chart'!$B15,'Incident Data Dump'!$Q:$Q,'IT FEED - Chart'!O$2)</f>
        <v>0</v>
      </c>
      <c r="P15" s="16">
        <f>COUNTIFS('Incident Data Dump'!$P:$P,'IT FEED - Chart'!$A$13,'Incident Data Dump'!$H:$H,'IT FEED - Chart'!$B15,'Incident Data Dump'!$Q:$Q,'IT FEED - Chart'!P$2)</f>
        <v>0</v>
      </c>
      <c r="Q15" s="16">
        <f>COUNTIFS('Incident Data Dump'!$P:$P,'IT FEED - Chart'!$A$13,'Incident Data Dump'!$H:$H,'IT FEED - Chart'!$B15,'Incident Data Dump'!$Q:$Q,'IT FEED - Chart'!Q$2)</f>
        <v>0</v>
      </c>
      <c r="R15" s="19">
        <f t="shared" si="20"/>
        <v>0</v>
      </c>
      <c r="S15" s="19">
        <f t="shared" si="15"/>
        <v>14</v>
      </c>
      <c r="T15" s="16">
        <f>COUNTIFS('Incident Data Dump'!$P:$P,'IT FEED - Chart'!$A$13,'Incident Data Dump'!$H:$H,'IT FEED - Chart'!$B15,'Incident Data Dump'!$Q:$Q,'IT FEED - Chart'!T$2)</f>
        <v>0</v>
      </c>
      <c r="U15" s="16">
        <f>COUNTIFS('Incident Data Dump'!$P:$P,'IT FEED - Chart'!$A$13,'Incident Data Dump'!$H:$H,'IT FEED - Chart'!$B15,'Incident Data Dump'!$Q:$Q,'IT FEED - Chart'!U$2)</f>
        <v>0</v>
      </c>
      <c r="V15" s="16">
        <f>COUNTIFS('Incident Data Dump'!$P:$P,'IT FEED - Chart'!$A$13,'Incident Data Dump'!$H:$H,'IT FEED - Chart'!$B15,'Incident Data Dump'!$Q:$Q,'IT FEED - Chart'!V$2)</f>
        <v>1</v>
      </c>
      <c r="W15" s="19">
        <f t="shared" si="21"/>
        <v>1</v>
      </c>
      <c r="X15" s="16">
        <f>COUNTIFS('Incident Data Dump'!$P:$P,'IT FEED - Chart'!$A$13,'Incident Data Dump'!$H:$H,'IT FEED - Chart'!$B15,'Incident Data Dump'!$Q:$Q,'IT FEED - Chart'!X$2)</f>
        <v>1</v>
      </c>
      <c r="Y15" s="16">
        <f>COUNTIFS('Incident Data Dump'!$P:$P,'IT FEED - Chart'!$A$13,'Incident Data Dump'!$H:$H,'IT FEED - Chart'!$B15,'Incident Data Dump'!$Q:$Q,'IT FEED - Chart'!Y$2)</f>
        <v>3</v>
      </c>
      <c r="Z15" s="16">
        <f>COUNTIFS('Incident Data Dump'!$P:$P,'IT FEED - Chart'!$A$13,'Incident Data Dump'!$H:$H,'IT FEED - Chart'!$B15,'Incident Data Dump'!$Q:$Q,'IT FEED - Chart'!Z$2)</f>
        <v>0</v>
      </c>
      <c r="AA15" s="19">
        <f t="shared" si="22"/>
        <v>4</v>
      </c>
      <c r="AB15" s="16">
        <f>COUNTIFS('Incident Data Dump'!$P:$P,'IT FEED - Chart'!$A$13,'Incident Data Dump'!$H:$H,'IT FEED - Chart'!$B15,'Incident Data Dump'!$Q:$Q,'IT FEED - Chart'!AB$2)</f>
        <v>1</v>
      </c>
      <c r="AC15" s="16">
        <f>COUNTIFS('Incident Data Dump'!$P:$P,'IT FEED - Chart'!$A$13,'Incident Data Dump'!$H:$H,'IT FEED - Chart'!$B15,'Incident Data Dump'!$Q:$Q,'IT FEED - Chart'!AC$2)</f>
        <v>1</v>
      </c>
      <c r="AD15" s="16">
        <f>COUNTIFS('Incident Data Dump'!$P:$P,'IT FEED - Chart'!$A$13,'Incident Data Dump'!$H:$H,'IT FEED - Chart'!$B15,'Incident Data Dump'!$Q:$Q,'IT FEED - Chart'!AD$2)</f>
        <v>0</v>
      </c>
      <c r="AE15" s="19">
        <f t="shared" si="23"/>
        <v>2</v>
      </c>
      <c r="AF15" s="16">
        <f>COUNTIFS('Incident Data Dump'!$P:$P,'IT FEED - Chart'!$A$13,'Incident Data Dump'!$H:$H,'IT FEED - Chart'!$B15,'Incident Data Dump'!$Q:$Q,'IT FEED - Chart'!AF$2)</f>
        <v>0</v>
      </c>
      <c r="AG15" s="16">
        <f>COUNTIFS('Incident Data Dump'!$P:$P,'IT FEED - Chart'!$A$13,'Incident Data Dump'!$H:$H,'IT FEED - Chart'!$B15,'Incident Data Dump'!$Q:$Q,'IT FEED - Chart'!AG$2)</f>
        <v>1</v>
      </c>
      <c r="AH15" s="16">
        <f>COUNTIFS('Incident Data Dump'!$P:$P,'IT FEED - Chart'!$A$13,'Incident Data Dump'!$H:$H,'IT FEED - Chart'!$B15,'Incident Data Dump'!$Q:$Q,'IT FEED - Chart'!AH$2)</f>
        <v>0</v>
      </c>
      <c r="AI15" s="19">
        <f t="shared" si="24"/>
        <v>1</v>
      </c>
      <c r="AJ15" s="16">
        <f t="shared" si="16"/>
        <v>8</v>
      </c>
    </row>
    <row r="16" spans="1:36" ht="15.75" thickBot="1" x14ac:dyDescent="0.3">
      <c r="A16" s="26"/>
      <c r="B16" s="56" t="s">
        <v>272</v>
      </c>
      <c r="C16" s="37">
        <f t="shared" ref="C16:S16" si="27">SUM(C13:C15)</f>
        <v>6</v>
      </c>
      <c r="D16" s="37">
        <f t="shared" si="27"/>
        <v>11</v>
      </c>
      <c r="E16" s="37">
        <f t="shared" si="27"/>
        <v>10</v>
      </c>
      <c r="F16" s="37">
        <f t="shared" si="27"/>
        <v>27</v>
      </c>
      <c r="G16" s="37">
        <f t="shared" si="27"/>
        <v>8</v>
      </c>
      <c r="H16" s="37">
        <f t="shared" si="27"/>
        <v>9</v>
      </c>
      <c r="I16" s="37">
        <f t="shared" si="27"/>
        <v>7</v>
      </c>
      <c r="J16" s="37">
        <f t="shared" si="27"/>
        <v>24</v>
      </c>
      <c r="K16" s="37">
        <f t="shared" si="27"/>
        <v>1</v>
      </c>
      <c r="L16" s="37">
        <f t="shared" si="27"/>
        <v>0</v>
      </c>
      <c r="M16" s="37">
        <f t="shared" si="27"/>
        <v>0</v>
      </c>
      <c r="N16" s="37">
        <f t="shared" si="27"/>
        <v>1</v>
      </c>
      <c r="O16" s="37">
        <f t="shared" si="27"/>
        <v>0</v>
      </c>
      <c r="P16" s="37">
        <f t="shared" si="27"/>
        <v>1</v>
      </c>
      <c r="Q16" s="37">
        <f t="shared" si="27"/>
        <v>1</v>
      </c>
      <c r="R16" s="37">
        <f t="shared" si="27"/>
        <v>2</v>
      </c>
      <c r="S16" s="37">
        <f t="shared" si="27"/>
        <v>54</v>
      </c>
      <c r="T16" s="37">
        <f>SUM(T13:T15)</f>
        <v>1</v>
      </c>
      <c r="U16" s="37">
        <f t="shared" ref="U16:AJ16" si="28">SUM(U13:U15)</f>
        <v>1</v>
      </c>
      <c r="V16" s="37">
        <f t="shared" si="28"/>
        <v>1</v>
      </c>
      <c r="W16" s="37">
        <f t="shared" si="28"/>
        <v>3</v>
      </c>
      <c r="X16" s="37">
        <f t="shared" si="28"/>
        <v>1</v>
      </c>
      <c r="Y16" s="37">
        <f t="shared" si="28"/>
        <v>4</v>
      </c>
      <c r="Z16" s="37">
        <f t="shared" si="28"/>
        <v>0</v>
      </c>
      <c r="AA16" s="37">
        <f t="shared" si="28"/>
        <v>5</v>
      </c>
      <c r="AB16" s="37">
        <f t="shared" si="28"/>
        <v>2</v>
      </c>
      <c r="AC16" s="37">
        <f t="shared" si="28"/>
        <v>1</v>
      </c>
      <c r="AD16" s="37">
        <f t="shared" si="28"/>
        <v>0</v>
      </c>
      <c r="AE16" s="37">
        <f t="shared" si="28"/>
        <v>3</v>
      </c>
      <c r="AF16" s="37">
        <f t="shared" si="28"/>
        <v>0</v>
      </c>
      <c r="AG16" s="37">
        <f t="shared" si="28"/>
        <v>1</v>
      </c>
      <c r="AH16" s="37">
        <f t="shared" si="28"/>
        <v>0</v>
      </c>
      <c r="AI16" s="37">
        <f t="shared" si="28"/>
        <v>1</v>
      </c>
      <c r="AJ16" s="37">
        <f t="shared" si="28"/>
        <v>12</v>
      </c>
    </row>
    <row r="17" spans="1:36" ht="15.75" thickBot="1" x14ac:dyDescent="0.3">
      <c r="C17" s="40"/>
      <c r="D17" s="40"/>
      <c r="E17" s="40"/>
      <c r="F17" s="40"/>
      <c r="G17" s="40"/>
      <c r="H17" s="40"/>
      <c r="I17" s="40"/>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row>
    <row r="18" spans="1:36" ht="15.75" thickBot="1" x14ac:dyDescent="0.3">
      <c r="A18" s="129" t="s">
        <v>265</v>
      </c>
      <c r="B18" s="11" t="s">
        <v>13</v>
      </c>
      <c r="C18" s="14">
        <f>COUNTIFS('Incident Data Dump'!$P:$P,'IT FEED - Chart'!$A$18,'Incident Data Dump'!$H:$H,'IT FEED - Chart'!$B18,'Incident Data Dump'!$Q:$Q,'IT FEED - Chart'!C$2)</f>
        <v>0</v>
      </c>
      <c r="D18" s="15">
        <f>COUNTIFS('Incident Data Dump'!$P:$P,'IT FEED - Chart'!$A$18,'Incident Data Dump'!$H:$H,'IT FEED - Chart'!$B18,'Incident Data Dump'!$Q:$Q,'IT FEED - Chart'!D$2)</f>
        <v>0</v>
      </c>
      <c r="E18" s="15">
        <f>COUNTIFS('Incident Data Dump'!$P:$P,'IT FEED - Chart'!$A$18,'Incident Data Dump'!$H:$H,'IT FEED - Chart'!$B18,'Incident Data Dump'!$Q:$Q,'IT FEED - Chart'!E$2)</f>
        <v>0</v>
      </c>
      <c r="F18" s="18">
        <f t="shared" si="17"/>
        <v>0</v>
      </c>
      <c r="G18" s="15">
        <f>COUNTIFS('Incident Data Dump'!$P:$P,'IT FEED - Chart'!$A$18,'Incident Data Dump'!$H:$H,'IT FEED - Chart'!$B18,'Incident Data Dump'!$Q:$Q,'IT FEED - Chart'!G$2)</f>
        <v>0</v>
      </c>
      <c r="H18" s="15">
        <f>COUNTIFS('Incident Data Dump'!$P:$P,'IT FEED - Chart'!$A$18,'Incident Data Dump'!$H:$H,'IT FEED - Chart'!$B18,'Incident Data Dump'!$Q:$Q,'IT FEED - Chart'!H$2)</f>
        <v>0</v>
      </c>
      <c r="I18" s="15">
        <f>COUNTIFS('Incident Data Dump'!$P:$P,'IT FEED - Chart'!$A$18,'Incident Data Dump'!$H:$H,'IT FEED - Chart'!$B18,'Incident Data Dump'!$Q:$Q,'IT FEED - Chart'!I$2)</f>
        <v>0</v>
      </c>
      <c r="J18" s="18">
        <f t="shared" si="18"/>
        <v>0</v>
      </c>
      <c r="K18" s="15">
        <f>COUNTIFS('Incident Data Dump'!$P:$P,'IT FEED - Chart'!$A$18,'Incident Data Dump'!$H:$H,'IT FEED - Chart'!$B18,'Incident Data Dump'!$Q:$Q,'IT FEED - Chart'!K$2)</f>
        <v>0</v>
      </c>
      <c r="L18" s="15">
        <f>COUNTIFS('Incident Data Dump'!$P:$P,'IT FEED - Chart'!$A$18,'Incident Data Dump'!$H:$H,'IT FEED - Chart'!$B18,'Incident Data Dump'!$Q:$Q,'IT FEED - Chart'!L$2)</f>
        <v>0</v>
      </c>
      <c r="M18" s="15">
        <f>COUNTIFS('Incident Data Dump'!$P:$P,'IT FEED - Chart'!$A$18,'Incident Data Dump'!$H:$H,'IT FEED - Chart'!$B18,'Incident Data Dump'!$Q:$Q,'IT FEED - Chart'!M$2)</f>
        <v>0</v>
      </c>
      <c r="N18" s="18">
        <f t="shared" si="19"/>
        <v>0</v>
      </c>
      <c r="O18" s="15">
        <f>COUNTIFS('Incident Data Dump'!$P:$P,'IT FEED - Chart'!$A$18,'Incident Data Dump'!$H:$H,'IT FEED - Chart'!$B18,'Incident Data Dump'!$Q:$Q,'IT FEED - Chart'!O$2)</f>
        <v>0</v>
      </c>
      <c r="P18" s="15">
        <f>COUNTIFS('Incident Data Dump'!$P:$P,'IT FEED - Chart'!$A$18,'Incident Data Dump'!$H:$H,'IT FEED - Chart'!$B18,'Incident Data Dump'!$Q:$Q,'IT FEED - Chart'!P$2)</f>
        <v>2</v>
      </c>
      <c r="Q18" s="15">
        <f>COUNTIFS('Incident Data Dump'!$P:$P,'IT FEED - Chart'!$A$18,'Incident Data Dump'!$H:$H,'IT FEED - Chart'!$B18,'Incident Data Dump'!$Q:$Q,'IT FEED - Chart'!Q$2)</f>
        <v>1</v>
      </c>
      <c r="R18" s="18">
        <f t="shared" si="20"/>
        <v>3</v>
      </c>
      <c r="S18" s="18">
        <f t="shared" si="15"/>
        <v>3</v>
      </c>
      <c r="T18" s="15">
        <f>COUNTIFS('Incident Data Dump'!$P:$P,'IT FEED - Chart'!$A$18,'Incident Data Dump'!$H:$H,'IT FEED - Chart'!$B18,'Incident Data Dump'!$Q:$Q,'IT FEED - Chart'!T$2)</f>
        <v>0</v>
      </c>
      <c r="U18" s="15">
        <f>COUNTIFS('Incident Data Dump'!$P:$P,'IT FEED - Chart'!$A$18,'Incident Data Dump'!$H:$H,'IT FEED - Chart'!$B18,'Incident Data Dump'!$Q:$Q,'IT FEED - Chart'!U$2)</f>
        <v>1</v>
      </c>
      <c r="V18" s="15">
        <f>COUNTIFS('Incident Data Dump'!$P:$P,'IT FEED - Chart'!$A$18,'Incident Data Dump'!$H:$H,'IT FEED - Chart'!$B18,'Incident Data Dump'!$Q:$Q,'IT FEED - Chart'!V$2)</f>
        <v>0</v>
      </c>
      <c r="W18" s="18">
        <f t="shared" si="21"/>
        <v>1</v>
      </c>
      <c r="X18" s="15">
        <f>COUNTIFS('Incident Data Dump'!$P:$P,'IT FEED - Chart'!$A$18,'Incident Data Dump'!$H:$H,'IT FEED - Chart'!$B18,'Incident Data Dump'!$Q:$Q,'IT FEED - Chart'!X$2)</f>
        <v>0</v>
      </c>
      <c r="Y18" s="15">
        <f>COUNTIFS('Incident Data Dump'!$P:$P,'IT FEED - Chart'!$A$18,'Incident Data Dump'!$H:$H,'IT FEED - Chart'!$B18,'Incident Data Dump'!$Q:$Q,'IT FEED - Chart'!Y$2)</f>
        <v>0</v>
      </c>
      <c r="Z18" s="15">
        <f>COUNTIFS('Incident Data Dump'!$P:$P,'IT FEED - Chart'!$A$18,'Incident Data Dump'!$H:$H,'IT FEED - Chart'!$B18,'Incident Data Dump'!$Q:$Q,'IT FEED - Chart'!Z$2)</f>
        <v>0</v>
      </c>
      <c r="AA18" s="18">
        <f t="shared" si="22"/>
        <v>0</v>
      </c>
      <c r="AB18" s="15">
        <f>COUNTIFS('Incident Data Dump'!$P:$P,'IT FEED - Chart'!$A$18,'Incident Data Dump'!$H:$H,'IT FEED - Chart'!$B18,'Incident Data Dump'!$Q:$Q,'IT FEED - Chart'!AB$2)</f>
        <v>0</v>
      </c>
      <c r="AC18" s="15">
        <f>COUNTIFS('Incident Data Dump'!$P:$P,'IT FEED - Chart'!$A$18,'Incident Data Dump'!$H:$H,'IT FEED - Chart'!$B18,'Incident Data Dump'!$Q:$Q,'IT FEED - Chart'!AC$2)</f>
        <v>0</v>
      </c>
      <c r="AD18" s="15">
        <f>COUNTIFS('Incident Data Dump'!$P:$P,'IT FEED - Chart'!$A$18,'Incident Data Dump'!$H:$H,'IT FEED - Chart'!$B18,'Incident Data Dump'!$Q:$Q,'IT FEED - Chart'!AD$2)</f>
        <v>0</v>
      </c>
      <c r="AE18" s="18">
        <f t="shared" si="23"/>
        <v>0</v>
      </c>
      <c r="AF18" s="15">
        <f>COUNTIFS('Incident Data Dump'!$P:$P,'IT FEED - Chart'!$A$18,'Incident Data Dump'!$H:$H,'IT FEED - Chart'!$B18,'Incident Data Dump'!$Q:$Q,'IT FEED - Chart'!AF$2)</f>
        <v>1</v>
      </c>
      <c r="AG18" s="15">
        <f>COUNTIFS('Incident Data Dump'!$P:$P,'IT FEED - Chart'!$A$18,'Incident Data Dump'!$H:$H,'IT FEED - Chart'!$B18,'Incident Data Dump'!$Q:$Q,'IT FEED - Chart'!AG$2)</f>
        <v>1</v>
      </c>
      <c r="AH18" s="15">
        <f>COUNTIFS('Incident Data Dump'!$P:$P,'IT FEED - Chart'!$A$18,'Incident Data Dump'!$H:$H,'IT FEED - Chart'!$B18,'Incident Data Dump'!$Q:$Q,'IT FEED - Chart'!AH$2)</f>
        <v>0</v>
      </c>
      <c r="AI18" s="18">
        <f t="shared" si="24"/>
        <v>2</v>
      </c>
      <c r="AJ18" s="15">
        <f t="shared" si="16"/>
        <v>3</v>
      </c>
    </row>
    <row r="19" spans="1:36" ht="15.75" thickBot="1" x14ac:dyDescent="0.3">
      <c r="A19" s="129"/>
      <c r="B19" s="12" t="s">
        <v>9</v>
      </c>
      <c r="C19" s="15">
        <f>COUNTIFS('Incident Data Dump'!$P:$P,'IT FEED - Chart'!$A$18,'Incident Data Dump'!$H:$H,'IT FEED - Chart'!$B19,'Incident Data Dump'!$Q:$Q,'IT FEED - Chart'!C$2)</f>
        <v>0</v>
      </c>
      <c r="D19" s="15">
        <f>COUNTIFS('Incident Data Dump'!$P:$P,'IT FEED - Chart'!$A$18,'Incident Data Dump'!$H:$H,'IT FEED - Chart'!$B19,'Incident Data Dump'!$Q:$Q,'IT FEED - Chart'!D$2)</f>
        <v>0</v>
      </c>
      <c r="E19" s="15">
        <f>COUNTIFS('Incident Data Dump'!$P:$P,'IT FEED - Chart'!$A$18,'Incident Data Dump'!$H:$H,'IT FEED - Chart'!$B19,'Incident Data Dump'!$Q:$Q,'IT FEED - Chart'!E$2)</f>
        <v>0</v>
      </c>
      <c r="F19" s="18">
        <f t="shared" si="17"/>
        <v>0</v>
      </c>
      <c r="G19" s="15">
        <f>COUNTIFS('Incident Data Dump'!$P:$P,'IT FEED - Chart'!$A$18,'Incident Data Dump'!$H:$H,'IT FEED - Chart'!$B19,'Incident Data Dump'!$Q:$Q,'IT FEED - Chart'!G$2)</f>
        <v>0</v>
      </c>
      <c r="H19" s="15">
        <f>COUNTIFS('Incident Data Dump'!$P:$P,'IT FEED - Chart'!$A$18,'Incident Data Dump'!$H:$H,'IT FEED - Chart'!$B19,'Incident Data Dump'!$Q:$Q,'IT FEED - Chart'!H$2)</f>
        <v>0</v>
      </c>
      <c r="I19" s="15">
        <f>COUNTIFS('Incident Data Dump'!$P:$P,'IT FEED - Chart'!$A$18,'Incident Data Dump'!$H:$H,'IT FEED - Chart'!$B19,'Incident Data Dump'!$Q:$Q,'IT FEED - Chart'!I$2)</f>
        <v>0</v>
      </c>
      <c r="J19" s="18">
        <f t="shared" si="18"/>
        <v>0</v>
      </c>
      <c r="K19" s="15">
        <f>COUNTIFS('Incident Data Dump'!$P:$P,'IT FEED - Chart'!$A$18,'Incident Data Dump'!$H:$H,'IT FEED - Chart'!$B19,'Incident Data Dump'!$Q:$Q,'IT FEED - Chart'!K$2)</f>
        <v>0</v>
      </c>
      <c r="L19" s="15">
        <f>COUNTIFS('Incident Data Dump'!$P:$P,'IT FEED - Chart'!$A$18,'Incident Data Dump'!$H:$H,'IT FEED - Chart'!$B19,'Incident Data Dump'!$Q:$Q,'IT FEED - Chart'!L$2)</f>
        <v>0</v>
      </c>
      <c r="M19" s="15">
        <f>COUNTIFS('Incident Data Dump'!$P:$P,'IT FEED - Chart'!$A$18,'Incident Data Dump'!$H:$H,'IT FEED - Chart'!$B19,'Incident Data Dump'!$Q:$Q,'IT FEED - Chart'!M$2)</f>
        <v>0</v>
      </c>
      <c r="N19" s="18">
        <f t="shared" si="19"/>
        <v>0</v>
      </c>
      <c r="O19" s="15">
        <f>COUNTIFS('Incident Data Dump'!$P:$P,'IT FEED - Chart'!$A$18,'Incident Data Dump'!$H:$H,'IT FEED - Chart'!$B19,'Incident Data Dump'!$Q:$Q,'IT FEED - Chart'!O$2)</f>
        <v>0</v>
      </c>
      <c r="P19" s="15">
        <f>COUNTIFS('Incident Data Dump'!$P:$P,'IT FEED - Chart'!$A$18,'Incident Data Dump'!$H:$H,'IT FEED - Chart'!$B19,'Incident Data Dump'!$Q:$Q,'IT FEED - Chart'!P$2)</f>
        <v>0</v>
      </c>
      <c r="Q19" s="15">
        <f>COUNTIFS('Incident Data Dump'!$P:$P,'IT FEED - Chart'!$A$18,'Incident Data Dump'!$H:$H,'IT FEED - Chart'!$B19,'Incident Data Dump'!$Q:$Q,'IT FEED - Chart'!Q$2)</f>
        <v>0</v>
      </c>
      <c r="R19" s="18">
        <f t="shared" si="20"/>
        <v>0</v>
      </c>
      <c r="S19" s="18">
        <f t="shared" si="15"/>
        <v>0</v>
      </c>
      <c r="T19" s="15">
        <f>COUNTIFS('Incident Data Dump'!$P:$P,'IT FEED - Chart'!$A$18,'Incident Data Dump'!$H:$H,'IT FEED - Chart'!$B19,'Incident Data Dump'!$Q:$Q,'IT FEED - Chart'!T$2)</f>
        <v>0</v>
      </c>
      <c r="U19" s="15">
        <f>COUNTIFS('Incident Data Dump'!$P:$P,'IT FEED - Chart'!$A$18,'Incident Data Dump'!$H:$H,'IT FEED - Chart'!$B19,'Incident Data Dump'!$Q:$Q,'IT FEED - Chart'!U$2)</f>
        <v>1</v>
      </c>
      <c r="V19" s="15">
        <f>COUNTIFS('Incident Data Dump'!$P:$P,'IT FEED - Chart'!$A$18,'Incident Data Dump'!$H:$H,'IT FEED - Chart'!$B19,'Incident Data Dump'!$Q:$Q,'IT FEED - Chart'!V$2)</f>
        <v>0</v>
      </c>
      <c r="W19" s="18">
        <f t="shared" si="21"/>
        <v>1</v>
      </c>
      <c r="X19" s="15">
        <f>COUNTIFS('Incident Data Dump'!$P:$P,'IT FEED - Chart'!$A$18,'Incident Data Dump'!$H:$H,'IT FEED - Chart'!$B19,'Incident Data Dump'!$Q:$Q,'IT FEED - Chart'!X$2)</f>
        <v>0</v>
      </c>
      <c r="Y19" s="15">
        <f>COUNTIFS('Incident Data Dump'!$P:$P,'IT FEED - Chart'!$A$18,'Incident Data Dump'!$H:$H,'IT FEED - Chart'!$B19,'Incident Data Dump'!$Q:$Q,'IT FEED - Chart'!Y$2)</f>
        <v>2</v>
      </c>
      <c r="Z19" s="15">
        <f>COUNTIFS('Incident Data Dump'!$P:$P,'IT FEED - Chart'!$A$18,'Incident Data Dump'!$H:$H,'IT FEED - Chart'!$B19,'Incident Data Dump'!$Q:$Q,'IT FEED - Chart'!Z$2)</f>
        <v>0</v>
      </c>
      <c r="AA19" s="18">
        <f t="shared" si="22"/>
        <v>2</v>
      </c>
      <c r="AB19" s="15">
        <f>COUNTIFS('Incident Data Dump'!$P:$P,'IT FEED - Chart'!$A$18,'Incident Data Dump'!$H:$H,'IT FEED - Chart'!$B19,'Incident Data Dump'!$Q:$Q,'IT FEED - Chart'!AB$2)</f>
        <v>0</v>
      </c>
      <c r="AC19" s="15">
        <f>COUNTIFS('Incident Data Dump'!$P:$P,'IT FEED - Chart'!$A$18,'Incident Data Dump'!$H:$H,'IT FEED - Chart'!$B19,'Incident Data Dump'!$Q:$Q,'IT FEED - Chart'!AC$2)</f>
        <v>1</v>
      </c>
      <c r="AD19" s="15">
        <f>COUNTIFS('Incident Data Dump'!$P:$P,'IT FEED - Chart'!$A$18,'Incident Data Dump'!$H:$H,'IT FEED - Chart'!$B19,'Incident Data Dump'!$Q:$Q,'IT FEED - Chart'!AD$2)</f>
        <v>0</v>
      </c>
      <c r="AE19" s="18">
        <f t="shared" si="23"/>
        <v>1</v>
      </c>
      <c r="AF19" s="15">
        <f>COUNTIFS('Incident Data Dump'!$P:$P,'IT FEED - Chart'!$A$18,'Incident Data Dump'!$H:$H,'IT FEED - Chart'!$B19,'Incident Data Dump'!$Q:$Q,'IT FEED - Chart'!AF$2)</f>
        <v>1</v>
      </c>
      <c r="AG19" s="15">
        <f>COUNTIFS('Incident Data Dump'!$P:$P,'IT FEED - Chart'!$A$18,'Incident Data Dump'!$H:$H,'IT FEED - Chart'!$B19,'Incident Data Dump'!$Q:$Q,'IT FEED - Chart'!AG$2)</f>
        <v>0</v>
      </c>
      <c r="AH19" s="15">
        <f>COUNTIFS('Incident Data Dump'!$P:$P,'IT FEED - Chart'!$A$18,'Incident Data Dump'!$H:$H,'IT FEED - Chart'!$B19,'Incident Data Dump'!$Q:$Q,'IT FEED - Chart'!AH$2)</f>
        <v>0</v>
      </c>
      <c r="AI19" s="18">
        <f t="shared" si="24"/>
        <v>1</v>
      </c>
      <c r="AJ19" s="15">
        <f t="shared" si="16"/>
        <v>5</v>
      </c>
    </row>
    <row r="20" spans="1:36" ht="15.75" thickBot="1" x14ac:dyDescent="0.3">
      <c r="A20" s="129"/>
      <c r="B20" s="13" t="s">
        <v>18</v>
      </c>
      <c r="C20" s="16">
        <f>COUNTIFS('Incident Data Dump'!$P:$P,'IT FEED - Chart'!$A$18,'Incident Data Dump'!$H:$H,'IT FEED - Chart'!$B20,'Incident Data Dump'!$Q:$Q,'IT FEED - Chart'!C$2)</f>
        <v>0</v>
      </c>
      <c r="D20" s="16">
        <f>COUNTIFS('Incident Data Dump'!$P:$P,'IT FEED - Chart'!$A$18,'Incident Data Dump'!$H:$H,'IT FEED - Chart'!$B20,'Incident Data Dump'!$Q:$Q,'IT FEED - Chart'!D$2)</f>
        <v>0</v>
      </c>
      <c r="E20" s="16">
        <f>COUNTIFS('Incident Data Dump'!$P:$P,'IT FEED - Chart'!$A$18,'Incident Data Dump'!$H:$H,'IT FEED - Chart'!$B20,'Incident Data Dump'!$Q:$Q,'IT FEED - Chart'!E$2)</f>
        <v>0</v>
      </c>
      <c r="F20" s="19">
        <f t="shared" si="17"/>
        <v>0</v>
      </c>
      <c r="G20" s="16">
        <f>COUNTIFS('Incident Data Dump'!$P:$P,'IT FEED - Chart'!$A$18,'Incident Data Dump'!$H:$H,'IT FEED - Chart'!$B20,'Incident Data Dump'!$Q:$Q,'IT FEED - Chart'!G$2)</f>
        <v>0</v>
      </c>
      <c r="H20" s="16">
        <f>COUNTIFS('Incident Data Dump'!$P:$P,'IT FEED - Chart'!$A$18,'Incident Data Dump'!$H:$H,'IT FEED - Chart'!$B20,'Incident Data Dump'!$Q:$Q,'IT FEED - Chart'!H$2)</f>
        <v>0</v>
      </c>
      <c r="I20" s="16">
        <f>COUNTIFS('Incident Data Dump'!$P:$P,'IT FEED - Chart'!$A$18,'Incident Data Dump'!$H:$H,'IT FEED - Chart'!$B20,'Incident Data Dump'!$Q:$Q,'IT FEED - Chart'!I$2)</f>
        <v>0</v>
      </c>
      <c r="J20" s="19">
        <f t="shared" si="18"/>
        <v>0</v>
      </c>
      <c r="K20" s="16">
        <f>COUNTIFS('Incident Data Dump'!$P:$P,'IT FEED - Chart'!$A$18,'Incident Data Dump'!$H:$H,'IT FEED - Chart'!$B20,'Incident Data Dump'!$Q:$Q,'IT FEED - Chart'!K$2)</f>
        <v>0</v>
      </c>
      <c r="L20" s="16">
        <f>COUNTIFS('Incident Data Dump'!$P:$P,'IT FEED - Chart'!$A$18,'Incident Data Dump'!$H:$H,'IT FEED - Chart'!$B20,'Incident Data Dump'!$Q:$Q,'IT FEED - Chart'!L$2)</f>
        <v>0</v>
      </c>
      <c r="M20" s="16">
        <f>COUNTIFS('Incident Data Dump'!$P:$P,'IT FEED - Chart'!$A$18,'Incident Data Dump'!$H:$H,'IT FEED - Chart'!$B20,'Incident Data Dump'!$Q:$Q,'IT FEED - Chart'!M$2)</f>
        <v>0</v>
      </c>
      <c r="N20" s="19">
        <f t="shared" si="19"/>
        <v>0</v>
      </c>
      <c r="O20" s="16">
        <f>COUNTIFS('Incident Data Dump'!$P:$P,'IT FEED - Chart'!$A$18,'Incident Data Dump'!$H:$H,'IT FEED - Chart'!$B20,'Incident Data Dump'!$Q:$Q,'IT FEED - Chart'!O$2)</f>
        <v>1</v>
      </c>
      <c r="P20" s="16">
        <f>COUNTIFS('Incident Data Dump'!$P:$P,'IT FEED - Chart'!$A$18,'Incident Data Dump'!$H:$H,'IT FEED - Chart'!$B20,'Incident Data Dump'!$Q:$Q,'IT FEED - Chart'!P$2)</f>
        <v>2</v>
      </c>
      <c r="Q20" s="16">
        <f>COUNTIFS('Incident Data Dump'!$P:$P,'IT FEED - Chart'!$A$18,'Incident Data Dump'!$H:$H,'IT FEED - Chart'!$B20,'Incident Data Dump'!$Q:$Q,'IT FEED - Chart'!Q$2)</f>
        <v>0</v>
      </c>
      <c r="R20" s="19">
        <f t="shared" si="20"/>
        <v>3</v>
      </c>
      <c r="S20" s="19">
        <f t="shared" si="15"/>
        <v>3</v>
      </c>
      <c r="T20" s="16">
        <f>COUNTIFS('Incident Data Dump'!$P:$P,'IT FEED - Chart'!$A$18,'Incident Data Dump'!$H:$H,'IT FEED - Chart'!$B20,'Incident Data Dump'!$Q:$Q,'IT FEED - Chart'!T$2)</f>
        <v>0</v>
      </c>
      <c r="U20" s="16">
        <f>COUNTIFS('Incident Data Dump'!$P:$P,'IT FEED - Chart'!$A$18,'Incident Data Dump'!$H:$H,'IT FEED - Chart'!$B20,'Incident Data Dump'!$Q:$Q,'IT FEED - Chart'!U$2)</f>
        <v>1</v>
      </c>
      <c r="V20" s="16">
        <f>COUNTIFS('Incident Data Dump'!$P:$P,'IT FEED - Chart'!$A$18,'Incident Data Dump'!$H:$H,'IT FEED - Chart'!$B20,'Incident Data Dump'!$Q:$Q,'IT FEED - Chart'!V$2)</f>
        <v>0</v>
      </c>
      <c r="W20" s="19">
        <f t="shared" si="21"/>
        <v>1</v>
      </c>
      <c r="X20" s="16">
        <f>COUNTIFS('Incident Data Dump'!$P:$P,'IT FEED - Chart'!$A$18,'Incident Data Dump'!$H:$H,'IT FEED - Chart'!$B20,'Incident Data Dump'!$Q:$Q,'IT FEED - Chart'!X$2)</f>
        <v>0</v>
      </c>
      <c r="Y20" s="16">
        <f>COUNTIFS('Incident Data Dump'!$P:$P,'IT FEED - Chart'!$A$18,'Incident Data Dump'!$H:$H,'IT FEED - Chart'!$B20,'Incident Data Dump'!$Q:$Q,'IT FEED - Chart'!Y$2)</f>
        <v>0</v>
      </c>
      <c r="Z20" s="16">
        <f>COUNTIFS('Incident Data Dump'!$P:$P,'IT FEED - Chart'!$A$18,'Incident Data Dump'!$H:$H,'IT FEED - Chart'!$B20,'Incident Data Dump'!$Q:$Q,'IT FEED - Chart'!Z$2)</f>
        <v>3</v>
      </c>
      <c r="AA20" s="19">
        <f t="shared" si="22"/>
        <v>3</v>
      </c>
      <c r="AB20" s="16">
        <f>COUNTIFS('Incident Data Dump'!$P:$P,'IT FEED - Chart'!$A$18,'Incident Data Dump'!$H:$H,'IT FEED - Chart'!$B20,'Incident Data Dump'!$Q:$Q,'IT FEED - Chart'!AB$2)</f>
        <v>0</v>
      </c>
      <c r="AC20" s="16">
        <f>COUNTIFS('Incident Data Dump'!$P:$P,'IT FEED - Chart'!$A$18,'Incident Data Dump'!$H:$H,'IT FEED - Chart'!$B20,'Incident Data Dump'!$Q:$Q,'IT FEED - Chart'!AC$2)</f>
        <v>1</v>
      </c>
      <c r="AD20" s="16">
        <f>COUNTIFS('Incident Data Dump'!$P:$P,'IT FEED - Chart'!$A$18,'Incident Data Dump'!$H:$H,'IT FEED - Chart'!$B20,'Incident Data Dump'!$Q:$Q,'IT FEED - Chart'!AD$2)</f>
        <v>3</v>
      </c>
      <c r="AE20" s="19">
        <f t="shared" si="23"/>
        <v>4</v>
      </c>
      <c r="AF20" s="16">
        <f>COUNTIFS('Incident Data Dump'!$P:$P,'IT FEED - Chart'!$A$18,'Incident Data Dump'!$H:$H,'IT FEED - Chart'!$B20,'Incident Data Dump'!$Q:$Q,'IT FEED - Chart'!AF$2)</f>
        <v>0</v>
      </c>
      <c r="AG20" s="16">
        <f>COUNTIFS('Incident Data Dump'!$P:$P,'IT FEED - Chart'!$A$18,'Incident Data Dump'!$H:$H,'IT FEED - Chart'!$B20,'Incident Data Dump'!$Q:$Q,'IT FEED - Chart'!AG$2)</f>
        <v>1</v>
      </c>
      <c r="AH20" s="16">
        <f>COUNTIFS('Incident Data Dump'!$P:$P,'IT FEED - Chart'!$A$18,'Incident Data Dump'!$H:$H,'IT FEED - Chart'!$B20,'Incident Data Dump'!$Q:$Q,'IT FEED - Chart'!AH$2)</f>
        <v>0</v>
      </c>
      <c r="AI20" s="19">
        <f t="shared" si="24"/>
        <v>1</v>
      </c>
      <c r="AJ20" s="16">
        <f t="shared" si="16"/>
        <v>9</v>
      </c>
    </row>
    <row r="21" spans="1:36" ht="15.75" thickBot="1" x14ac:dyDescent="0.3">
      <c r="A21" s="26"/>
      <c r="B21" s="56" t="s">
        <v>272</v>
      </c>
      <c r="C21" s="37">
        <f t="shared" ref="C21:S21" si="29">SUM(C18:C20)</f>
        <v>0</v>
      </c>
      <c r="D21" s="37">
        <f t="shared" si="29"/>
        <v>0</v>
      </c>
      <c r="E21" s="37">
        <f t="shared" si="29"/>
        <v>0</v>
      </c>
      <c r="F21" s="37">
        <f t="shared" si="29"/>
        <v>0</v>
      </c>
      <c r="G21" s="37">
        <f t="shared" si="29"/>
        <v>0</v>
      </c>
      <c r="H21" s="37">
        <f t="shared" si="29"/>
        <v>0</v>
      </c>
      <c r="I21" s="37">
        <f t="shared" si="29"/>
        <v>0</v>
      </c>
      <c r="J21" s="37">
        <f t="shared" si="29"/>
        <v>0</v>
      </c>
      <c r="K21" s="37">
        <f t="shared" si="29"/>
        <v>0</v>
      </c>
      <c r="L21" s="37">
        <f t="shared" si="29"/>
        <v>0</v>
      </c>
      <c r="M21" s="37">
        <f t="shared" si="29"/>
        <v>0</v>
      </c>
      <c r="N21" s="37">
        <f t="shared" si="29"/>
        <v>0</v>
      </c>
      <c r="O21" s="37">
        <f t="shared" si="29"/>
        <v>1</v>
      </c>
      <c r="P21" s="37">
        <f t="shared" si="29"/>
        <v>4</v>
      </c>
      <c r="Q21" s="37">
        <f t="shared" si="29"/>
        <v>1</v>
      </c>
      <c r="R21" s="37">
        <f t="shared" si="29"/>
        <v>6</v>
      </c>
      <c r="S21" s="37">
        <f t="shared" si="29"/>
        <v>6</v>
      </c>
      <c r="T21" s="37">
        <f>SUM(T18:T20)</f>
        <v>0</v>
      </c>
      <c r="U21" s="37">
        <f t="shared" ref="U21:AJ21" si="30">SUM(U18:U20)</f>
        <v>3</v>
      </c>
      <c r="V21" s="37">
        <f t="shared" si="30"/>
        <v>0</v>
      </c>
      <c r="W21" s="37">
        <f t="shared" si="30"/>
        <v>3</v>
      </c>
      <c r="X21" s="37">
        <f t="shared" si="30"/>
        <v>0</v>
      </c>
      <c r="Y21" s="37">
        <f t="shared" si="30"/>
        <v>2</v>
      </c>
      <c r="Z21" s="37">
        <f t="shared" si="30"/>
        <v>3</v>
      </c>
      <c r="AA21" s="37">
        <f t="shared" si="30"/>
        <v>5</v>
      </c>
      <c r="AB21" s="37">
        <f t="shared" si="30"/>
        <v>0</v>
      </c>
      <c r="AC21" s="37">
        <f t="shared" si="30"/>
        <v>2</v>
      </c>
      <c r="AD21" s="37">
        <f t="shared" si="30"/>
        <v>3</v>
      </c>
      <c r="AE21" s="37">
        <f t="shared" si="30"/>
        <v>5</v>
      </c>
      <c r="AF21" s="37">
        <f t="shared" si="30"/>
        <v>2</v>
      </c>
      <c r="AG21" s="37">
        <f t="shared" si="30"/>
        <v>2</v>
      </c>
      <c r="AH21" s="37">
        <f t="shared" si="30"/>
        <v>0</v>
      </c>
      <c r="AI21" s="37">
        <f t="shared" si="30"/>
        <v>4</v>
      </c>
      <c r="AJ21" s="37">
        <f t="shared" si="30"/>
        <v>17</v>
      </c>
    </row>
    <row r="23" spans="1:36" ht="15.75" thickBot="1" x14ac:dyDescent="0.3">
      <c r="B23" s="10" t="s">
        <v>267</v>
      </c>
    </row>
    <row r="24" spans="1:36" ht="15.75" thickBot="1" x14ac:dyDescent="0.3">
      <c r="A24" s="128" t="s">
        <v>266</v>
      </c>
      <c r="B24" s="11" t="s">
        <v>268</v>
      </c>
      <c r="C24" s="14">
        <f>SUBTOTAL(9,$C3:C3)</f>
        <v>1</v>
      </c>
      <c r="D24" s="14">
        <f>SUBTOTAL(9,$C3:D3)</f>
        <v>5</v>
      </c>
      <c r="E24" s="14">
        <f>SUBTOTAL(9,$C3:E3)</f>
        <v>8</v>
      </c>
      <c r="F24" s="14">
        <f>SUBTOTAL(9,$C3:F3)</f>
        <v>8</v>
      </c>
      <c r="G24" s="14">
        <f>SUBTOTAL(9,$C3:G3)</f>
        <v>8</v>
      </c>
      <c r="H24" s="14">
        <f>SUBTOTAL(9,$C3:H3)</f>
        <v>13</v>
      </c>
      <c r="I24" s="14">
        <f>SUBTOTAL(9,$C3:I3)</f>
        <v>16</v>
      </c>
      <c r="J24" s="14">
        <f>SUBTOTAL(9,$C3:J3)</f>
        <v>16</v>
      </c>
      <c r="K24" s="14">
        <f>SUBTOTAL(9,$C3:K3)</f>
        <v>17</v>
      </c>
      <c r="L24" s="14">
        <f>SUBTOTAL(9,$C3:L3)</f>
        <v>18</v>
      </c>
      <c r="M24" s="14">
        <f>SUBTOTAL(9,$C3:M3)</f>
        <v>21</v>
      </c>
      <c r="N24" s="14">
        <f>SUBTOTAL(9,$C3:N3)</f>
        <v>21</v>
      </c>
      <c r="O24" s="14">
        <f>SUBTOTAL(9,$C3:O3)</f>
        <v>21</v>
      </c>
      <c r="P24" s="14">
        <f>SUBTOTAL(9,$C3:P3)</f>
        <v>25</v>
      </c>
      <c r="Q24" s="14">
        <f>SUBTOTAL(9,$C3:Q3)</f>
        <v>27</v>
      </c>
      <c r="R24" s="14">
        <f>SUBTOTAL(9,$C3:R3)</f>
        <v>27</v>
      </c>
      <c r="S24" s="14">
        <f>SUBTOTAL(9,$C3:S3)</f>
        <v>27</v>
      </c>
      <c r="T24" s="14">
        <f>SUBTOTAL(9,$T3:T3)</f>
        <v>1</v>
      </c>
      <c r="U24" s="14">
        <f>SUBTOTAL(9,$T3:U3)</f>
        <v>3</v>
      </c>
      <c r="V24" s="14">
        <f>SUBTOTAL(9,$T3:V3)</f>
        <v>4</v>
      </c>
      <c r="W24" s="14">
        <f>SUBTOTAL(9,$T3:W3)</f>
        <v>4</v>
      </c>
      <c r="X24" s="14">
        <f>SUBTOTAL(9,$T3:X3)</f>
        <v>4</v>
      </c>
      <c r="Y24" s="14">
        <f>SUBTOTAL(9,$T3:Y3)</f>
        <v>4</v>
      </c>
      <c r="Z24" s="14">
        <f>SUBTOTAL(9,$T3:Z3)</f>
        <v>5</v>
      </c>
      <c r="AA24" s="14">
        <f>SUBTOTAL(9,$T3:AA3)</f>
        <v>5</v>
      </c>
      <c r="AB24" s="14">
        <f>SUBTOTAL(9,$T3:AB3)</f>
        <v>6</v>
      </c>
      <c r="AC24" s="14">
        <f>SUBTOTAL(9,$T3:AC3)</f>
        <v>6</v>
      </c>
      <c r="AD24" s="14">
        <f>SUBTOTAL(9,$T3:AD3)</f>
        <v>6</v>
      </c>
      <c r="AE24" s="14">
        <f>SUBTOTAL(9,$T3:AE3)</f>
        <v>6</v>
      </c>
      <c r="AF24" s="14">
        <f>SUBTOTAL(9,$T3:AF3)</f>
        <v>8</v>
      </c>
      <c r="AG24" s="14">
        <f>SUBTOTAL(9,$T3:AG3)</f>
        <v>10</v>
      </c>
      <c r="AH24" s="14">
        <f>SUBTOTAL(9,$T3:AH3)</f>
        <v>10</v>
      </c>
      <c r="AI24" s="14">
        <f>SUBTOTAL(9,$T3:AI3)</f>
        <v>10</v>
      </c>
      <c r="AJ24" s="14">
        <f>SUBTOTAL(9,$T3:AJ3)</f>
        <v>10</v>
      </c>
    </row>
    <row r="25" spans="1:36" ht="15.75" thickBot="1" x14ac:dyDescent="0.3">
      <c r="A25" s="128"/>
      <c r="B25" s="12" t="s">
        <v>269</v>
      </c>
      <c r="C25" s="15">
        <f>SUBTOTAL(9,$C4:C4)</f>
        <v>4</v>
      </c>
      <c r="D25" s="15">
        <f>SUBTOTAL(9,$C4:D4)</f>
        <v>10</v>
      </c>
      <c r="E25" s="15">
        <f>SUBTOTAL(9,$C4:E4)</f>
        <v>17</v>
      </c>
      <c r="F25" s="15">
        <f>SUBTOTAL(9,$C4:F4)</f>
        <v>17</v>
      </c>
      <c r="G25" s="15">
        <f>SUBTOTAL(9,$C4:G4)</f>
        <v>26</v>
      </c>
      <c r="H25" s="15">
        <f>SUBTOTAL(9,$C4:H4)</f>
        <v>31</v>
      </c>
      <c r="I25" s="15">
        <f>SUBTOTAL(9,$C4:I4)</f>
        <v>34</v>
      </c>
      <c r="J25" s="15">
        <f>SUBTOTAL(9,$C4:J4)</f>
        <v>34</v>
      </c>
      <c r="K25" s="15">
        <f>SUBTOTAL(9,$C4:K4)</f>
        <v>36</v>
      </c>
      <c r="L25" s="15">
        <f>SUBTOTAL(9,$C4:L4)</f>
        <v>37</v>
      </c>
      <c r="M25" s="15">
        <f>SUBTOTAL(9,$C4:M4)</f>
        <v>37</v>
      </c>
      <c r="N25" s="15">
        <f>SUBTOTAL(9,$C4:N4)</f>
        <v>37</v>
      </c>
      <c r="O25" s="15">
        <f>SUBTOTAL(9,$C4:O4)</f>
        <v>39</v>
      </c>
      <c r="P25" s="15">
        <f>SUBTOTAL(9,$C4:P4)</f>
        <v>39</v>
      </c>
      <c r="Q25" s="15">
        <f>SUBTOTAL(9,$C4:Q4)</f>
        <v>41</v>
      </c>
      <c r="R25" s="15">
        <f>SUBTOTAL(9,$C4:R4)</f>
        <v>41</v>
      </c>
      <c r="S25" s="15">
        <f>SUBTOTAL(9,$C4:S4)</f>
        <v>41</v>
      </c>
      <c r="T25" s="15">
        <f>SUBTOTAL(9,$T4:T4)</f>
        <v>1</v>
      </c>
      <c r="U25" s="15">
        <f>SUBTOTAL(9,$T4:U4)</f>
        <v>8</v>
      </c>
      <c r="V25" s="15">
        <f>SUBTOTAL(9,$T4:V4)</f>
        <v>8</v>
      </c>
      <c r="W25" s="15">
        <f>SUBTOTAL(9,$T4:W4)</f>
        <v>8</v>
      </c>
      <c r="X25" s="15">
        <f>SUBTOTAL(9,$T4:X4)</f>
        <v>9</v>
      </c>
      <c r="Y25" s="15">
        <f>SUBTOTAL(9,$T4:Y4)</f>
        <v>15</v>
      </c>
      <c r="Z25" s="15">
        <f>SUBTOTAL(9,$T4:Z4)</f>
        <v>15</v>
      </c>
      <c r="AA25" s="15">
        <f>SUBTOTAL(9,$T4:AA4)</f>
        <v>15</v>
      </c>
      <c r="AB25" s="15">
        <f>SUBTOTAL(9,$T4:AB4)</f>
        <v>19</v>
      </c>
      <c r="AC25" s="15">
        <f>SUBTOTAL(9,$T4:AC4)</f>
        <v>23</v>
      </c>
      <c r="AD25" s="15">
        <f>SUBTOTAL(9,$T4:AD4)</f>
        <v>24</v>
      </c>
      <c r="AE25" s="15">
        <f>SUBTOTAL(9,$T4:AE4)</f>
        <v>24</v>
      </c>
      <c r="AF25" s="15">
        <f>SUBTOTAL(9,$T4:AF4)</f>
        <v>29</v>
      </c>
      <c r="AG25" s="15">
        <f>SUBTOTAL(9,$T4:AG4)</f>
        <v>31</v>
      </c>
      <c r="AH25" s="15">
        <f>SUBTOTAL(9,$T4:AH4)</f>
        <v>31</v>
      </c>
      <c r="AI25" s="15">
        <f>SUBTOTAL(9,$T4:AI4)</f>
        <v>31</v>
      </c>
      <c r="AJ25" s="15">
        <f>SUBTOTAL(9,$T4:AJ4)</f>
        <v>31</v>
      </c>
    </row>
    <row r="26" spans="1:36" ht="15.75" thickBot="1" x14ac:dyDescent="0.3">
      <c r="A26" s="128"/>
      <c r="B26" s="13" t="s">
        <v>270</v>
      </c>
      <c r="C26" s="16">
        <f>SUBTOTAL(9,$C5:C5)</f>
        <v>2</v>
      </c>
      <c r="D26" s="16">
        <f>SUBTOTAL(9,$C5:D5)</f>
        <v>4</v>
      </c>
      <c r="E26" s="16">
        <f>SUBTOTAL(9,$C5:E5)</f>
        <v>7</v>
      </c>
      <c r="F26" s="16">
        <f>SUBTOTAL(9,$C5:F5)</f>
        <v>7</v>
      </c>
      <c r="G26" s="16">
        <f>SUBTOTAL(9,$C5:G5)</f>
        <v>7</v>
      </c>
      <c r="H26" s="16">
        <f>SUBTOTAL(9,$C5:H5)</f>
        <v>11</v>
      </c>
      <c r="I26" s="16">
        <f>SUBTOTAL(9,$C5:I5)</f>
        <v>13</v>
      </c>
      <c r="J26" s="16">
        <f>SUBTOTAL(9,$C5:J5)</f>
        <v>13</v>
      </c>
      <c r="K26" s="16">
        <f>SUBTOTAL(9,$C5:K5)</f>
        <v>16</v>
      </c>
      <c r="L26" s="16">
        <f>SUBTOTAL(9,$C5:L5)</f>
        <v>22</v>
      </c>
      <c r="M26" s="16">
        <f>SUBTOTAL(9,$C5:M5)</f>
        <v>23</v>
      </c>
      <c r="N26" s="16">
        <f>SUBTOTAL(9,$C5:N5)</f>
        <v>23</v>
      </c>
      <c r="O26" s="16">
        <f>SUBTOTAL(9,$C5:O5)</f>
        <v>24</v>
      </c>
      <c r="P26" s="16">
        <f>SUBTOTAL(9,$C5:P5)</f>
        <v>31</v>
      </c>
      <c r="Q26" s="16">
        <f>SUBTOTAL(9,$C5:Q5)</f>
        <v>35</v>
      </c>
      <c r="R26" s="16">
        <f>SUBTOTAL(9,$C5:R5)</f>
        <v>35</v>
      </c>
      <c r="S26" s="16">
        <f>SUBTOTAL(9,$C5:S5)</f>
        <v>35</v>
      </c>
      <c r="T26" s="16">
        <f>SUBTOTAL(9,$T5:T5)</f>
        <v>3</v>
      </c>
      <c r="U26" s="16">
        <f>SUBTOTAL(9,$T5:U5)</f>
        <v>10</v>
      </c>
      <c r="V26" s="16">
        <f>SUBTOTAL(9,$T5:V5)</f>
        <v>11</v>
      </c>
      <c r="W26" s="16">
        <f>SUBTOTAL(9,$T5:W5)</f>
        <v>11</v>
      </c>
      <c r="X26" s="16">
        <f>SUBTOTAL(9,$T5:X5)</f>
        <v>16</v>
      </c>
      <c r="Y26" s="16">
        <f>SUBTOTAL(9,$T5:Y5)</f>
        <v>24</v>
      </c>
      <c r="Z26" s="16">
        <f>SUBTOTAL(9,$T5:Z5)</f>
        <v>33</v>
      </c>
      <c r="AA26" s="16">
        <f>SUBTOTAL(9,$T5:AA5)</f>
        <v>33</v>
      </c>
      <c r="AB26" s="16">
        <f>SUBTOTAL(9,$T5:AB5)</f>
        <v>37</v>
      </c>
      <c r="AC26" s="16">
        <f>SUBTOTAL(9,$T5:AC5)</f>
        <v>41</v>
      </c>
      <c r="AD26" s="16">
        <f>SUBTOTAL(9,$T5:AD5)</f>
        <v>49</v>
      </c>
      <c r="AE26" s="16">
        <f>SUBTOTAL(9,$T5:AE5)</f>
        <v>49</v>
      </c>
      <c r="AF26" s="16">
        <f>SUBTOTAL(9,$T5:AF5)</f>
        <v>49</v>
      </c>
      <c r="AG26" s="16">
        <f>SUBTOTAL(9,$T5:AG5)</f>
        <v>52</v>
      </c>
      <c r="AH26" s="16">
        <f>SUBTOTAL(9,$T5:AH5)</f>
        <v>52</v>
      </c>
      <c r="AI26" s="16">
        <f>SUBTOTAL(9,$T5:AI5)</f>
        <v>52</v>
      </c>
      <c r="AJ26" s="16">
        <f>SUBTOTAL(9,$T5:AJ5)</f>
        <v>52</v>
      </c>
    </row>
    <row r="27" spans="1:36" ht="15.75" thickBot="1" x14ac:dyDescent="0.3">
      <c r="A27" s="129" t="s">
        <v>263</v>
      </c>
      <c r="B27" s="11" t="s">
        <v>268</v>
      </c>
      <c r="C27" s="14">
        <f>SUBTOTAL(9,$C8:C8)</f>
        <v>1</v>
      </c>
      <c r="D27" s="14">
        <f>SUBTOTAL(9,$C8:D8)</f>
        <v>1</v>
      </c>
      <c r="E27" s="14">
        <f>SUBTOTAL(9,$C8:E8)</f>
        <v>1</v>
      </c>
      <c r="F27" s="14">
        <f>SUBTOTAL(9,$C8:F8)</f>
        <v>1</v>
      </c>
      <c r="G27" s="14">
        <f>SUBTOTAL(9,$C8:G8)</f>
        <v>1</v>
      </c>
      <c r="H27" s="14">
        <f>SUBTOTAL(9,$C8:H8)</f>
        <v>4</v>
      </c>
      <c r="I27" s="14">
        <f>SUBTOTAL(9,$C8:I8)</f>
        <v>5</v>
      </c>
      <c r="J27" s="14">
        <f>SUBTOTAL(9,$C8:J8)</f>
        <v>5</v>
      </c>
      <c r="K27" s="14">
        <f>SUBTOTAL(9,$C8:K8)</f>
        <v>6</v>
      </c>
      <c r="L27" s="14">
        <f>SUBTOTAL(9,$C8:L8)</f>
        <v>7</v>
      </c>
      <c r="M27" s="14">
        <f>SUBTOTAL(9,$C8:M8)</f>
        <v>10</v>
      </c>
      <c r="N27" s="14">
        <f>SUBTOTAL(9,$C8:N8)</f>
        <v>10</v>
      </c>
      <c r="O27" s="14">
        <f>SUBTOTAL(9,$C8:O8)</f>
        <v>10</v>
      </c>
      <c r="P27" s="14">
        <f>SUBTOTAL(9,$C8:P8)</f>
        <v>11</v>
      </c>
      <c r="Q27" s="14">
        <f>SUBTOTAL(9,$C8:Q8)</f>
        <v>11</v>
      </c>
      <c r="R27" s="14">
        <f>SUBTOTAL(9,$C8:R8)</f>
        <v>11</v>
      </c>
      <c r="S27" s="14">
        <f>SUBTOTAL(9,$C8:S8)</f>
        <v>11</v>
      </c>
      <c r="T27" s="14">
        <f>SUBTOTAL(9,$T8:T8)</f>
        <v>1</v>
      </c>
      <c r="U27" s="14">
        <f>SUBTOTAL(9,$T8:U8)</f>
        <v>2</v>
      </c>
      <c r="V27" s="14">
        <f>SUBTOTAL(9,$T8:V8)</f>
        <v>3</v>
      </c>
      <c r="W27" s="14">
        <f>SUBTOTAL(9,$T8:W8)</f>
        <v>3</v>
      </c>
      <c r="X27" s="14">
        <f>SUBTOTAL(9,$T8:X8)</f>
        <v>3</v>
      </c>
      <c r="Y27" s="14">
        <f>SUBTOTAL(9,$T8:Y8)</f>
        <v>3</v>
      </c>
      <c r="Z27" s="14">
        <f>SUBTOTAL(9,$T8:Z8)</f>
        <v>4</v>
      </c>
      <c r="AA27" s="14">
        <f>SUBTOTAL(9,$T8:AA8)</f>
        <v>4</v>
      </c>
      <c r="AB27" s="14">
        <f>SUBTOTAL(9,$T8:AB8)</f>
        <v>5</v>
      </c>
      <c r="AC27" s="14">
        <f>SUBTOTAL(9,$T8:AC8)</f>
        <v>5</v>
      </c>
      <c r="AD27" s="14">
        <f>SUBTOTAL(9,$T8:AD8)</f>
        <v>5</v>
      </c>
      <c r="AE27" s="14">
        <f>SUBTOTAL(9,$T8:AE8)</f>
        <v>5</v>
      </c>
      <c r="AF27" s="14">
        <f>SUBTOTAL(9,$T8:AF8)</f>
        <v>6</v>
      </c>
      <c r="AG27" s="14">
        <f>SUBTOTAL(9,$T8:AG8)</f>
        <v>7</v>
      </c>
      <c r="AH27" s="14">
        <f>SUBTOTAL(9,$T8:AH8)</f>
        <v>7</v>
      </c>
      <c r="AI27" s="14">
        <f>SUBTOTAL(9,$T8:AI8)</f>
        <v>7</v>
      </c>
      <c r="AJ27" s="14">
        <f>SUBTOTAL(9,$T8:AJ8)</f>
        <v>7</v>
      </c>
    </row>
    <row r="28" spans="1:36" ht="15.75" thickBot="1" x14ac:dyDescent="0.3">
      <c r="A28" s="129"/>
      <c r="B28" s="12" t="s">
        <v>269</v>
      </c>
      <c r="C28" s="15">
        <f>SUBTOTAL(9,$C9:C9)</f>
        <v>0</v>
      </c>
      <c r="D28" s="15">
        <f>SUBTOTAL(9,$C9:D9)</f>
        <v>1</v>
      </c>
      <c r="E28" s="15">
        <f>SUBTOTAL(9,$C9:E9)</f>
        <v>4</v>
      </c>
      <c r="F28" s="15">
        <f>SUBTOTAL(9,$C9:F9)</f>
        <v>4</v>
      </c>
      <c r="G28" s="15">
        <f>SUBTOTAL(9,$C9:G9)</f>
        <v>5</v>
      </c>
      <c r="H28" s="15">
        <f>SUBTOTAL(9,$C9:H9)</f>
        <v>7</v>
      </c>
      <c r="I28" s="15">
        <f>SUBTOTAL(9,$C9:I9)</f>
        <v>7</v>
      </c>
      <c r="J28" s="15">
        <f>SUBTOTAL(9,$C9:J9)</f>
        <v>7</v>
      </c>
      <c r="K28" s="15">
        <f>SUBTOTAL(9,$C9:K9)</f>
        <v>9</v>
      </c>
      <c r="L28" s="15">
        <f>SUBTOTAL(9,$C9:L9)</f>
        <v>10</v>
      </c>
      <c r="M28" s="15">
        <f>SUBTOTAL(9,$C9:M9)</f>
        <v>10</v>
      </c>
      <c r="N28" s="15">
        <f>SUBTOTAL(9,$C9:N9)</f>
        <v>10</v>
      </c>
      <c r="O28" s="15">
        <f>SUBTOTAL(9,$C9:O9)</f>
        <v>12</v>
      </c>
      <c r="P28" s="15">
        <f>SUBTOTAL(9,$C9:P9)</f>
        <v>12</v>
      </c>
      <c r="Q28" s="15">
        <f>SUBTOTAL(9,$C9:Q9)</f>
        <v>14</v>
      </c>
      <c r="R28" s="15">
        <f>SUBTOTAL(9,$C9:R9)</f>
        <v>14</v>
      </c>
      <c r="S28" s="15">
        <f>SUBTOTAL(9,$C9:S9)</f>
        <v>14</v>
      </c>
      <c r="T28" s="15">
        <f>SUBTOTAL(9,$T9:T9)</f>
        <v>0</v>
      </c>
      <c r="U28" s="15">
        <f>SUBTOTAL(9,$T9:U9)</f>
        <v>5</v>
      </c>
      <c r="V28" s="15">
        <f>SUBTOTAL(9,$T9:V9)</f>
        <v>5</v>
      </c>
      <c r="W28" s="15">
        <f>SUBTOTAL(9,$T9:W9)</f>
        <v>5</v>
      </c>
      <c r="X28" s="15">
        <f>SUBTOTAL(9,$T9:X9)</f>
        <v>6</v>
      </c>
      <c r="Y28" s="15">
        <f>SUBTOTAL(9,$T9:Y9)</f>
        <v>9</v>
      </c>
      <c r="Z28" s="15">
        <f>SUBTOTAL(9,$T9:Z9)</f>
        <v>9</v>
      </c>
      <c r="AA28" s="15">
        <f>SUBTOTAL(9,$T9:AA9)</f>
        <v>9</v>
      </c>
      <c r="AB28" s="15">
        <f>SUBTOTAL(9,$T9:AB9)</f>
        <v>12</v>
      </c>
      <c r="AC28" s="15">
        <f>SUBTOTAL(9,$T9:AC9)</f>
        <v>15</v>
      </c>
      <c r="AD28" s="15">
        <f>SUBTOTAL(9,$T9:AD9)</f>
        <v>16</v>
      </c>
      <c r="AE28" s="15">
        <f>SUBTOTAL(9,$T9:AE9)</f>
        <v>16</v>
      </c>
      <c r="AF28" s="15">
        <f>SUBTOTAL(9,$T9:AF9)</f>
        <v>20</v>
      </c>
      <c r="AG28" s="15">
        <f>SUBTOTAL(9,$T9:AG9)</f>
        <v>22</v>
      </c>
      <c r="AH28" s="15">
        <f>SUBTOTAL(9,$T9:AH9)</f>
        <v>22</v>
      </c>
      <c r="AI28" s="15">
        <f>SUBTOTAL(9,$T9:AI9)</f>
        <v>22</v>
      </c>
      <c r="AJ28" s="15">
        <f>SUBTOTAL(9,$T9:AJ9)</f>
        <v>22</v>
      </c>
    </row>
    <row r="29" spans="1:36" ht="15.75" thickBot="1" x14ac:dyDescent="0.3">
      <c r="A29" s="129"/>
      <c r="B29" s="13" t="s">
        <v>270</v>
      </c>
      <c r="C29" s="16">
        <f>SUBTOTAL(9,$C10:C10)</f>
        <v>0</v>
      </c>
      <c r="D29" s="16">
        <f>SUBTOTAL(9,$C10:D10)</f>
        <v>0</v>
      </c>
      <c r="E29" s="16">
        <f>SUBTOTAL(9,$C10:E10)</f>
        <v>0</v>
      </c>
      <c r="F29" s="16">
        <f>SUBTOTAL(9,$C10:F10)</f>
        <v>0</v>
      </c>
      <c r="G29" s="16">
        <f>SUBTOTAL(9,$C10:G10)</f>
        <v>0</v>
      </c>
      <c r="H29" s="16">
        <f>SUBTOTAL(9,$C10:H10)</f>
        <v>0</v>
      </c>
      <c r="I29" s="16">
        <f>SUBTOTAL(9,$C10:I10)</f>
        <v>0</v>
      </c>
      <c r="J29" s="16">
        <f>SUBTOTAL(9,$C10:J10)</f>
        <v>0</v>
      </c>
      <c r="K29" s="16">
        <f>SUBTOTAL(9,$C10:K10)</f>
        <v>2</v>
      </c>
      <c r="L29" s="16">
        <f>SUBTOTAL(9,$C10:L10)</f>
        <v>8</v>
      </c>
      <c r="M29" s="16">
        <f>SUBTOTAL(9,$C10:M10)</f>
        <v>9</v>
      </c>
      <c r="N29" s="16">
        <f>SUBTOTAL(9,$C10:N10)</f>
        <v>9</v>
      </c>
      <c r="O29" s="16">
        <f>SUBTOTAL(9,$C10:O10)</f>
        <v>9</v>
      </c>
      <c r="P29" s="16">
        <f>SUBTOTAL(9,$C10:P10)</f>
        <v>14</v>
      </c>
      <c r="Q29" s="16">
        <f>SUBTOTAL(9,$C10:Q10)</f>
        <v>18</v>
      </c>
      <c r="R29" s="16">
        <f>SUBTOTAL(9,$C10:R10)</f>
        <v>18</v>
      </c>
      <c r="S29" s="16">
        <f>SUBTOTAL(9,$C10:S10)</f>
        <v>18</v>
      </c>
      <c r="T29" s="16">
        <f>SUBTOTAL(9,$T10:T10)</f>
        <v>3</v>
      </c>
      <c r="U29" s="16">
        <f>SUBTOTAL(9,$T10:U10)</f>
        <v>9</v>
      </c>
      <c r="V29" s="16">
        <f>SUBTOTAL(9,$T10:V10)</f>
        <v>9</v>
      </c>
      <c r="W29" s="16">
        <f>SUBTOTAL(9,$T10:W10)</f>
        <v>9</v>
      </c>
      <c r="X29" s="16">
        <f>SUBTOTAL(9,$T10:X10)</f>
        <v>13</v>
      </c>
      <c r="Y29" s="16">
        <f>SUBTOTAL(9,$T10:Y10)</f>
        <v>18</v>
      </c>
      <c r="Z29" s="16">
        <f>SUBTOTAL(9,$T10:Z10)</f>
        <v>24</v>
      </c>
      <c r="AA29" s="16">
        <f>SUBTOTAL(9,$T10:AA10)</f>
        <v>24</v>
      </c>
      <c r="AB29" s="16">
        <f>SUBTOTAL(9,$T10:AB10)</f>
        <v>27</v>
      </c>
      <c r="AC29" s="16">
        <f>SUBTOTAL(9,$T10:AC10)</f>
        <v>29</v>
      </c>
      <c r="AD29" s="16">
        <f>SUBTOTAL(9,$T10:AD10)</f>
        <v>34</v>
      </c>
      <c r="AE29" s="16">
        <f>SUBTOTAL(9,$T10:AE10)</f>
        <v>34</v>
      </c>
      <c r="AF29" s="16">
        <f>SUBTOTAL(9,$T10:AF10)</f>
        <v>34</v>
      </c>
      <c r="AG29" s="16">
        <f>SUBTOTAL(9,$T10:AG10)</f>
        <v>35</v>
      </c>
      <c r="AH29" s="16">
        <f>SUBTOTAL(9,$T10:AH10)</f>
        <v>35</v>
      </c>
      <c r="AI29" s="16">
        <f>SUBTOTAL(9,$T10:AI10)</f>
        <v>35</v>
      </c>
      <c r="AJ29" s="16">
        <f>SUBTOTAL(9,$T10:AJ10)</f>
        <v>35</v>
      </c>
    </row>
    <row r="30" spans="1:36" ht="15.75" thickBot="1" x14ac:dyDescent="0.3">
      <c r="A30" s="129" t="s">
        <v>264</v>
      </c>
      <c r="B30" s="11" t="s">
        <v>268</v>
      </c>
      <c r="C30" s="14">
        <f>SUBTOTAL(9,$C13:C13)</f>
        <v>0</v>
      </c>
      <c r="D30" s="14">
        <f>SUBTOTAL(9,$C13:D13)</f>
        <v>4</v>
      </c>
      <c r="E30" s="14">
        <f>SUBTOTAL(9,$C13:E13)</f>
        <v>7</v>
      </c>
      <c r="F30" s="14">
        <f>SUBTOTAL(9,$C13:F13)</f>
        <v>7</v>
      </c>
      <c r="G30" s="14">
        <f>SUBTOTAL(9,$C13:G13)</f>
        <v>7</v>
      </c>
      <c r="H30" s="14">
        <f>SUBTOTAL(9,$C13:H13)</f>
        <v>9</v>
      </c>
      <c r="I30" s="14">
        <f>SUBTOTAL(9,$C13:I13)</f>
        <v>11</v>
      </c>
      <c r="J30" s="14">
        <f>SUBTOTAL(9,$C13:J13)</f>
        <v>11</v>
      </c>
      <c r="K30" s="14">
        <f>SUBTOTAL(9,$C13:K13)</f>
        <v>11</v>
      </c>
      <c r="L30" s="14">
        <f>SUBTOTAL(9,$C13:L13)</f>
        <v>11</v>
      </c>
      <c r="M30" s="14">
        <f>SUBTOTAL(9,$C13:M13)</f>
        <v>11</v>
      </c>
      <c r="N30" s="14">
        <f>SUBTOTAL(9,$C13:N13)</f>
        <v>11</v>
      </c>
      <c r="O30" s="14">
        <f>SUBTOTAL(9,$C13:O13)</f>
        <v>11</v>
      </c>
      <c r="P30" s="14">
        <f>SUBTOTAL(9,$C13:P13)</f>
        <v>12</v>
      </c>
      <c r="Q30" s="14">
        <f>SUBTOTAL(9,$C13:Q13)</f>
        <v>13</v>
      </c>
      <c r="R30" s="14">
        <f>SUBTOTAL(9,$C13:R13)</f>
        <v>13</v>
      </c>
      <c r="S30" s="14">
        <f>SUBTOTAL(9,$C13:S13)</f>
        <v>13</v>
      </c>
      <c r="T30" s="14">
        <f>SUBTOTAL(9,$T13:T13)</f>
        <v>0</v>
      </c>
      <c r="U30" s="14">
        <f>SUBTOTAL(9,$T13:U13)</f>
        <v>0</v>
      </c>
      <c r="V30" s="14">
        <f>SUBTOTAL(9,$T13:V13)</f>
        <v>0</v>
      </c>
      <c r="W30" s="14">
        <f>SUBTOTAL(9,$T13:W13)</f>
        <v>0</v>
      </c>
      <c r="X30" s="14">
        <f>SUBTOTAL(9,$T13:X13)</f>
        <v>0</v>
      </c>
      <c r="Y30" s="14">
        <f>SUBTOTAL(9,$T13:Y13)</f>
        <v>0</v>
      </c>
      <c r="Z30" s="14">
        <f>SUBTOTAL(9,$T13:Z13)</f>
        <v>0</v>
      </c>
      <c r="AA30" s="14">
        <f>SUBTOTAL(9,$T13:AA13)</f>
        <v>0</v>
      </c>
      <c r="AB30" s="14">
        <f>SUBTOTAL(9,$T13:AB13)</f>
        <v>0</v>
      </c>
      <c r="AC30" s="14">
        <f>SUBTOTAL(9,$T13:AC13)</f>
        <v>0</v>
      </c>
      <c r="AD30" s="14">
        <f>SUBTOTAL(9,$T13:AD13)</f>
        <v>0</v>
      </c>
      <c r="AE30" s="14">
        <f>SUBTOTAL(9,$T13:AE13)</f>
        <v>0</v>
      </c>
      <c r="AF30" s="14">
        <f>SUBTOTAL(9,$T13:AF13)</f>
        <v>0</v>
      </c>
      <c r="AG30" s="14">
        <f>SUBTOTAL(9,$T13:AG13)</f>
        <v>0</v>
      </c>
      <c r="AH30" s="14">
        <f>SUBTOTAL(9,$T13:AH13)</f>
        <v>0</v>
      </c>
      <c r="AI30" s="14">
        <f>SUBTOTAL(9,$T13:AI13)</f>
        <v>0</v>
      </c>
      <c r="AJ30" s="14">
        <f>SUBTOTAL(9,$T13:AJ13)</f>
        <v>0</v>
      </c>
    </row>
    <row r="31" spans="1:36" ht="15.75" thickBot="1" x14ac:dyDescent="0.3">
      <c r="A31" s="129"/>
      <c r="B31" s="12" t="s">
        <v>269</v>
      </c>
      <c r="C31" s="15">
        <f>SUBTOTAL(9,$C14:C14)</f>
        <v>4</v>
      </c>
      <c r="D31" s="15">
        <f>SUBTOTAL(9,$C14:D14)</f>
        <v>9</v>
      </c>
      <c r="E31" s="15">
        <f>SUBTOTAL(9,$C14:E14)</f>
        <v>13</v>
      </c>
      <c r="F31" s="15">
        <f>SUBTOTAL(9,$C14:F14)</f>
        <v>13</v>
      </c>
      <c r="G31" s="15">
        <f>SUBTOTAL(9,$C14:G14)</f>
        <v>21</v>
      </c>
      <c r="H31" s="15">
        <f>SUBTOTAL(9,$C14:H14)</f>
        <v>24</v>
      </c>
      <c r="I31" s="15">
        <f>SUBTOTAL(9,$C14:I14)</f>
        <v>27</v>
      </c>
      <c r="J31" s="15">
        <f>SUBTOTAL(9,$C14:J14)</f>
        <v>27</v>
      </c>
      <c r="K31" s="15">
        <f>SUBTOTAL(9,$C14:K14)</f>
        <v>27</v>
      </c>
      <c r="L31" s="15">
        <f>SUBTOTAL(9,$C14:L14)</f>
        <v>27</v>
      </c>
      <c r="M31" s="15">
        <f>SUBTOTAL(9,$C14:M14)</f>
        <v>27</v>
      </c>
      <c r="N31" s="15">
        <f>SUBTOTAL(9,$C14:N14)</f>
        <v>27</v>
      </c>
      <c r="O31" s="15">
        <f>SUBTOTAL(9,$C14:O14)</f>
        <v>27</v>
      </c>
      <c r="P31" s="15">
        <f>SUBTOTAL(9,$C14:P14)</f>
        <v>27</v>
      </c>
      <c r="Q31" s="15">
        <f>SUBTOTAL(9,$C14:Q14)</f>
        <v>27</v>
      </c>
      <c r="R31" s="15">
        <f>SUBTOTAL(9,$C14:R14)</f>
        <v>27</v>
      </c>
      <c r="S31" s="15">
        <f>SUBTOTAL(9,$C14:S14)</f>
        <v>27</v>
      </c>
      <c r="T31" s="15">
        <f>SUBTOTAL(9,$T14:T14)</f>
        <v>1</v>
      </c>
      <c r="U31" s="15">
        <f>SUBTOTAL(9,$T14:U14)</f>
        <v>2</v>
      </c>
      <c r="V31" s="15">
        <f>SUBTOTAL(9,$T14:V14)</f>
        <v>2</v>
      </c>
      <c r="W31" s="15">
        <f>SUBTOTAL(9,$T14:W14)</f>
        <v>2</v>
      </c>
      <c r="X31" s="15">
        <f>SUBTOTAL(9,$T14:X14)</f>
        <v>2</v>
      </c>
      <c r="Y31" s="15">
        <f>SUBTOTAL(9,$T14:Y14)</f>
        <v>3</v>
      </c>
      <c r="Z31" s="15">
        <f>SUBTOTAL(9,$T14:Z14)</f>
        <v>3</v>
      </c>
      <c r="AA31" s="15">
        <f>SUBTOTAL(9,$T14:AA14)</f>
        <v>3</v>
      </c>
      <c r="AB31" s="15">
        <f>SUBTOTAL(9,$T14:AB14)</f>
        <v>4</v>
      </c>
      <c r="AC31" s="15">
        <f>SUBTOTAL(9,$T14:AC14)</f>
        <v>4</v>
      </c>
      <c r="AD31" s="15">
        <f>SUBTOTAL(9,$T14:AD14)</f>
        <v>4</v>
      </c>
      <c r="AE31" s="15">
        <f>SUBTOTAL(9,$T14:AE14)</f>
        <v>4</v>
      </c>
      <c r="AF31" s="15">
        <f>SUBTOTAL(9,$T14:AF14)</f>
        <v>4</v>
      </c>
      <c r="AG31" s="15">
        <f>SUBTOTAL(9,$T14:AG14)</f>
        <v>4</v>
      </c>
      <c r="AH31" s="15">
        <f>SUBTOTAL(9,$T14:AH14)</f>
        <v>4</v>
      </c>
      <c r="AI31" s="15">
        <f>SUBTOTAL(9,$T14:AI14)</f>
        <v>4</v>
      </c>
      <c r="AJ31" s="15">
        <f>SUBTOTAL(9,$T14:AJ14)</f>
        <v>4</v>
      </c>
    </row>
    <row r="32" spans="1:36" ht="15.75" thickBot="1" x14ac:dyDescent="0.3">
      <c r="A32" s="129"/>
      <c r="B32" s="13" t="s">
        <v>270</v>
      </c>
      <c r="C32" s="16">
        <f>SUBTOTAL(9,$C15:C15)</f>
        <v>2</v>
      </c>
      <c r="D32" s="16">
        <f>SUBTOTAL(9,$C15:D15)</f>
        <v>4</v>
      </c>
      <c r="E32" s="16">
        <f>SUBTOTAL(9,$C15:E15)</f>
        <v>7</v>
      </c>
      <c r="F32" s="16">
        <f>SUBTOTAL(9,$C15:F15)</f>
        <v>7</v>
      </c>
      <c r="G32" s="16">
        <f>SUBTOTAL(9,$C15:G15)</f>
        <v>7</v>
      </c>
      <c r="H32" s="16">
        <f>SUBTOTAL(9,$C15:H15)</f>
        <v>11</v>
      </c>
      <c r="I32" s="16">
        <f>SUBTOTAL(9,$C15:I15)</f>
        <v>13</v>
      </c>
      <c r="J32" s="16">
        <f>SUBTOTAL(9,$C15:J15)</f>
        <v>13</v>
      </c>
      <c r="K32" s="16">
        <f>SUBTOTAL(9,$C15:K15)</f>
        <v>14</v>
      </c>
      <c r="L32" s="16">
        <f>SUBTOTAL(9,$C15:L15)</f>
        <v>14</v>
      </c>
      <c r="M32" s="16">
        <f>SUBTOTAL(9,$C15:M15)</f>
        <v>14</v>
      </c>
      <c r="N32" s="16">
        <f>SUBTOTAL(9,$C15:N15)</f>
        <v>14</v>
      </c>
      <c r="O32" s="16">
        <f>SUBTOTAL(9,$C15:O15)</f>
        <v>14</v>
      </c>
      <c r="P32" s="16">
        <f>SUBTOTAL(9,$C15:P15)</f>
        <v>14</v>
      </c>
      <c r="Q32" s="16">
        <f>SUBTOTAL(9,$C15:Q15)</f>
        <v>14</v>
      </c>
      <c r="R32" s="16">
        <f>SUBTOTAL(9,$C15:R15)</f>
        <v>14</v>
      </c>
      <c r="S32" s="16">
        <f>SUBTOTAL(9,$C15:S15)</f>
        <v>14</v>
      </c>
      <c r="T32" s="16">
        <f>SUBTOTAL(9,$T15:T15)</f>
        <v>0</v>
      </c>
      <c r="U32" s="16">
        <f>SUBTOTAL(9,$T15:U15)</f>
        <v>0</v>
      </c>
      <c r="V32" s="16">
        <f>SUBTOTAL(9,$T15:V15)</f>
        <v>1</v>
      </c>
      <c r="W32" s="16">
        <f>SUBTOTAL(9,$T15:W15)</f>
        <v>1</v>
      </c>
      <c r="X32" s="16">
        <f>SUBTOTAL(9,$T15:X15)</f>
        <v>2</v>
      </c>
      <c r="Y32" s="16">
        <f>SUBTOTAL(9,$T15:Y15)</f>
        <v>5</v>
      </c>
      <c r="Z32" s="16">
        <f>SUBTOTAL(9,$T15:Z15)</f>
        <v>5</v>
      </c>
      <c r="AA32" s="16">
        <f>SUBTOTAL(9,$T15:AA15)</f>
        <v>5</v>
      </c>
      <c r="AB32" s="16">
        <f>SUBTOTAL(9,$T15:AB15)</f>
        <v>6</v>
      </c>
      <c r="AC32" s="16">
        <f>SUBTOTAL(9,$T15:AC15)</f>
        <v>7</v>
      </c>
      <c r="AD32" s="16">
        <f>SUBTOTAL(9,$T15:AD15)</f>
        <v>7</v>
      </c>
      <c r="AE32" s="16">
        <f>SUBTOTAL(9,$T15:AE15)</f>
        <v>7</v>
      </c>
      <c r="AF32" s="16">
        <f>SUBTOTAL(9,$T15:AF15)</f>
        <v>7</v>
      </c>
      <c r="AG32" s="16">
        <f>SUBTOTAL(9,$T15:AG15)</f>
        <v>8</v>
      </c>
      <c r="AH32" s="16">
        <f>SUBTOTAL(9,$T15:AH15)</f>
        <v>8</v>
      </c>
      <c r="AI32" s="16">
        <f>SUBTOTAL(9,$T15:AI15)</f>
        <v>8</v>
      </c>
      <c r="AJ32" s="16">
        <f>SUBTOTAL(9,$T15:AJ15)</f>
        <v>8</v>
      </c>
    </row>
    <row r="33" spans="1:36" ht="15.75" thickBot="1" x14ac:dyDescent="0.3">
      <c r="A33" s="129" t="s">
        <v>265</v>
      </c>
      <c r="B33" s="11" t="s">
        <v>268</v>
      </c>
      <c r="C33" s="15">
        <f>SUBTOTAL(9,$C18:C18)</f>
        <v>0</v>
      </c>
      <c r="D33" s="15">
        <f>SUBTOTAL(9,$C18:D18)</f>
        <v>0</v>
      </c>
      <c r="E33" s="15">
        <f>SUBTOTAL(9,$C18:E18)</f>
        <v>0</v>
      </c>
      <c r="F33" s="15">
        <f>SUBTOTAL(9,$C18:F18)</f>
        <v>0</v>
      </c>
      <c r="G33" s="15">
        <f>SUBTOTAL(9,$C18:G18)</f>
        <v>0</v>
      </c>
      <c r="H33" s="15">
        <f>SUBTOTAL(9,$C18:H18)</f>
        <v>0</v>
      </c>
      <c r="I33" s="15">
        <f>SUBTOTAL(9,$C18:I18)</f>
        <v>0</v>
      </c>
      <c r="J33" s="15">
        <f>SUBTOTAL(9,$C18:J18)</f>
        <v>0</v>
      </c>
      <c r="K33" s="15">
        <f>SUBTOTAL(9,$C18:K18)</f>
        <v>0</v>
      </c>
      <c r="L33" s="15">
        <f>SUBTOTAL(9,$C18:L18)</f>
        <v>0</v>
      </c>
      <c r="M33" s="15">
        <f>SUBTOTAL(9,$C18:M18)</f>
        <v>0</v>
      </c>
      <c r="N33" s="15">
        <f>SUBTOTAL(9,$C18:N18)</f>
        <v>0</v>
      </c>
      <c r="O33" s="15">
        <f>SUBTOTAL(9,$C18:O18)</f>
        <v>0</v>
      </c>
      <c r="P33" s="15">
        <f>SUBTOTAL(9,$C18:P18)</f>
        <v>2</v>
      </c>
      <c r="Q33" s="15">
        <f>SUBTOTAL(9,$C18:Q18)</f>
        <v>3</v>
      </c>
      <c r="R33" s="15">
        <f>SUBTOTAL(9,$C18:R18)</f>
        <v>3</v>
      </c>
      <c r="S33" s="15">
        <f>SUBTOTAL(9,$C18:S18)</f>
        <v>3</v>
      </c>
      <c r="T33" s="15">
        <f>SUBTOTAL(9,$T18:T18)</f>
        <v>0</v>
      </c>
      <c r="U33" s="15">
        <f>SUBTOTAL(9,$T18:U18)</f>
        <v>1</v>
      </c>
      <c r="V33" s="15">
        <f>SUBTOTAL(9,$T18:V18)</f>
        <v>1</v>
      </c>
      <c r="W33" s="15">
        <f>SUBTOTAL(9,$T18:W18)</f>
        <v>1</v>
      </c>
      <c r="X33" s="15">
        <f>SUBTOTAL(9,$T18:X18)</f>
        <v>1</v>
      </c>
      <c r="Y33" s="15">
        <f>SUBTOTAL(9,$T18:Y18)</f>
        <v>1</v>
      </c>
      <c r="Z33" s="15">
        <f>SUBTOTAL(9,$T18:Z18)</f>
        <v>1</v>
      </c>
      <c r="AA33" s="15">
        <f>SUBTOTAL(9,$T18:AA18)</f>
        <v>1</v>
      </c>
      <c r="AB33" s="15">
        <f>SUBTOTAL(9,$T18:AB18)</f>
        <v>1</v>
      </c>
      <c r="AC33" s="15">
        <f>SUBTOTAL(9,$T18:AC18)</f>
        <v>1</v>
      </c>
      <c r="AD33" s="15">
        <f>SUBTOTAL(9,$T18:AD18)</f>
        <v>1</v>
      </c>
      <c r="AE33" s="15">
        <f>SUBTOTAL(9,$T18:AE18)</f>
        <v>1</v>
      </c>
      <c r="AF33" s="15">
        <f>SUBTOTAL(9,$T18:AF18)</f>
        <v>2</v>
      </c>
      <c r="AG33" s="15">
        <f>SUBTOTAL(9,$T18:AG18)</f>
        <v>3</v>
      </c>
      <c r="AH33" s="15">
        <f>SUBTOTAL(9,$T18:AH18)</f>
        <v>3</v>
      </c>
      <c r="AI33" s="15">
        <f>SUBTOTAL(9,$T18:AI18)</f>
        <v>3</v>
      </c>
      <c r="AJ33" s="15">
        <f>SUBTOTAL(9,$T18:AJ18)</f>
        <v>3</v>
      </c>
    </row>
    <row r="34" spans="1:36" ht="15.75" thickBot="1" x14ac:dyDescent="0.3">
      <c r="A34" s="129"/>
      <c r="B34" s="12" t="s">
        <v>269</v>
      </c>
      <c r="C34" s="15">
        <f>SUBTOTAL(9,$C19:C19)</f>
        <v>0</v>
      </c>
      <c r="D34" s="15">
        <f>SUBTOTAL(9,$C19:D19)</f>
        <v>0</v>
      </c>
      <c r="E34" s="15">
        <f>SUBTOTAL(9,$C19:E19)</f>
        <v>0</v>
      </c>
      <c r="F34" s="15">
        <f>SUBTOTAL(9,$C19:F19)</f>
        <v>0</v>
      </c>
      <c r="G34" s="15">
        <f>SUBTOTAL(9,$C19:G19)</f>
        <v>0</v>
      </c>
      <c r="H34" s="15">
        <f>SUBTOTAL(9,$C19:H19)</f>
        <v>0</v>
      </c>
      <c r="I34" s="15">
        <f>SUBTOTAL(9,$C19:I19)</f>
        <v>0</v>
      </c>
      <c r="J34" s="15">
        <f>SUBTOTAL(9,$C19:J19)</f>
        <v>0</v>
      </c>
      <c r="K34" s="15">
        <f>SUBTOTAL(9,$C19:K19)</f>
        <v>0</v>
      </c>
      <c r="L34" s="15">
        <f>SUBTOTAL(9,$C19:L19)</f>
        <v>0</v>
      </c>
      <c r="M34" s="15">
        <f>SUBTOTAL(9,$C19:M19)</f>
        <v>0</v>
      </c>
      <c r="N34" s="15">
        <f>SUBTOTAL(9,$C19:N19)</f>
        <v>0</v>
      </c>
      <c r="O34" s="15">
        <f>SUBTOTAL(9,$C19:O19)</f>
        <v>0</v>
      </c>
      <c r="P34" s="15">
        <f>SUBTOTAL(9,$C19:P19)</f>
        <v>0</v>
      </c>
      <c r="Q34" s="15">
        <f>SUBTOTAL(9,$C19:Q19)</f>
        <v>0</v>
      </c>
      <c r="R34" s="15">
        <f>SUBTOTAL(9,$C19:R19)</f>
        <v>0</v>
      </c>
      <c r="S34" s="15">
        <f>SUBTOTAL(9,$C19:S19)</f>
        <v>0</v>
      </c>
      <c r="T34" s="15">
        <f>SUBTOTAL(9,$T19:T19)</f>
        <v>0</v>
      </c>
      <c r="U34" s="15">
        <f>SUBTOTAL(9,$T19:U19)</f>
        <v>1</v>
      </c>
      <c r="V34" s="15">
        <f>SUBTOTAL(9,$T19:V19)</f>
        <v>1</v>
      </c>
      <c r="W34" s="15">
        <f>SUBTOTAL(9,$T19:W19)</f>
        <v>1</v>
      </c>
      <c r="X34" s="15">
        <f>SUBTOTAL(9,$T19:X19)</f>
        <v>1</v>
      </c>
      <c r="Y34" s="15">
        <f>SUBTOTAL(9,$T19:Y19)</f>
        <v>3</v>
      </c>
      <c r="Z34" s="15">
        <f>SUBTOTAL(9,$T19:Z19)</f>
        <v>3</v>
      </c>
      <c r="AA34" s="15">
        <f>SUBTOTAL(9,$T19:AA19)</f>
        <v>3</v>
      </c>
      <c r="AB34" s="15">
        <f>SUBTOTAL(9,$T19:AB19)</f>
        <v>3</v>
      </c>
      <c r="AC34" s="15">
        <f>SUBTOTAL(9,$T19:AC19)</f>
        <v>4</v>
      </c>
      <c r="AD34" s="15">
        <f>SUBTOTAL(9,$T19:AD19)</f>
        <v>4</v>
      </c>
      <c r="AE34" s="15">
        <f>SUBTOTAL(9,$T19:AE19)</f>
        <v>4</v>
      </c>
      <c r="AF34" s="15">
        <f>SUBTOTAL(9,$T19:AF19)</f>
        <v>5</v>
      </c>
      <c r="AG34" s="15">
        <f>SUBTOTAL(9,$T19:AG19)</f>
        <v>5</v>
      </c>
      <c r="AH34" s="15">
        <f>SUBTOTAL(9,$T19:AH19)</f>
        <v>5</v>
      </c>
      <c r="AI34" s="15">
        <f>SUBTOTAL(9,$T19:AI19)</f>
        <v>5</v>
      </c>
      <c r="AJ34" s="15">
        <f>SUBTOTAL(9,$T19:AJ19)</f>
        <v>5</v>
      </c>
    </row>
    <row r="35" spans="1:36" ht="15.75" thickBot="1" x14ac:dyDescent="0.3">
      <c r="A35" s="129"/>
      <c r="B35" s="13" t="s">
        <v>270</v>
      </c>
      <c r="C35" s="16">
        <f>SUBTOTAL(9,$C20:C20)</f>
        <v>0</v>
      </c>
      <c r="D35" s="16">
        <f>SUBTOTAL(9,$C20:D20)</f>
        <v>0</v>
      </c>
      <c r="E35" s="16">
        <f>SUBTOTAL(9,$C20:E20)</f>
        <v>0</v>
      </c>
      <c r="F35" s="16">
        <f>SUBTOTAL(9,$C20:F20)</f>
        <v>0</v>
      </c>
      <c r="G35" s="16">
        <f>SUBTOTAL(9,$C20:G20)</f>
        <v>0</v>
      </c>
      <c r="H35" s="16">
        <f>SUBTOTAL(9,$C20:H20)</f>
        <v>0</v>
      </c>
      <c r="I35" s="16">
        <f>SUBTOTAL(9,$C20:I20)</f>
        <v>0</v>
      </c>
      <c r="J35" s="16">
        <f>SUBTOTAL(9,$C20:J20)</f>
        <v>0</v>
      </c>
      <c r="K35" s="16">
        <f>SUBTOTAL(9,$C20:K20)</f>
        <v>0</v>
      </c>
      <c r="L35" s="16">
        <f>SUBTOTAL(9,$C20:L20)</f>
        <v>0</v>
      </c>
      <c r="M35" s="16">
        <f>SUBTOTAL(9,$C20:M20)</f>
        <v>0</v>
      </c>
      <c r="N35" s="16">
        <f>SUBTOTAL(9,$C20:N20)</f>
        <v>0</v>
      </c>
      <c r="O35" s="16">
        <f>SUBTOTAL(9,$C20:O20)</f>
        <v>1</v>
      </c>
      <c r="P35" s="16">
        <f>SUBTOTAL(9,$C20:P20)</f>
        <v>3</v>
      </c>
      <c r="Q35" s="16">
        <f>SUBTOTAL(9,$C20:Q20)</f>
        <v>3</v>
      </c>
      <c r="R35" s="16">
        <f>SUBTOTAL(9,$C20:R20)</f>
        <v>3</v>
      </c>
      <c r="S35" s="16">
        <f>SUBTOTAL(9,$C20:S20)</f>
        <v>3</v>
      </c>
      <c r="T35" s="16">
        <f>SUBTOTAL(9,$T20:T20)</f>
        <v>0</v>
      </c>
      <c r="U35" s="16">
        <f>SUBTOTAL(9,$T20:U20)</f>
        <v>1</v>
      </c>
      <c r="V35" s="16">
        <f>SUBTOTAL(9,$T20:V20)</f>
        <v>1</v>
      </c>
      <c r="W35" s="16">
        <f>SUBTOTAL(9,$T20:W20)</f>
        <v>1</v>
      </c>
      <c r="X35" s="16">
        <f>SUBTOTAL(9,$T20:X20)</f>
        <v>1</v>
      </c>
      <c r="Y35" s="16">
        <f>SUBTOTAL(9,$T20:Y20)</f>
        <v>1</v>
      </c>
      <c r="Z35" s="16">
        <f>SUBTOTAL(9,$T20:Z20)</f>
        <v>4</v>
      </c>
      <c r="AA35" s="16">
        <f>SUBTOTAL(9,$T20:AA20)</f>
        <v>4</v>
      </c>
      <c r="AB35" s="16">
        <f>SUBTOTAL(9,$T20:AB20)</f>
        <v>4</v>
      </c>
      <c r="AC35" s="16">
        <f>SUBTOTAL(9,$T20:AC20)</f>
        <v>5</v>
      </c>
      <c r="AD35" s="16">
        <f>SUBTOTAL(9,$T20:AD20)</f>
        <v>8</v>
      </c>
      <c r="AE35" s="16">
        <f>SUBTOTAL(9,$T20:AE20)</f>
        <v>8</v>
      </c>
      <c r="AF35" s="16">
        <f>SUBTOTAL(9,$T20:AF20)</f>
        <v>8</v>
      </c>
      <c r="AG35" s="16">
        <f>SUBTOTAL(9,$T20:AG20)</f>
        <v>9</v>
      </c>
      <c r="AH35" s="16">
        <f>SUBTOTAL(9,$T20:AH20)</f>
        <v>9</v>
      </c>
      <c r="AI35" s="16">
        <f>SUBTOTAL(9,$T20:AI20)</f>
        <v>9</v>
      </c>
      <c r="AJ35" s="16">
        <f>SUBTOTAL(9,$T20:AJ20)</f>
        <v>9</v>
      </c>
    </row>
  </sheetData>
  <mergeCells count="10">
    <mergeCell ref="T1:AJ1"/>
    <mergeCell ref="A3:A5"/>
    <mergeCell ref="A8:A10"/>
    <mergeCell ref="A13:A15"/>
    <mergeCell ref="A18:A20"/>
    <mergeCell ref="A24:A26"/>
    <mergeCell ref="A27:A29"/>
    <mergeCell ref="A30:A32"/>
    <mergeCell ref="A33:A35"/>
    <mergeCell ref="C1:S1"/>
  </mergeCells>
  <pageMargins left="0.7" right="0.7" top="0.75" bottom="0.75" header="0.3" footer="0.3"/>
  <ignoredErrors>
    <ignoredError sqref="AJ6"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14789-43A1-4011-B66D-76543CE308E9}">
  <sheetPr>
    <tabColor theme="4" tint="0.39997558519241921"/>
  </sheetPr>
  <dimension ref="A1:AI12"/>
  <sheetViews>
    <sheetView topLeftCell="H1" workbookViewId="0">
      <selection activeCell="AG3" sqref="AG3"/>
    </sheetView>
  </sheetViews>
  <sheetFormatPr defaultRowHeight="15" outlineLevelCol="1" x14ac:dyDescent="0.25"/>
  <cols>
    <col min="1" max="1" width="25.140625" bestFit="1" customWidth="1"/>
    <col min="2" max="17" width="9.140625" customWidth="1" outlineLevel="1"/>
    <col min="18" max="18" width="13" customWidth="1"/>
    <col min="35" max="35" width="15.85546875" customWidth="1"/>
  </cols>
  <sheetData>
    <row r="1" spans="1:35" ht="19.5" customHeight="1" thickBot="1" x14ac:dyDescent="0.3">
      <c r="A1" s="9"/>
      <c r="B1" s="130" t="s">
        <v>251</v>
      </c>
      <c r="C1" s="131"/>
      <c r="D1" s="131"/>
      <c r="E1" s="131"/>
      <c r="F1" s="131"/>
      <c r="G1" s="131"/>
      <c r="H1" s="131"/>
      <c r="I1" s="131"/>
      <c r="J1" s="131"/>
      <c r="K1" s="131"/>
      <c r="L1" s="131"/>
      <c r="M1" s="131"/>
      <c r="N1" s="131"/>
      <c r="O1" s="131"/>
      <c r="P1" s="131"/>
      <c r="Q1" s="131"/>
      <c r="R1" s="132"/>
      <c r="S1" s="133" t="s">
        <v>252</v>
      </c>
      <c r="T1" s="134"/>
      <c r="U1" s="134"/>
      <c r="V1" s="134"/>
      <c r="W1" s="134"/>
      <c r="X1" s="134"/>
      <c r="Y1" s="134"/>
      <c r="Z1" s="134"/>
      <c r="AA1" s="134"/>
      <c r="AB1" s="134"/>
      <c r="AC1" s="134"/>
      <c r="AD1" s="134"/>
      <c r="AE1" s="134"/>
      <c r="AF1" s="134"/>
      <c r="AG1" s="134"/>
      <c r="AH1" s="134"/>
      <c r="AI1" s="134"/>
    </row>
    <row r="2" spans="1:35" ht="15.75" thickBot="1" x14ac:dyDescent="0.3">
      <c r="A2" s="10" t="s">
        <v>346</v>
      </c>
      <c r="B2" s="8" t="str">
        <f>"JUL, "&amp;B1</f>
        <v>JUL, FY24</v>
      </c>
      <c r="C2" s="5" t="str">
        <f>"AUG, "&amp;B1</f>
        <v>AUG, FY24</v>
      </c>
      <c r="D2" s="5" t="str">
        <f>"SEP, "&amp;B1</f>
        <v>SEP, FY24</v>
      </c>
      <c r="E2" s="17" t="str">
        <f>"Q1, "&amp;B1</f>
        <v>Q1, FY24</v>
      </c>
      <c r="F2" s="5" t="str">
        <f>"OCT, "&amp;B1</f>
        <v>OCT, FY24</v>
      </c>
      <c r="G2" s="5" t="str">
        <f>"NOV, "&amp;B1</f>
        <v>NOV, FY24</v>
      </c>
      <c r="H2" s="5" t="str">
        <f>"DEC, "&amp;B1</f>
        <v>DEC, FY24</v>
      </c>
      <c r="I2" s="17" t="str">
        <f>"Q2, "&amp;B1</f>
        <v>Q2, FY24</v>
      </c>
      <c r="J2" s="5" t="str">
        <f>"JAN, "&amp;B1</f>
        <v>JAN, FY24</v>
      </c>
      <c r="K2" s="5" t="str">
        <f>"FEB, "&amp;B1</f>
        <v>FEB, FY24</v>
      </c>
      <c r="L2" s="5" t="str">
        <f>"MAR, "&amp;B1</f>
        <v>MAR, FY24</v>
      </c>
      <c r="M2" s="17" t="str">
        <f>"Q3, "&amp;B1</f>
        <v>Q3, FY24</v>
      </c>
      <c r="N2" s="5" t="str">
        <f>"APR, "&amp;B1</f>
        <v>APR, FY24</v>
      </c>
      <c r="O2" s="5" t="str">
        <f>"MAY, "&amp;B1</f>
        <v>MAY, FY24</v>
      </c>
      <c r="P2" s="5" t="str">
        <f>"JUN, "&amp;B1</f>
        <v>JUN, FY24</v>
      </c>
      <c r="Q2" s="17" t="str">
        <f>"Q4, "&amp;B1</f>
        <v>Q4, FY24</v>
      </c>
      <c r="R2" s="17" t="str">
        <f>"Full Year, "&amp;B1</f>
        <v>Full Year, FY24</v>
      </c>
      <c r="S2" s="6" t="str">
        <f>"JUL, "&amp;S1</f>
        <v>JUL, FY25</v>
      </c>
      <c r="T2" s="6" t="str">
        <f>"AUG, "&amp;S1</f>
        <v>AUG, FY25</v>
      </c>
      <c r="U2" s="6" t="str">
        <f>"SEP, "&amp;S1</f>
        <v>SEP, FY25</v>
      </c>
      <c r="V2" s="17" t="str">
        <f>"Q1, "&amp;S1</f>
        <v>Q1, FY25</v>
      </c>
      <c r="W2" s="6" t="str">
        <f>"OCT, "&amp;S1</f>
        <v>OCT, FY25</v>
      </c>
      <c r="X2" s="6" t="str">
        <f>"NOV, "&amp;S1</f>
        <v>NOV, FY25</v>
      </c>
      <c r="Y2" s="6" t="str">
        <f>"DEC, "&amp;S1</f>
        <v>DEC, FY25</v>
      </c>
      <c r="Z2" s="17" t="str">
        <f>"Q2, "&amp;S1</f>
        <v>Q2, FY25</v>
      </c>
      <c r="AA2" s="6" t="str">
        <f>"JAN, "&amp;S1</f>
        <v>JAN, FY25</v>
      </c>
      <c r="AB2" s="6" t="str">
        <f>"FEB, "&amp;S1</f>
        <v>FEB, FY25</v>
      </c>
      <c r="AC2" s="6" t="str">
        <f>"MAR, "&amp;S1</f>
        <v>MAR, FY25</v>
      </c>
      <c r="AD2" s="17" t="str">
        <f>"Q3, "&amp;S1</f>
        <v>Q3, FY25</v>
      </c>
      <c r="AE2" s="6" t="str">
        <f>"APR, "&amp;S1</f>
        <v>APR, FY25</v>
      </c>
      <c r="AF2" s="6" t="str">
        <f>"MAY, "&amp;S1</f>
        <v>MAY, FY25</v>
      </c>
      <c r="AG2" s="6" t="str">
        <f>"JUN, "&amp;S1</f>
        <v>JUN, FY25</v>
      </c>
      <c r="AH2" s="17" t="str">
        <f>"Q4, "&amp;S1</f>
        <v>Q4, FY25</v>
      </c>
      <c r="AI2" s="17" t="str">
        <f>"Full Year, "&amp;S1</f>
        <v>Full Year, FY25</v>
      </c>
    </row>
    <row r="3" spans="1:35" ht="15.75" thickBot="1" x14ac:dyDescent="0.3">
      <c r="A3" s="43" t="s">
        <v>263</v>
      </c>
      <c r="B3" s="15">
        <f>COUNTIFS('Hazard Data Dump'!$J:$J,'HAZARD FEED'!$A3,'Hazard Data Dump'!$K:$K,'HAZARD FEED'!B2)</f>
        <v>1</v>
      </c>
      <c r="C3" s="15">
        <f>COUNTIFS('Hazard Data Dump'!$J:$J,'HAZARD FEED'!$A3,'Hazard Data Dump'!$K:$K,'HAZARD FEED'!C2)</f>
        <v>0</v>
      </c>
      <c r="D3" s="15">
        <f>COUNTIFS('Hazard Data Dump'!$J:$J,'HAZARD FEED'!$A3,'Hazard Data Dump'!$K:$K,'HAZARD FEED'!D2)</f>
        <v>0</v>
      </c>
      <c r="E3" s="18">
        <f>SUBTOTAL(9,B3:D3)</f>
        <v>1</v>
      </c>
      <c r="F3" s="15">
        <f>COUNTIFS('Hazard Data Dump'!$J:$J,'HAZARD FEED'!$A3,'Hazard Data Dump'!$K:$K,'HAZARD FEED'!F2)</f>
        <v>0</v>
      </c>
      <c r="G3" s="15">
        <f>COUNTIFS('Hazard Data Dump'!$J:$J,'HAZARD FEED'!$A3,'Hazard Data Dump'!$K:$K,'HAZARD FEED'!G2)</f>
        <v>0</v>
      </c>
      <c r="H3" s="15">
        <f>COUNTIFS('Hazard Data Dump'!$J:$J,'HAZARD FEED'!$A3,'Hazard Data Dump'!$K:$K,'HAZARD FEED'!H2)</f>
        <v>0</v>
      </c>
      <c r="I3" s="18">
        <f>SUBTOTAL(9,F3:H3)</f>
        <v>0</v>
      </c>
      <c r="J3" s="15">
        <f>COUNTIFS('Hazard Data Dump'!$J:$J,'HAZARD FEED'!$A3,'Hazard Data Dump'!$K:$K,'HAZARD FEED'!J2)</f>
        <v>0</v>
      </c>
      <c r="K3" s="15">
        <f>COUNTIFS('Hazard Data Dump'!$J:$J,'HAZARD FEED'!$A3,'Hazard Data Dump'!$K:$K,'HAZARD FEED'!K2)</f>
        <v>3</v>
      </c>
      <c r="L3" s="15">
        <f>COUNTIFS('Hazard Data Dump'!$J:$J,'HAZARD FEED'!$A3,'Hazard Data Dump'!$K:$K,'HAZARD FEED'!L2)</f>
        <v>0</v>
      </c>
      <c r="M3" s="18">
        <f>SUBTOTAL(9,J3:L3)</f>
        <v>3</v>
      </c>
      <c r="N3" s="15">
        <f>COUNTIFS('Hazard Data Dump'!$J:$J,'HAZARD FEED'!$A3,'Hazard Data Dump'!$K:$K,'HAZARD FEED'!N2)</f>
        <v>6</v>
      </c>
      <c r="O3" s="15">
        <f>COUNTIFS('Hazard Data Dump'!$J:$J,'HAZARD FEED'!$A3,'Hazard Data Dump'!$K:$K,'HAZARD FEED'!O2)</f>
        <v>4</v>
      </c>
      <c r="P3" s="15">
        <f>COUNTIFS('Hazard Data Dump'!$J:$J,'HAZARD FEED'!$A3,'Hazard Data Dump'!$K:$K,'HAZARD FEED'!P2)</f>
        <v>0</v>
      </c>
      <c r="Q3" s="18">
        <f>SUBTOTAL(9,N3:P3)</f>
        <v>10</v>
      </c>
      <c r="R3" s="18">
        <f t="shared" ref="R3:R5" si="0">SUBTOTAL(9,B3:Q3)</f>
        <v>14</v>
      </c>
      <c r="S3" s="15">
        <f>COUNTIFS('Hazard Data Dump'!$J:$J,'HAZARD FEED'!$A3,'Hazard Data Dump'!$K:$K,'HAZARD FEED'!S2)</f>
        <v>1</v>
      </c>
      <c r="T3" s="15">
        <f>COUNTIFS('Hazard Data Dump'!$J:$J,'HAZARD FEED'!$A3,'Hazard Data Dump'!$K:$K,'HAZARD FEED'!T2)</f>
        <v>1</v>
      </c>
      <c r="U3" s="15">
        <f>COUNTIFS('Hazard Data Dump'!$J:$J,'HAZARD FEED'!$A3,'Hazard Data Dump'!$K:$K,'HAZARD FEED'!U2)</f>
        <v>2</v>
      </c>
      <c r="V3" s="18">
        <f>SUBTOTAL(9,S3:U3)</f>
        <v>4</v>
      </c>
      <c r="W3" s="15">
        <f>COUNTIFS('Hazard Data Dump'!$J:$J,'HAZARD FEED'!$A3,'Hazard Data Dump'!$K:$K,'HAZARD FEED'!W2)</f>
        <v>0</v>
      </c>
      <c r="X3" s="15">
        <f>COUNTIFS('Hazard Data Dump'!$J:$J,'HAZARD FEED'!$A3,'Hazard Data Dump'!$K:$K,'HAZARD FEED'!X2)</f>
        <v>3</v>
      </c>
      <c r="Y3" s="15">
        <f>COUNTIFS('Hazard Data Dump'!$J:$J,'HAZARD FEED'!$A3,'Hazard Data Dump'!$K:$K,'HAZARD FEED'!Y2)</f>
        <v>0</v>
      </c>
      <c r="Z3" s="18">
        <f>SUBTOTAL(9,W3:Y3)</f>
        <v>3</v>
      </c>
      <c r="AA3" s="15">
        <f>COUNTIFS('Hazard Data Dump'!$J:$J,'HAZARD FEED'!$A3,'Hazard Data Dump'!$K:$K,'HAZARD FEED'!AA2)</f>
        <v>2</v>
      </c>
      <c r="AB3" s="15">
        <f>COUNTIFS('Hazard Data Dump'!$J:$J,'HAZARD FEED'!$A3,'Hazard Data Dump'!$K:$K,'HAZARD FEED'!AB2)</f>
        <v>1</v>
      </c>
      <c r="AC3" s="15">
        <f>COUNTIFS('Hazard Data Dump'!$J:$J,'HAZARD FEED'!$A3,'Hazard Data Dump'!$K:$K,'HAZARD FEED'!AC2)</f>
        <v>2</v>
      </c>
      <c r="AD3" s="18">
        <f>SUBTOTAL(9,AA3:AC3)</f>
        <v>5</v>
      </c>
      <c r="AE3" s="15">
        <f>COUNTIFS('Hazard Data Dump'!$J:$J,'HAZARD FEED'!$A3,'Hazard Data Dump'!$K:$K,'HAZARD FEED'!AE2)</f>
        <v>0</v>
      </c>
      <c r="AF3" s="15">
        <f>COUNTIFS('Hazard Data Dump'!$J:$J,'HAZARD FEED'!$A3,'Hazard Data Dump'!$K:$K,'HAZARD FEED'!AF2)</f>
        <v>0</v>
      </c>
      <c r="AG3" s="15">
        <f>COUNTIFS('Hazard Data Dump'!$J:$J,'HAZARD FEED'!$A3,'Hazard Data Dump'!$K:$K,'HAZARD FEED'!AG2)</f>
        <v>0</v>
      </c>
      <c r="AH3" s="18">
        <f>SUBTOTAL(9,AE3:AG3)</f>
        <v>0</v>
      </c>
      <c r="AI3" s="18">
        <f t="shared" ref="AI3:AI5" si="1">SUBTOTAL(9,S3:AH3)</f>
        <v>12</v>
      </c>
    </row>
    <row r="4" spans="1:35" ht="15.75" customHeight="1" thickBot="1" x14ac:dyDescent="0.3">
      <c r="A4" s="43" t="s">
        <v>264</v>
      </c>
      <c r="B4" s="15">
        <f>COUNTIFS('Hazard Data Dump'!$J:$J,'HAZARD FEED'!$A4,'Hazard Data Dump'!$K:$K,'HAZARD FEED'!B2)</f>
        <v>3</v>
      </c>
      <c r="C4" s="15">
        <f>COUNTIFS('Hazard Data Dump'!$J:$J,'HAZARD FEED'!$A4,'Hazard Data Dump'!$K:$K,'HAZARD FEED'!C2)</f>
        <v>6</v>
      </c>
      <c r="D4" s="15">
        <f>COUNTIFS('Hazard Data Dump'!$J:$J,'HAZARD FEED'!$A4,'Hazard Data Dump'!$K:$K,'HAZARD FEED'!D2)</f>
        <v>1</v>
      </c>
      <c r="E4" s="18">
        <f t="shared" ref="E4:E5" si="2">SUBTOTAL(9,B4:D4)</f>
        <v>10</v>
      </c>
      <c r="F4" s="15">
        <f>COUNTIFS('Hazard Data Dump'!$J:$J,'HAZARD FEED'!$A4,'Hazard Data Dump'!$K:$K,'HAZARD FEED'!F2)</f>
        <v>2</v>
      </c>
      <c r="G4" s="15">
        <f>COUNTIFS('Hazard Data Dump'!$J:$J,'HAZARD FEED'!$A4,'Hazard Data Dump'!$K:$K,'HAZARD FEED'!G2)</f>
        <v>4</v>
      </c>
      <c r="H4" s="15">
        <f>COUNTIFS('Hazard Data Dump'!$J:$J,'HAZARD FEED'!$A4,'Hazard Data Dump'!$K:$K,'HAZARD FEED'!H2)</f>
        <v>2</v>
      </c>
      <c r="I4" s="18">
        <f t="shared" ref="I4:I5" si="3">SUBTOTAL(9,F4:H4)</f>
        <v>8</v>
      </c>
      <c r="J4" s="15">
        <f>COUNTIFS('Hazard Data Dump'!$J:$J,'HAZARD FEED'!$A4,'Hazard Data Dump'!$K:$K,'HAZARD FEED'!J2)</f>
        <v>0</v>
      </c>
      <c r="K4" s="15">
        <f>COUNTIFS('Hazard Data Dump'!$J:$J,'HAZARD FEED'!$A4,'Hazard Data Dump'!$K:$K,'HAZARD FEED'!K2)</f>
        <v>0</v>
      </c>
      <c r="L4" s="15">
        <f>COUNTIFS('Hazard Data Dump'!$J:$J,'HAZARD FEED'!$A4,'Hazard Data Dump'!$K:$K,'HAZARD FEED'!L2)</f>
        <v>0</v>
      </c>
      <c r="M4" s="18">
        <f t="shared" ref="M4:M5" si="4">SUBTOTAL(9,J4:L4)</f>
        <v>0</v>
      </c>
      <c r="N4" s="15">
        <f>COUNTIFS('Hazard Data Dump'!$J:$J,'HAZARD FEED'!$A4,'Hazard Data Dump'!$K:$K,'HAZARD FEED'!N2)</f>
        <v>1</v>
      </c>
      <c r="O4" s="15">
        <f>COUNTIFS('Hazard Data Dump'!$J:$J,'HAZARD FEED'!$A4,'Hazard Data Dump'!$K:$K,'HAZARD FEED'!O2)</f>
        <v>0</v>
      </c>
      <c r="P4" s="15">
        <f>COUNTIFS('Hazard Data Dump'!$J:$J,'HAZARD FEED'!$A4,'Hazard Data Dump'!$K:$K,'HAZARD FEED'!P2)</f>
        <v>0</v>
      </c>
      <c r="Q4" s="18">
        <f t="shared" ref="Q4:Q5" si="5">SUBTOTAL(9,N4:P4)</f>
        <v>1</v>
      </c>
      <c r="R4" s="18">
        <f t="shared" si="0"/>
        <v>19</v>
      </c>
      <c r="S4" s="15">
        <f>COUNTIFS('Hazard Data Dump'!$J:$J,'HAZARD FEED'!$A4,'Hazard Data Dump'!$K:$K,'HAZARD FEED'!S2)</f>
        <v>0</v>
      </c>
      <c r="T4" s="15">
        <f>COUNTIFS('Hazard Data Dump'!$J:$J,'HAZARD FEED'!$A4,'Hazard Data Dump'!$K:$K,'HAZARD FEED'!T2)</f>
        <v>1</v>
      </c>
      <c r="U4" s="15">
        <f>COUNTIFS('Hazard Data Dump'!$J:$J,'HAZARD FEED'!$A4,'Hazard Data Dump'!$K:$K,'HAZARD FEED'!U2)</f>
        <v>1</v>
      </c>
      <c r="V4" s="18">
        <f t="shared" ref="V4:V5" si="6">SUBTOTAL(9,S4:U4)</f>
        <v>2</v>
      </c>
      <c r="W4" s="15">
        <f>COUNTIFS('Hazard Data Dump'!$J:$J,'HAZARD FEED'!$A4,'Hazard Data Dump'!$K:$K,'HAZARD FEED'!W2)</f>
        <v>1</v>
      </c>
      <c r="X4" s="15">
        <f>COUNTIFS('Hazard Data Dump'!$J:$J,'HAZARD FEED'!$A4,'Hazard Data Dump'!$K:$K,'HAZARD FEED'!X2)</f>
        <v>5</v>
      </c>
      <c r="Y4" s="15">
        <f>COUNTIFS('Hazard Data Dump'!$J:$J,'HAZARD FEED'!$A4,'Hazard Data Dump'!$K:$K,'HAZARD FEED'!Y2)</f>
        <v>1</v>
      </c>
      <c r="Z4" s="18">
        <f t="shared" ref="Z4:Z5" si="7">SUBTOTAL(9,W4:Y4)</f>
        <v>7</v>
      </c>
      <c r="AA4" s="15">
        <f>COUNTIFS('Hazard Data Dump'!$J:$J,'HAZARD FEED'!$A4,'Hazard Data Dump'!$K:$K,'HAZARD FEED'!AA2)</f>
        <v>0</v>
      </c>
      <c r="AB4" s="15">
        <f>COUNTIFS('Hazard Data Dump'!$J:$J,'HAZARD FEED'!$A4,'Hazard Data Dump'!$K:$K,'HAZARD FEED'!AB2)</f>
        <v>0</v>
      </c>
      <c r="AC4" s="15">
        <f>COUNTIFS('Hazard Data Dump'!$J:$J,'HAZARD FEED'!$A4,'Hazard Data Dump'!$K:$K,'HAZARD FEED'!AC2)</f>
        <v>0</v>
      </c>
      <c r="AD4" s="18">
        <f t="shared" ref="AD4:AD5" si="8">SUBTOTAL(9,AA4:AC4)</f>
        <v>0</v>
      </c>
      <c r="AE4" s="15">
        <f>COUNTIFS('Hazard Data Dump'!$J:$J,'HAZARD FEED'!$A4,'Hazard Data Dump'!$K:$K,'HAZARD FEED'!AE2)</f>
        <v>0</v>
      </c>
      <c r="AF4" s="15">
        <f>COUNTIFS('Hazard Data Dump'!$J:$J,'HAZARD FEED'!$A4,'Hazard Data Dump'!$K:$K,'HAZARD FEED'!AF2)</f>
        <v>0</v>
      </c>
      <c r="AG4" s="15">
        <f>COUNTIFS('Hazard Data Dump'!$J:$J,'HAZARD FEED'!$A4,'Hazard Data Dump'!$K:$K,'HAZARD FEED'!AG2)</f>
        <v>0</v>
      </c>
      <c r="AH4" s="18">
        <f t="shared" ref="AH4:AH5" si="9">SUBTOTAL(9,AE4:AG4)</f>
        <v>0</v>
      </c>
      <c r="AI4" s="18">
        <f t="shared" si="1"/>
        <v>9</v>
      </c>
    </row>
    <row r="5" spans="1:35" ht="15.75" thickBot="1" x14ac:dyDescent="0.3">
      <c r="A5" s="43" t="s">
        <v>265</v>
      </c>
      <c r="B5" s="16">
        <f>COUNTIFS('Hazard Data Dump'!$J:$J,'HAZARD FEED'!$A5,'Hazard Data Dump'!$K:$K,'HAZARD FEED'!B2)</f>
        <v>0</v>
      </c>
      <c r="C5" s="16">
        <f>COUNTIFS('Hazard Data Dump'!$J:$J,'HAZARD FEED'!$A5,'Hazard Data Dump'!$K:$K,'HAZARD FEED'!C2)</f>
        <v>0</v>
      </c>
      <c r="D5" s="16">
        <f>COUNTIFS('Hazard Data Dump'!$J:$J,'HAZARD FEED'!$A5,'Hazard Data Dump'!$K:$K,'HAZARD FEED'!D2)</f>
        <v>0</v>
      </c>
      <c r="E5" s="19">
        <f t="shared" si="2"/>
        <v>0</v>
      </c>
      <c r="F5" s="16">
        <f>COUNTIFS('Hazard Data Dump'!$J:$J,'HAZARD FEED'!$A5,'Hazard Data Dump'!$K:$K,'HAZARD FEED'!F2)</f>
        <v>0</v>
      </c>
      <c r="G5" s="16">
        <f>COUNTIFS('Hazard Data Dump'!$J:$J,'HAZARD FEED'!$A5,'Hazard Data Dump'!$K:$K,'HAZARD FEED'!G2)</f>
        <v>0</v>
      </c>
      <c r="H5" s="16">
        <f>COUNTIFS('Hazard Data Dump'!$J:$J,'HAZARD FEED'!$A5,'Hazard Data Dump'!$K:$K,'HAZARD FEED'!H2)</f>
        <v>0</v>
      </c>
      <c r="I5" s="19">
        <f t="shared" si="3"/>
        <v>0</v>
      </c>
      <c r="J5" s="16">
        <f>COUNTIFS('Hazard Data Dump'!$J:$J,'HAZARD FEED'!$A5,'Hazard Data Dump'!$K:$K,'HAZARD FEED'!J2)</f>
        <v>0</v>
      </c>
      <c r="K5" s="16">
        <f>COUNTIFS('Hazard Data Dump'!$J:$J,'HAZARD FEED'!$A5,'Hazard Data Dump'!$K:$K,'HAZARD FEED'!K2)</f>
        <v>0</v>
      </c>
      <c r="L5" s="16">
        <f>COUNTIFS('Hazard Data Dump'!$J:$J,'HAZARD FEED'!$A5,'Hazard Data Dump'!$K:$K,'HAZARD FEED'!L2)</f>
        <v>0</v>
      </c>
      <c r="M5" s="19">
        <f t="shared" si="4"/>
        <v>0</v>
      </c>
      <c r="N5" s="16">
        <f>COUNTIFS('Hazard Data Dump'!$J:$J,'HAZARD FEED'!$A5,'Hazard Data Dump'!$K:$K,'HAZARD FEED'!N2)</f>
        <v>0</v>
      </c>
      <c r="O5" s="16">
        <f>COUNTIFS('Hazard Data Dump'!$J:$J,'HAZARD FEED'!$A5,'Hazard Data Dump'!$K:$K,'HAZARD FEED'!O2)</f>
        <v>1</v>
      </c>
      <c r="P5" s="16">
        <f>COUNTIFS('Hazard Data Dump'!$J:$J,'HAZARD FEED'!$A5,'Hazard Data Dump'!$K:$K,'HAZARD FEED'!P2)</f>
        <v>1</v>
      </c>
      <c r="Q5" s="19">
        <f t="shared" si="5"/>
        <v>2</v>
      </c>
      <c r="R5" s="19">
        <f t="shared" si="0"/>
        <v>2</v>
      </c>
      <c r="S5" s="16">
        <f>COUNTIFS('Hazard Data Dump'!$J:$J,'HAZARD FEED'!$A5,'Hazard Data Dump'!$K:$K,'HAZARD FEED'!S2)</f>
        <v>0</v>
      </c>
      <c r="T5" s="16">
        <f>COUNTIFS('Hazard Data Dump'!$J:$J,'HAZARD FEED'!$A5,'Hazard Data Dump'!$K:$K,'HAZARD FEED'!T2)</f>
        <v>0</v>
      </c>
      <c r="U5" s="16">
        <f>COUNTIFS('Hazard Data Dump'!$J:$J,'HAZARD FEED'!$A5,'Hazard Data Dump'!$K:$K,'HAZARD FEED'!U2)</f>
        <v>0</v>
      </c>
      <c r="V5" s="19">
        <f t="shared" si="6"/>
        <v>0</v>
      </c>
      <c r="W5" s="16">
        <f>COUNTIFS('Hazard Data Dump'!$J:$J,'HAZARD FEED'!$A5,'Hazard Data Dump'!$K:$K,'HAZARD FEED'!W2)</f>
        <v>0</v>
      </c>
      <c r="X5" s="16">
        <f>COUNTIFS('Hazard Data Dump'!$J:$J,'HAZARD FEED'!$A5,'Hazard Data Dump'!$K:$K,'HAZARD FEED'!X2)</f>
        <v>0</v>
      </c>
      <c r="Y5" s="16">
        <f>COUNTIFS('Hazard Data Dump'!$J:$J,'HAZARD FEED'!$A5,'Hazard Data Dump'!$K:$K,'HAZARD FEED'!Y2)</f>
        <v>0</v>
      </c>
      <c r="Z5" s="19">
        <f t="shared" si="7"/>
        <v>0</v>
      </c>
      <c r="AA5" s="16">
        <f>COUNTIFS('Hazard Data Dump'!$J:$J,'HAZARD FEED'!$A5,'Hazard Data Dump'!$K:$K,'HAZARD FEED'!AA2)</f>
        <v>0</v>
      </c>
      <c r="AB5" s="16">
        <f>COUNTIFS('Hazard Data Dump'!$J:$J,'HAZARD FEED'!$A5,'Hazard Data Dump'!$K:$K,'HAZARD FEED'!AB2)</f>
        <v>4</v>
      </c>
      <c r="AC5" s="16">
        <f>COUNTIFS('Hazard Data Dump'!$J:$J,'HAZARD FEED'!$A5,'Hazard Data Dump'!$K:$K,'HAZARD FEED'!AC2)</f>
        <v>0</v>
      </c>
      <c r="AD5" s="19">
        <f t="shared" si="8"/>
        <v>4</v>
      </c>
      <c r="AE5" s="16">
        <f>COUNTIFS('Hazard Data Dump'!$J:$J,'HAZARD FEED'!$A5,'Hazard Data Dump'!$K:$K,'HAZARD FEED'!AE2)</f>
        <v>0</v>
      </c>
      <c r="AF5" s="16">
        <f>COUNTIFS('Hazard Data Dump'!$J:$J,'HAZARD FEED'!$A5,'Hazard Data Dump'!$K:$K,'HAZARD FEED'!AF2)</f>
        <v>0</v>
      </c>
      <c r="AG5" s="16">
        <f>COUNTIFS('Hazard Data Dump'!$J:$J,'HAZARD FEED'!$A5,'Hazard Data Dump'!$K:$K,'HAZARD FEED'!AG2)</f>
        <v>0</v>
      </c>
      <c r="AH5" s="19">
        <f t="shared" si="9"/>
        <v>0</v>
      </c>
      <c r="AI5" s="19">
        <f t="shared" si="1"/>
        <v>4</v>
      </c>
    </row>
    <row r="6" spans="1:35" ht="15.75" thickBot="1" x14ac:dyDescent="0.3">
      <c r="A6" s="49" t="s">
        <v>272</v>
      </c>
      <c r="B6" s="37">
        <f t="shared" ref="B6:R6" si="10">SUM(B3:B5)</f>
        <v>4</v>
      </c>
      <c r="C6" s="37">
        <f t="shared" si="10"/>
        <v>6</v>
      </c>
      <c r="D6" s="37">
        <f t="shared" si="10"/>
        <v>1</v>
      </c>
      <c r="E6" s="37">
        <f t="shared" si="10"/>
        <v>11</v>
      </c>
      <c r="F6" s="37">
        <f t="shared" si="10"/>
        <v>2</v>
      </c>
      <c r="G6" s="37">
        <f t="shared" si="10"/>
        <v>4</v>
      </c>
      <c r="H6" s="37">
        <f t="shared" si="10"/>
        <v>2</v>
      </c>
      <c r="I6" s="37">
        <f t="shared" si="10"/>
        <v>8</v>
      </c>
      <c r="J6" s="37">
        <f t="shared" si="10"/>
        <v>0</v>
      </c>
      <c r="K6" s="37">
        <f t="shared" si="10"/>
        <v>3</v>
      </c>
      <c r="L6" s="37">
        <f t="shared" si="10"/>
        <v>0</v>
      </c>
      <c r="M6" s="37">
        <f t="shared" si="10"/>
        <v>3</v>
      </c>
      <c r="N6" s="37">
        <f t="shared" si="10"/>
        <v>7</v>
      </c>
      <c r="O6" s="37">
        <f t="shared" si="10"/>
        <v>5</v>
      </c>
      <c r="P6" s="37">
        <f t="shared" si="10"/>
        <v>1</v>
      </c>
      <c r="Q6" s="37">
        <f t="shared" si="10"/>
        <v>13</v>
      </c>
      <c r="R6" s="37">
        <f t="shared" si="10"/>
        <v>35</v>
      </c>
      <c r="S6" s="37">
        <f>SUM(S3:S5)</f>
        <v>1</v>
      </c>
      <c r="T6" s="37">
        <f t="shared" ref="T6:AI6" si="11">SUM(T3:T5)</f>
        <v>2</v>
      </c>
      <c r="U6" s="37">
        <f t="shared" si="11"/>
        <v>3</v>
      </c>
      <c r="V6" s="37">
        <f t="shared" si="11"/>
        <v>6</v>
      </c>
      <c r="W6" s="37">
        <f t="shared" si="11"/>
        <v>1</v>
      </c>
      <c r="X6" s="37">
        <f t="shared" si="11"/>
        <v>8</v>
      </c>
      <c r="Y6" s="37">
        <f t="shared" si="11"/>
        <v>1</v>
      </c>
      <c r="Z6" s="37">
        <f t="shared" si="11"/>
        <v>10</v>
      </c>
      <c r="AA6" s="37">
        <f t="shared" si="11"/>
        <v>2</v>
      </c>
      <c r="AB6" s="37">
        <f t="shared" si="11"/>
        <v>5</v>
      </c>
      <c r="AC6" s="37">
        <f t="shared" si="11"/>
        <v>2</v>
      </c>
      <c r="AD6" s="37">
        <f t="shared" si="11"/>
        <v>9</v>
      </c>
      <c r="AE6" s="37">
        <f t="shared" si="11"/>
        <v>0</v>
      </c>
      <c r="AF6" s="37">
        <f t="shared" si="11"/>
        <v>0</v>
      </c>
      <c r="AG6" s="37">
        <f t="shared" si="11"/>
        <v>0</v>
      </c>
      <c r="AH6" s="37">
        <f t="shared" si="11"/>
        <v>0</v>
      </c>
      <c r="AI6" s="37">
        <f t="shared" si="11"/>
        <v>25</v>
      </c>
    </row>
    <row r="8" spans="1:35" ht="15.75" thickBot="1" x14ac:dyDescent="0.3">
      <c r="A8" s="10" t="s">
        <v>347</v>
      </c>
      <c r="B8" s="46"/>
    </row>
    <row r="9" spans="1:35" ht="15.75" thickBot="1" x14ac:dyDescent="0.3">
      <c r="A9" s="42" t="s">
        <v>263</v>
      </c>
      <c r="B9" s="45">
        <f>SUBTOTAL(9,$B3:B3)</f>
        <v>1</v>
      </c>
      <c r="C9" s="14">
        <f>SUBTOTAL(9,$B3:C3)</f>
        <v>1</v>
      </c>
      <c r="D9" s="44">
        <f>SUBTOTAL(9,$B3:D3)</f>
        <v>1</v>
      </c>
      <c r="E9" s="44">
        <f>SUBTOTAL(9,$B3:E3)</f>
        <v>1</v>
      </c>
      <c r="F9" s="44">
        <f>SUBTOTAL(9,$B3:F3)</f>
        <v>1</v>
      </c>
      <c r="G9" s="44">
        <f>SUBTOTAL(9,$B3:G3)</f>
        <v>1</v>
      </c>
      <c r="H9" s="44">
        <f>SUBTOTAL(9,$B3:H3)</f>
        <v>1</v>
      </c>
      <c r="I9" s="44">
        <f>SUBTOTAL(9,$B3:I3)</f>
        <v>1</v>
      </c>
      <c r="J9" s="44">
        <f>SUBTOTAL(9,$B3:J3)</f>
        <v>1</v>
      </c>
      <c r="K9" s="44">
        <f>SUBTOTAL(9,$B3:K3)</f>
        <v>4</v>
      </c>
      <c r="L9" s="44">
        <f>SUBTOTAL(9,$B3:L3)</f>
        <v>4</v>
      </c>
      <c r="M9" s="44">
        <f>SUBTOTAL(9,$B3:M3)</f>
        <v>4</v>
      </c>
      <c r="N9" s="44">
        <f>SUBTOTAL(9,$B3:N3)</f>
        <v>10</v>
      </c>
      <c r="O9" s="44">
        <f>SUBTOTAL(9,$B3:O3)</f>
        <v>14</v>
      </c>
      <c r="P9" s="44">
        <f>SUBTOTAL(9,$B3:P3)</f>
        <v>14</v>
      </c>
      <c r="Q9" s="44">
        <f>SUBTOTAL(9,$B3:Q3)</f>
        <v>14</v>
      </c>
      <c r="R9" s="44">
        <f>SUBTOTAL(9,$B3:R3)</f>
        <v>14</v>
      </c>
      <c r="S9" s="44">
        <f>SUBTOTAL(9,$S3:S3)</f>
        <v>1</v>
      </c>
      <c r="T9" s="44">
        <f>SUBTOTAL(9,$S3:T3)</f>
        <v>2</v>
      </c>
      <c r="U9" s="44">
        <f>SUBTOTAL(9,$S3:U3)</f>
        <v>4</v>
      </c>
      <c r="V9" s="44">
        <f>SUBTOTAL(9,$S3:V3)</f>
        <v>4</v>
      </c>
      <c r="W9" s="44">
        <f>SUBTOTAL(9,$S3:W3)</f>
        <v>4</v>
      </c>
      <c r="X9" s="44">
        <f>SUBTOTAL(9,$S3:X3)</f>
        <v>7</v>
      </c>
      <c r="Y9" s="44">
        <f>SUBTOTAL(9,$S3:Y3)</f>
        <v>7</v>
      </c>
      <c r="Z9" s="44">
        <f>SUBTOTAL(9,$S3:Z3)</f>
        <v>7</v>
      </c>
      <c r="AA9" s="44">
        <f>SUBTOTAL(9,$S3:AA3)</f>
        <v>9</v>
      </c>
      <c r="AB9" s="44">
        <f>SUBTOTAL(9,$S3:AB3)</f>
        <v>10</v>
      </c>
      <c r="AC9" s="44">
        <f>SUBTOTAL(9,$S3:AC3)</f>
        <v>12</v>
      </c>
      <c r="AD9" s="44">
        <f>SUBTOTAL(9,$S3:AD3)</f>
        <v>12</v>
      </c>
      <c r="AE9" s="44">
        <f>SUBTOTAL(9,$S3:AE3)</f>
        <v>12</v>
      </c>
      <c r="AF9" s="44">
        <f>SUBTOTAL(9,$S3:AF3)</f>
        <v>12</v>
      </c>
      <c r="AG9" s="44">
        <f>SUBTOTAL(9,$S3:AG3)</f>
        <v>12</v>
      </c>
      <c r="AH9" s="44">
        <f>SUBTOTAL(9,$S3:AH3)</f>
        <v>12</v>
      </c>
      <c r="AI9" s="44">
        <f>SUBTOTAL(9,$S3:AI3)</f>
        <v>12</v>
      </c>
    </row>
    <row r="10" spans="1:35" ht="15.75" thickBot="1" x14ac:dyDescent="0.3">
      <c r="A10" s="42" t="s">
        <v>264</v>
      </c>
      <c r="B10" s="45">
        <f>SUBTOTAL(9,$B4:B4)</f>
        <v>3</v>
      </c>
      <c r="C10" s="15">
        <f>SUBTOTAL(9,$B4:C4)</f>
        <v>9</v>
      </c>
      <c r="D10" s="45">
        <f>SUBTOTAL(9,$B4:D4)</f>
        <v>10</v>
      </c>
      <c r="E10" s="45">
        <f>SUBTOTAL(9,$B4:E4)</f>
        <v>10</v>
      </c>
      <c r="F10" s="45">
        <f>SUBTOTAL(9,$B4:F4)</f>
        <v>12</v>
      </c>
      <c r="G10" s="45">
        <f>SUBTOTAL(9,$B4:G4)</f>
        <v>16</v>
      </c>
      <c r="H10" s="45">
        <f>SUBTOTAL(9,$B4:H4)</f>
        <v>18</v>
      </c>
      <c r="I10" s="45">
        <f>SUBTOTAL(9,$B4:I4)</f>
        <v>18</v>
      </c>
      <c r="J10" s="45">
        <f>SUBTOTAL(9,$B4:J4)</f>
        <v>18</v>
      </c>
      <c r="K10" s="45">
        <f>SUBTOTAL(9,$B4:K4)</f>
        <v>18</v>
      </c>
      <c r="L10" s="45">
        <f>SUBTOTAL(9,$B4:L4)</f>
        <v>18</v>
      </c>
      <c r="M10" s="45">
        <f>SUBTOTAL(9,$B4:M4)</f>
        <v>18</v>
      </c>
      <c r="N10" s="45">
        <f>SUBTOTAL(9,$B4:N4)</f>
        <v>19</v>
      </c>
      <c r="O10" s="45">
        <f>SUBTOTAL(9,$B4:O4)</f>
        <v>19</v>
      </c>
      <c r="P10" s="45">
        <f>SUBTOTAL(9,$B4:P4)</f>
        <v>19</v>
      </c>
      <c r="Q10" s="45">
        <f>SUBTOTAL(9,$B4:Q4)</f>
        <v>19</v>
      </c>
      <c r="R10" s="45">
        <f>SUBTOTAL(9,$B4:R4)</f>
        <v>19</v>
      </c>
      <c r="S10" s="45">
        <f>SUBTOTAL(9,$S4:S4)</f>
        <v>0</v>
      </c>
      <c r="T10" s="45">
        <f>SUBTOTAL(9,$S4:T4)</f>
        <v>1</v>
      </c>
      <c r="U10" s="45">
        <f>SUBTOTAL(9,$S4:U4)</f>
        <v>2</v>
      </c>
      <c r="V10" s="45">
        <f>SUBTOTAL(9,$S4:V4)</f>
        <v>2</v>
      </c>
      <c r="W10" s="45">
        <f>SUBTOTAL(9,$S4:W4)</f>
        <v>3</v>
      </c>
      <c r="X10" s="45">
        <f>SUBTOTAL(9,$S4:X4)</f>
        <v>8</v>
      </c>
      <c r="Y10" s="45">
        <f>SUBTOTAL(9,$S4:Y4)</f>
        <v>9</v>
      </c>
      <c r="Z10" s="45">
        <f>SUBTOTAL(9,$S4:Z4)</f>
        <v>9</v>
      </c>
      <c r="AA10" s="45">
        <f>SUBTOTAL(9,$S4:AA4)</f>
        <v>9</v>
      </c>
      <c r="AB10" s="45">
        <f>SUBTOTAL(9,$S4:AB4)</f>
        <v>9</v>
      </c>
      <c r="AC10" s="45">
        <f>SUBTOTAL(9,$S4:AC4)</f>
        <v>9</v>
      </c>
      <c r="AD10" s="45">
        <f>SUBTOTAL(9,$S4:AD4)</f>
        <v>9</v>
      </c>
      <c r="AE10" s="45">
        <f>SUBTOTAL(9,$S4:AE4)</f>
        <v>9</v>
      </c>
      <c r="AF10" s="45">
        <f>SUBTOTAL(9,$S4:AF4)</f>
        <v>9</v>
      </c>
      <c r="AG10" s="45">
        <f>SUBTOTAL(9,$S4:AG4)</f>
        <v>9</v>
      </c>
      <c r="AH10" s="45">
        <f>SUBTOTAL(9,$S4:AH4)</f>
        <v>9</v>
      </c>
      <c r="AI10" s="45">
        <f>SUBTOTAL(9,$S4:AI4)</f>
        <v>9</v>
      </c>
    </row>
    <row r="11" spans="1:35" ht="15.75" thickBot="1" x14ac:dyDescent="0.3">
      <c r="A11" s="42" t="s">
        <v>265</v>
      </c>
      <c r="B11" s="45">
        <f>SUBTOTAL(9,$B5:B5)</f>
        <v>0</v>
      </c>
      <c r="C11" s="16">
        <f>SUBTOTAL(9,$B5:C5)</f>
        <v>0</v>
      </c>
      <c r="D11" s="48">
        <f>SUBTOTAL(9,$B5:D5)</f>
        <v>0</v>
      </c>
      <c r="E11" s="48">
        <f>SUBTOTAL(9,$B5:E5)</f>
        <v>0</v>
      </c>
      <c r="F11" s="48">
        <f>SUBTOTAL(9,$B5:F5)</f>
        <v>0</v>
      </c>
      <c r="G11" s="48">
        <f>SUBTOTAL(9,$B5:G5)</f>
        <v>0</v>
      </c>
      <c r="H11" s="48">
        <f>SUBTOTAL(9,$B5:H5)</f>
        <v>0</v>
      </c>
      <c r="I11" s="48">
        <f>SUBTOTAL(9,$B5:I5)</f>
        <v>0</v>
      </c>
      <c r="J11" s="48">
        <f>SUBTOTAL(9,$B5:J5)</f>
        <v>0</v>
      </c>
      <c r="K11" s="48">
        <f>SUBTOTAL(9,$B5:K5)</f>
        <v>0</v>
      </c>
      <c r="L11" s="48">
        <f>SUBTOTAL(9,$B5:L5)</f>
        <v>0</v>
      </c>
      <c r="M11" s="48">
        <f>SUBTOTAL(9,$B5:M5)</f>
        <v>0</v>
      </c>
      <c r="N11" s="48">
        <f>SUBTOTAL(9,$B5:N5)</f>
        <v>0</v>
      </c>
      <c r="O11" s="48">
        <f>SUBTOTAL(9,$B5:O5)</f>
        <v>1</v>
      </c>
      <c r="P11" s="48">
        <f>SUBTOTAL(9,$B5:P5)</f>
        <v>2</v>
      </c>
      <c r="Q11" s="48">
        <f>SUBTOTAL(9,$B5:Q5)</f>
        <v>2</v>
      </c>
      <c r="R11" s="48">
        <f>SUBTOTAL(9,$B5:R5)</f>
        <v>2</v>
      </c>
      <c r="S11" s="48">
        <f>SUBTOTAL(9,$S5:S5)</f>
        <v>0</v>
      </c>
      <c r="T11" s="48">
        <f>SUBTOTAL(9,$S5:T5)</f>
        <v>0</v>
      </c>
      <c r="U11" s="48">
        <f>SUBTOTAL(9,$S5:U5)</f>
        <v>0</v>
      </c>
      <c r="V11" s="48">
        <f>SUBTOTAL(9,$S5:V5)</f>
        <v>0</v>
      </c>
      <c r="W11" s="48">
        <f>SUBTOTAL(9,$S5:W5)</f>
        <v>0</v>
      </c>
      <c r="X11" s="48">
        <f>SUBTOTAL(9,$S5:X5)</f>
        <v>0</v>
      </c>
      <c r="Y11" s="48">
        <f>SUBTOTAL(9,$S5:Y5)</f>
        <v>0</v>
      </c>
      <c r="Z11" s="48">
        <f>SUBTOTAL(9,$S5:Z5)</f>
        <v>0</v>
      </c>
      <c r="AA11" s="48">
        <f>SUBTOTAL(9,$S5:AA5)</f>
        <v>0</v>
      </c>
      <c r="AB11" s="48">
        <f>SUBTOTAL(9,$S5:AB5)</f>
        <v>4</v>
      </c>
      <c r="AC11" s="48">
        <f>SUBTOTAL(9,$S5:AC5)</f>
        <v>4</v>
      </c>
      <c r="AD11" s="48">
        <f>SUBTOTAL(9,$S5:AD5)</f>
        <v>4</v>
      </c>
      <c r="AE11" s="48">
        <f>SUBTOTAL(9,$S5:AE5)</f>
        <v>4</v>
      </c>
      <c r="AF11" s="48">
        <f>SUBTOTAL(9,$S5:AF5)</f>
        <v>4</v>
      </c>
      <c r="AG11" s="48">
        <f>SUBTOTAL(9,$S5:AG5)</f>
        <v>4</v>
      </c>
      <c r="AH11" s="48">
        <f>SUBTOTAL(9,$S5:AH5)</f>
        <v>4</v>
      </c>
      <c r="AI11" s="48">
        <f>SUBTOTAL(9,$S5:AI5)</f>
        <v>4</v>
      </c>
    </row>
    <row r="12" spans="1:35" x14ac:dyDescent="0.25">
      <c r="B12" s="47"/>
    </row>
  </sheetData>
  <mergeCells count="2">
    <mergeCell ref="B1:R1"/>
    <mergeCell ref="S1:AI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37201-3512-4E6F-9B8D-1A4B9EC07E52}">
  <sheetPr>
    <tabColor theme="4" tint="0.39997558519241921"/>
  </sheetPr>
  <dimension ref="A1:AI12"/>
  <sheetViews>
    <sheetView topLeftCell="B1" workbookViewId="0">
      <selection activeCell="AG3" sqref="AG3"/>
    </sheetView>
  </sheetViews>
  <sheetFormatPr defaultRowHeight="15" outlineLevelCol="1" x14ac:dyDescent="0.25"/>
  <cols>
    <col min="1" max="1" width="25.140625" bestFit="1" customWidth="1"/>
    <col min="2" max="4" width="9.140625" customWidth="1" outlineLevel="1"/>
    <col min="5" max="5" width="9.140625" hidden="1" customWidth="1" outlineLevel="1"/>
    <col min="6" max="8" width="9.140625" customWidth="1" outlineLevel="1"/>
    <col min="9" max="9" width="9.140625" hidden="1" customWidth="1" outlineLevel="1"/>
    <col min="10" max="12" width="9.140625" customWidth="1" outlineLevel="1"/>
    <col min="13" max="13" width="9.140625" hidden="1" customWidth="1" outlineLevel="1"/>
    <col min="14" max="16" width="9.140625" customWidth="1" outlineLevel="1"/>
    <col min="17" max="17" width="9.140625" hidden="1" customWidth="1" outlineLevel="1"/>
    <col min="18" max="18" width="13" hidden="1" customWidth="1"/>
    <col min="22" max="22" width="0" hidden="1" customWidth="1"/>
    <col min="26" max="26" width="0" hidden="1" customWidth="1"/>
    <col min="30" max="30" width="0" hidden="1" customWidth="1"/>
    <col min="34" max="34" width="0" hidden="1" customWidth="1"/>
    <col min="35" max="35" width="15.85546875" hidden="1" customWidth="1"/>
  </cols>
  <sheetData>
    <row r="1" spans="1:35" ht="19.5" customHeight="1" thickBot="1" x14ac:dyDescent="0.3">
      <c r="A1" s="9"/>
      <c r="B1" s="130" t="s">
        <v>251</v>
      </c>
      <c r="C1" s="131"/>
      <c r="D1" s="131"/>
      <c r="E1" s="131"/>
      <c r="F1" s="131"/>
      <c r="G1" s="131"/>
      <c r="H1" s="131"/>
      <c r="I1" s="131"/>
      <c r="J1" s="131"/>
      <c r="K1" s="131"/>
      <c r="L1" s="131"/>
      <c r="M1" s="131"/>
      <c r="N1" s="131"/>
      <c r="O1" s="131"/>
      <c r="P1" s="131"/>
      <c r="Q1" s="131"/>
      <c r="R1" s="132"/>
      <c r="S1" s="133" t="s">
        <v>252</v>
      </c>
      <c r="T1" s="134"/>
      <c r="U1" s="134"/>
      <c r="V1" s="134"/>
      <c r="W1" s="134"/>
      <c r="X1" s="134"/>
      <c r="Y1" s="134"/>
      <c r="Z1" s="134"/>
      <c r="AA1" s="134"/>
      <c r="AB1" s="134"/>
      <c r="AC1" s="134"/>
      <c r="AD1" s="134"/>
      <c r="AE1" s="134"/>
      <c r="AF1" s="134"/>
      <c r="AG1" s="134"/>
      <c r="AH1" s="134"/>
      <c r="AI1" s="134"/>
    </row>
    <row r="2" spans="1:35" ht="15.75" thickBot="1" x14ac:dyDescent="0.3">
      <c r="A2" s="10" t="s">
        <v>346</v>
      </c>
      <c r="B2" s="8" t="str">
        <f>"JUL, "&amp;B1</f>
        <v>JUL, FY24</v>
      </c>
      <c r="C2" s="5" t="str">
        <f>"AUG, "&amp;B1</f>
        <v>AUG, FY24</v>
      </c>
      <c r="D2" s="5" t="str">
        <f>"SEP, "&amp;B1</f>
        <v>SEP, FY24</v>
      </c>
      <c r="E2" s="17" t="str">
        <f>"Q1, "&amp;B1</f>
        <v>Q1, FY24</v>
      </c>
      <c r="F2" s="5" t="str">
        <f>"OCT, "&amp;B1</f>
        <v>OCT, FY24</v>
      </c>
      <c r="G2" s="5" t="str">
        <f>"NOV, "&amp;B1</f>
        <v>NOV, FY24</v>
      </c>
      <c r="H2" s="5" t="str">
        <f>"DEC, "&amp;B1</f>
        <v>DEC, FY24</v>
      </c>
      <c r="I2" s="17" t="str">
        <f>"Q2, "&amp;B1</f>
        <v>Q2, FY24</v>
      </c>
      <c r="J2" s="5" t="str">
        <f>"JAN, "&amp;B1</f>
        <v>JAN, FY24</v>
      </c>
      <c r="K2" s="5" t="str">
        <f>"FEB, "&amp;B1</f>
        <v>FEB, FY24</v>
      </c>
      <c r="L2" s="5" t="str">
        <f>"MAR, "&amp;B1</f>
        <v>MAR, FY24</v>
      </c>
      <c r="M2" s="17" t="str">
        <f>"Q3, "&amp;B1</f>
        <v>Q3, FY24</v>
      </c>
      <c r="N2" s="5" t="str">
        <f>"APR, "&amp;B1</f>
        <v>APR, FY24</v>
      </c>
      <c r="O2" s="5" t="str">
        <f>"MAY, "&amp;B1</f>
        <v>MAY, FY24</v>
      </c>
      <c r="P2" s="5" t="str">
        <f>"JUN, "&amp;B1</f>
        <v>JUN, FY24</v>
      </c>
      <c r="Q2" s="17" t="str">
        <f>"Q4, "&amp;B1</f>
        <v>Q4, FY24</v>
      </c>
      <c r="R2" s="17" t="str">
        <f>"Full Year, "&amp;B1</f>
        <v>Full Year, FY24</v>
      </c>
      <c r="S2" s="6" t="str">
        <f>"JUL, "&amp;S1</f>
        <v>JUL, FY25</v>
      </c>
      <c r="T2" s="6" t="str">
        <f>"AUG, "&amp;S1</f>
        <v>AUG, FY25</v>
      </c>
      <c r="U2" s="6" t="str">
        <f>"SEP, "&amp;S1</f>
        <v>SEP, FY25</v>
      </c>
      <c r="V2" s="17" t="str">
        <f>"Q1, "&amp;S1</f>
        <v>Q1, FY25</v>
      </c>
      <c r="W2" s="6" t="str">
        <f>"OCT, "&amp;S1</f>
        <v>OCT, FY25</v>
      </c>
      <c r="X2" s="6" t="str">
        <f>"NOV, "&amp;S1</f>
        <v>NOV, FY25</v>
      </c>
      <c r="Y2" s="6" t="str">
        <f>"DEC, "&amp;S1</f>
        <v>DEC, FY25</v>
      </c>
      <c r="Z2" s="17" t="str">
        <f>"Q2, "&amp;S1</f>
        <v>Q2, FY25</v>
      </c>
      <c r="AA2" s="6" t="str">
        <f>"JAN, "&amp;S1</f>
        <v>JAN, FY25</v>
      </c>
      <c r="AB2" s="6" t="str">
        <f>"FEB, "&amp;S1</f>
        <v>FEB, FY25</v>
      </c>
      <c r="AC2" s="6" t="str">
        <f>"MAR, "&amp;S1</f>
        <v>MAR, FY25</v>
      </c>
      <c r="AD2" s="17" t="str">
        <f>"Q3, "&amp;S1</f>
        <v>Q3, FY25</v>
      </c>
      <c r="AE2" s="6" t="str">
        <f>"APR, "&amp;S1</f>
        <v>APR, FY25</v>
      </c>
      <c r="AF2" s="6" t="str">
        <f>"MAY, "&amp;S1</f>
        <v>MAY, FY25</v>
      </c>
      <c r="AG2" s="6" t="str">
        <f>"JUN, "&amp;S1</f>
        <v>JUN, FY25</v>
      </c>
      <c r="AH2" s="17" t="str">
        <f>"Q4, "&amp;S1</f>
        <v>Q4, FY25</v>
      </c>
      <c r="AI2" s="17" t="str">
        <f>"Full Year, "&amp;S1</f>
        <v>Full Year, FY25</v>
      </c>
    </row>
    <row r="3" spans="1:35" ht="15.75" thickBot="1" x14ac:dyDescent="0.3">
      <c r="A3" s="43" t="s">
        <v>263</v>
      </c>
      <c r="B3" s="15">
        <f>COUNTIFS('Hazard Data Dump'!$J:$J,'HAZARD FEED - Chart'!$A3,'Hazard Data Dump'!$K:$K,'HAZARD FEED - Chart'!B2)</f>
        <v>1</v>
      </c>
      <c r="C3" s="15">
        <f>COUNTIFS('Hazard Data Dump'!$J:$J,'HAZARD FEED - Chart'!$A3,'Hazard Data Dump'!$K:$K,'HAZARD FEED - Chart'!C2)</f>
        <v>0</v>
      </c>
      <c r="D3" s="15">
        <f>COUNTIFS('Hazard Data Dump'!$J:$J,'HAZARD FEED - Chart'!$A3,'Hazard Data Dump'!$K:$K,'HAZARD FEED - Chart'!D2)</f>
        <v>0</v>
      </c>
      <c r="E3" s="18">
        <f>SUBTOTAL(9,B3:D3)</f>
        <v>1</v>
      </c>
      <c r="F3" s="15">
        <f>COUNTIFS('Hazard Data Dump'!$J:$J,'HAZARD FEED - Chart'!$A3,'Hazard Data Dump'!$K:$K,'HAZARD FEED - Chart'!F2)</f>
        <v>0</v>
      </c>
      <c r="G3" s="15">
        <f>COUNTIFS('Hazard Data Dump'!$J:$J,'HAZARD FEED - Chart'!$A3,'Hazard Data Dump'!$K:$K,'HAZARD FEED - Chart'!G2)</f>
        <v>0</v>
      </c>
      <c r="H3" s="15">
        <f>COUNTIFS('Hazard Data Dump'!$J:$J,'HAZARD FEED - Chart'!$A3,'Hazard Data Dump'!$K:$K,'HAZARD FEED - Chart'!H2)</f>
        <v>0</v>
      </c>
      <c r="I3" s="18">
        <f>SUBTOTAL(9,F3:H3)</f>
        <v>0</v>
      </c>
      <c r="J3" s="15">
        <f>COUNTIFS('Hazard Data Dump'!$J:$J,'HAZARD FEED - Chart'!$A3,'Hazard Data Dump'!$K:$K,'HAZARD FEED - Chart'!J2)</f>
        <v>0</v>
      </c>
      <c r="K3" s="15">
        <f>COUNTIFS('Hazard Data Dump'!$J:$J,'HAZARD FEED - Chart'!$A3,'Hazard Data Dump'!$K:$K,'HAZARD FEED - Chart'!K2)</f>
        <v>3</v>
      </c>
      <c r="L3" s="15">
        <f>COUNTIFS('Hazard Data Dump'!$J:$J,'HAZARD FEED - Chart'!$A3,'Hazard Data Dump'!$K:$K,'HAZARD FEED - Chart'!L2)</f>
        <v>0</v>
      </c>
      <c r="M3" s="18">
        <f>SUBTOTAL(9,J3:L3)</f>
        <v>3</v>
      </c>
      <c r="N3" s="15">
        <f>COUNTIFS('Hazard Data Dump'!$J:$J,'HAZARD FEED - Chart'!$A3,'Hazard Data Dump'!$K:$K,'HAZARD FEED - Chart'!N2)</f>
        <v>6</v>
      </c>
      <c r="O3" s="15">
        <f>COUNTIFS('Hazard Data Dump'!$J:$J,'HAZARD FEED - Chart'!$A3,'Hazard Data Dump'!$K:$K,'HAZARD FEED - Chart'!O2)</f>
        <v>4</v>
      </c>
      <c r="P3" s="15">
        <f>COUNTIFS('Hazard Data Dump'!$J:$J,'HAZARD FEED - Chart'!$A3,'Hazard Data Dump'!$K:$K,'HAZARD FEED - Chart'!P2)</f>
        <v>0</v>
      </c>
      <c r="Q3" s="18">
        <f>SUBTOTAL(9,N3:P3)</f>
        <v>10</v>
      </c>
      <c r="R3" s="18">
        <f t="shared" ref="R3:R5" si="0">SUBTOTAL(9,B3:Q3)</f>
        <v>14</v>
      </c>
      <c r="S3" s="15">
        <f>COUNTIFS('Hazard Data Dump'!$J:$J,'HAZARD FEED - Chart'!$A3,'Hazard Data Dump'!$K:$K,'HAZARD FEED - Chart'!S2)</f>
        <v>1</v>
      </c>
      <c r="T3" s="15">
        <f>COUNTIFS('Hazard Data Dump'!$J:$J,'HAZARD FEED - Chart'!$A3,'Hazard Data Dump'!$K:$K,'HAZARD FEED - Chart'!T2)</f>
        <v>1</v>
      </c>
      <c r="U3" s="15">
        <f>COUNTIFS('Hazard Data Dump'!$J:$J,'HAZARD FEED - Chart'!$A3,'Hazard Data Dump'!$K:$K,'HAZARD FEED - Chart'!U2)</f>
        <v>2</v>
      </c>
      <c r="V3" s="18">
        <f>SUBTOTAL(9,S3:U3)</f>
        <v>4</v>
      </c>
      <c r="W3" s="15">
        <f>COUNTIFS('Hazard Data Dump'!$J:$J,'HAZARD FEED - Chart'!$A3,'Hazard Data Dump'!$K:$K,'HAZARD FEED - Chart'!W2)</f>
        <v>0</v>
      </c>
      <c r="X3" s="15">
        <f>COUNTIFS('Hazard Data Dump'!$J:$J,'HAZARD FEED - Chart'!$A3,'Hazard Data Dump'!$K:$K,'HAZARD FEED - Chart'!X2)</f>
        <v>3</v>
      </c>
      <c r="Y3" s="15">
        <f>COUNTIFS('Hazard Data Dump'!$J:$J,'HAZARD FEED - Chart'!$A3,'Hazard Data Dump'!$K:$K,'HAZARD FEED - Chart'!Y2)</f>
        <v>0</v>
      </c>
      <c r="Z3" s="18">
        <f>SUBTOTAL(9,W3:Y3)</f>
        <v>3</v>
      </c>
      <c r="AA3" s="15">
        <f>COUNTIFS('Hazard Data Dump'!$J:$J,'HAZARD FEED - Chart'!$A3,'Hazard Data Dump'!$K:$K,'HAZARD FEED - Chart'!AA2)</f>
        <v>2</v>
      </c>
      <c r="AB3" s="15">
        <f>COUNTIFS('Hazard Data Dump'!$J:$J,'HAZARD FEED - Chart'!$A3,'Hazard Data Dump'!$K:$K,'HAZARD FEED - Chart'!AB2)</f>
        <v>1</v>
      </c>
      <c r="AC3" s="15">
        <f>COUNTIFS('Hazard Data Dump'!$J:$J,'HAZARD FEED - Chart'!$A3,'Hazard Data Dump'!$K:$K,'HAZARD FEED - Chart'!AC2)</f>
        <v>2</v>
      </c>
      <c r="AD3" s="18">
        <f>SUBTOTAL(9,AA3:AC3)</f>
        <v>5</v>
      </c>
      <c r="AE3" s="15">
        <f>COUNTIFS('Hazard Data Dump'!$J:$J,'HAZARD FEED - Chart'!$A3,'Hazard Data Dump'!$K:$K,'HAZARD FEED - Chart'!AE2)</f>
        <v>0</v>
      </c>
      <c r="AF3" s="15">
        <f>COUNTIFS('Hazard Data Dump'!$J:$J,'HAZARD FEED - Chart'!$A3,'Hazard Data Dump'!$K:$K,'HAZARD FEED - Chart'!AF2)</f>
        <v>0</v>
      </c>
      <c r="AG3" s="15">
        <f>COUNTIFS('Hazard Data Dump'!$J:$J,'HAZARD FEED - Chart'!$A3,'Hazard Data Dump'!$K:$K,'HAZARD FEED - Chart'!AG2)</f>
        <v>0</v>
      </c>
      <c r="AH3" s="18">
        <f>SUBTOTAL(9,AE3:AG3)</f>
        <v>0</v>
      </c>
      <c r="AI3" s="18">
        <f t="shared" ref="AI3:AI5" si="1">SUBTOTAL(9,S3:AH3)</f>
        <v>12</v>
      </c>
    </row>
    <row r="4" spans="1:35" ht="15.75" customHeight="1" thickBot="1" x14ac:dyDescent="0.3">
      <c r="A4" s="43" t="s">
        <v>264</v>
      </c>
      <c r="B4" s="15">
        <f>COUNTIFS('Hazard Data Dump'!$J:$J,'HAZARD FEED - Chart'!$A4,'Hazard Data Dump'!$K:$K,'HAZARD FEED - Chart'!B2)</f>
        <v>3</v>
      </c>
      <c r="C4" s="15">
        <f>COUNTIFS('Hazard Data Dump'!$J:$J,'HAZARD FEED - Chart'!$A4,'Hazard Data Dump'!$K:$K,'HAZARD FEED - Chart'!C2)</f>
        <v>6</v>
      </c>
      <c r="D4" s="15">
        <f>COUNTIFS('Hazard Data Dump'!$J:$J,'HAZARD FEED - Chart'!$A4,'Hazard Data Dump'!$K:$K,'HAZARD FEED - Chart'!D2)</f>
        <v>1</v>
      </c>
      <c r="E4" s="18">
        <f t="shared" ref="E4:E5" si="2">SUBTOTAL(9,B4:D4)</f>
        <v>10</v>
      </c>
      <c r="F4" s="15">
        <f>COUNTIFS('Hazard Data Dump'!$J:$J,'HAZARD FEED - Chart'!$A4,'Hazard Data Dump'!$K:$K,'HAZARD FEED - Chart'!F2)</f>
        <v>2</v>
      </c>
      <c r="G4" s="15">
        <f>COUNTIFS('Hazard Data Dump'!$J:$J,'HAZARD FEED - Chart'!$A4,'Hazard Data Dump'!$K:$K,'HAZARD FEED - Chart'!G2)</f>
        <v>4</v>
      </c>
      <c r="H4" s="15">
        <f>COUNTIFS('Hazard Data Dump'!$J:$J,'HAZARD FEED - Chart'!$A4,'Hazard Data Dump'!$K:$K,'HAZARD FEED - Chart'!H2)</f>
        <v>2</v>
      </c>
      <c r="I4" s="18">
        <f t="shared" ref="I4:I5" si="3">SUBTOTAL(9,F4:H4)</f>
        <v>8</v>
      </c>
      <c r="J4" s="15">
        <f>COUNTIFS('Hazard Data Dump'!$J:$J,'HAZARD FEED - Chart'!$A4,'Hazard Data Dump'!$K:$K,'HAZARD FEED - Chart'!J2)</f>
        <v>0</v>
      </c>
      <c r="K4" s="15">
        <f>COUNTIFS('Hazard Data Dump'!$J:$J,'HAZARD FEED - Chart'!$A4,'Hazard Data Dump'!$K:$K,'HAZARD FEED - Chart'!K2)</f>
        <v>0</v>
      </c>
      <c r="L4" s="15">
        <f>COUNTIFS('Hazard Data Dump'!$J:$J,'HAZARD FEED - Chart'!$A4,'Hazard Data Dump'!$K:$K,'HAZARD FEED - Chart'!L2)</f>
        <v>0</v>
      </c>
      <c r="M4" s="18">
        <f t="shared" ref="M4:M5" si="4">SUBTOTAL(9,J4:L4)</f>
        <v>0</v>
      </c>
      <c r="N4" s="15">
        <f>COUNTIFS('Hazard Data Dump'!$J:$J,'HAZARD FEED - Chart'!$A4,'Hazard Data Dump'!$K:$K,'HAZARD FEED - Chart'!N2)</f>
        <v>1</v>
      </c>
      <c r="O4" s="15">
        <f>COUNTIFS('Hazard Data Dump'!$J:$J,'HAZARD FEED - Chart'!$A4,'Hazard Data Dump'!$K:$K,'HAZARD FEED - Chart'!O2)</f>
        <v>0</v>
      </c>
      <c r="P4" s="15">
        <f>COUNTIFS('Hazard Data Dump'!$J:$J,'HAZARD FEED - Chart'!$A4,'Hazard Data Dump'!$K:$K,'HAZARD FEED - Chart'!P2)</f>
        <v>0</v>
      </c>
      <c r="Q4" s="18">
        <f t="shared" ref="Q4:Q5" si="5">SUBTOTAL(9,N4:P4)</f>
        <v>1</v>
      </c>
      <c r="R4" s="18">
        <f t="shared" si="0"/>
        <v>19</v>
      </c>
      <c r="S4" s="15">
        <f>COUNTIFS('Hazard Data Dump'!$J:$J,'HAZARD FEED - Chart'!$A4,'Hazard Data Dump'!$K:$K,'HAZARD FEED - Chart'!S2)</f>
        <v>0</v>
      </c>
      <c r="T4" s="15">
        <f>COUNTIFS('Hazard Data Dump'!$J:$J,'HAZARD FEED - Chart'!$A4,'Hazard Data Dump'!$K:$K,'HAZARD FEED - Chart'!T2)</f>
        <v>1</v>
      </c>
      <c r="U4" s="15">
        <f>COUNTIFS('Hazard Data Dump'!$J:$J,'HAZARD FEED - Chart'!$A4,'Hazard Data Dump'!$K:$K,'HAZARD FEED - Chart'!U2)</f>
        <v>1</v>
      </c>
      <c r="V4" s="18">
        <f t="shared" ref="V4:V5" si="6">SUBTOTAL(9,S4:U4)</f>
        <v>2</v>
      </c>
      <c r="W4" s="15">
        <f>COUNTIFS('Hazard Data Dump'!$J:$J,'HAZARD FEED - Chart'!$A4,'Hazard Data Dump'!$K:$K,'HAZARD FEED - Chart'!W2)</f>
        <v>1</v>
      </c>
      <c r="X4" s="15">
        <f>COUNTIFS('Hazard Data Dump'!$J:$J,'HAZARD FEED - Chart'!$A4,'Hazard Data Dump'!$K:$K,'HAZARD FEED - Chart'!X2)</f>
        <v>5</v>
      </c>
      <c r="Y4" s="15">
        <f>COUNTIFS('Hazard Data Dump'!$J:$J,'HAZARD FEED - Chart'!$A4,'Hazard Data Dump'!$K:$K,'HAZARD FEED - Chart'!Y2)</f>
        <v>1</v>
      </c>
      <c r="Z4" s="18">
        <f t="shared" ref="Z4:Z5" si="7">SUBTOTAL(9,W4:Y4)</f>
        <v>7</v>
      </c>
      <c r="AA4" s="15">
        <f>COUNTIFS('Hazard Data Dump'!$J:$J,'HAZARD FEED - Chart'!$A4,'Hazard Data Dump'!$K:$K,'HAZARD FEED - Chart'!AA2)</f>
        <v>0</v>
      </c>
      <c r="AB4" s="15">
        <f>COUNTIFS('Hazard Data Dump'!$J:$J,'HAZARD FEED - Chart'!$A4,'Hazard Data Dump'!$K:$K,'HAZARD FEED - Chart'!AB2)</f>
        <v>0</v>
      </c>
      <c r="AC4" s="15">
        <f>COUNTIFS('Hazard Data Dump'!$J:$J,'HAZARD FEED - Chart'!$A4,'Hazard Data Dump'!$K:$K,'HAZARD FEED - Chart'!AC2)</f>
        <v>0</v>
      </c>
      <c r="AD4" s="18">
        <f t="shared" ref="AD4:AD5" si="8">SUBTOTAL(9,AA4:AC4)</f>
        <v>0</v>
      </c>
      <c r="AE4" s="15">
        <f>COUNTIFS('Hazard Data Dump'!$J:$J,'HAZARD FEED - Chart'!$A4,'Hazard Data Dump'!$K:$K,'HAZARD FEED - Chart'!AE2)</f>
        <v>0</v>
      </c>
      <c r="AF4" s="15">
        <f>COUNTIFS('Hazard Data Dump'!$J:$J,'HAZARD FEED - Chart'!$A4,'Hazard Data Dump'!$K:$K,'HAZARD FEED - Chart'!AF2)</f>
        <v>0</v>
      </c>
      <c r="AG4" s="15">
        <f>COUNTIFS('Hazard Data Dump'!$J:$J,'HAZARD FEED - Chart'!$A4,'Hazard Data Dump'!$K:$K,'HAZARD FEED - Chart'!AG2)</f>
        <v>0</v>
      </c>
      <c r="AH4" s="18">
        <f t="shared" ref="AH4:AH5" si="9">SUBTOTAL(9,AE4:AG4)</f>
        <v>0</v>
      </c>
      <c r="AI4" s="18">
        <f t="shared" si="1"/>
        <v>9</v>
      </c>
    </row>
    <row r="5" spans="1:35" ht="15.75" thickBot="1" x14ac:dyDescent="0.3">
      <c r="A5" s="43" t="s">
        <v>265</v>
      </c>
      <c r="B5" s="16">
        <f>COUNTIFS('Hazard Data Dump'!$J:$J,'HAZARD FEED - Chart'!$A5,'Hazard Data Dump'!$K:$K,'HAZARD FEED - Chart'!B2)</f>
        <v>0</v>
      </c>
      <c r="C5" s="16">
        <f>COUNTIFS('Hazard Data Dump'!$J:$J,'HAZARD FEED - Chart'!$A5,'Hazard Data Dump'!$K:$K,'HAZARD FEED - Chart'!C2)</f>
        <v>0</v>
      </c>
      <c r="D5" s="16">
        <f>COUNTIFS('Hazard Data Dump'!$J:$J,'HAZARD FEED - Chart'!$A5,'Hazard Data Dump'!$K:$K,'HAZARD FEED - Chart'!D2)</f>
        <v>0</v>
      </c>
      <c r="E5" s="19">
        <f t="shared" si="2"/>
        <v>0</v>
      </c>
      <c r="F5" s="16">
        <f>COUNTIFS('Hazard Data Dump'!$J:$J,'HAZARD FEED - Chart'!$A5,'Hazard Data Dump'!$K:$K,'HAZARD FEED - Chart'!F2)</f>
        <v>0</v>
      </c>
      <c r="G5" s="16">
        <f>COUNTIFS('Hazard Data Dump'!$J:$J,'HAZARD FEED - Chart'!$A5,'Hazard Data Dump'!$K:$K,'HAZARD FEED - Chart'!G2)</f>
        <v>0</v>
      </c>
      <c r="H5" s="16">
        <f>COUNTIFS('Hazard Data Dump'!$J:$J,'HAZARD FEED - Chart'!$A5,'Hazard Data Dump'!$K:$K,'HAZARD FEED - Chart'!H2)</f>
        <v>0</v>
      </c>
      <c r="I5" s="19">
        <f t="shared" si="3"/>
        <v>0</v>
      </c>
      <c r="J5" s="16">
        <f>COUNTIFS('Hazard Data Dump'!$J:$J,'HAZARD FEED - Chart'!$A5,'Hazard Data Dump'!$K:$K,'HAZARD FEED - Chart'!J2)</f>
        <v>0</v>
      </c>
      <c r="K5" s="16">
        <f>COUNTIFS('Hazard Data Dump'!$J:$J,'HAZARD FEED - Chart'!$A5,'Hazard Data Dump'!$K:$K,'HAZARD FEED - Chart'!K2)</f>
        <v>0</v>
      </c>
      <c r="L5" s="16">
        <f>COUNTIFS('Hazard Data Dump'!$J:$J,'HAZARD FEED - Chart'!$A5,'Hazard Data Dump'!$K:$K,'HAZARD FEED - Chart'!L2)</f>
        <v>0</v>
      </c>
      <c r="M5" s="19">
        <f t="shared" si="4"/>
        <v>0</v>
      </c>
      <c r="N5" s="16">
        <f>COUNTIFS('Hazard Data Dump'!$J:$J,'HAZARD FEED - Chart'!$A5,'Hazard Data Dump'!$K:$K,'HAZARD FEED - Chart'!N2)</f>
        <v>0</v>
      </c>
      <c r="O5" s="16">
        <f>COUNTIFS('Hazard Data Dump'!$J:$J,'HAZARD FEED - Chart'!$A5,'Hazard Data Dump'!$K:$K,'HAZARD FEED - Chart'!O2)</f>
        <v>1</v>
      </c>
      <c r="P5" s="16">
        <f>COUNTIFS('Hazard Data Dump'!$J:$J,'HAZARD FEED - Chart'!$A5,'Hazard Data Dump'!$K:$K,'HAZARD FEED - Chart'!P2)</f>
        <v>1</v>
      </c>
      <c r="Q5" s="19">
        <f t="shared" si="5"/>
        <v>2</v>
      </c>
      <c r="R5" s="19">
        <f t="shared" si="0"/>
        <v>2</v>
      </c>
      <c r="S5" s="16">
        <f>COUNTIFS('Hazard Data Dump'!$J:$J,'HAZARD FEED - Chart'!$A5,'Hazard Data Dump'!$K:$K,'HAZARD FEED - Chart'!S2)</f>
        <v>0</v>
      </c>
      <c r="T5" s="16">
        <f>COUNTIFS('Hazard Data Dump'!$J:$J,'HAZARD FEED - Chart'!$A5,'Hazard Data Dump'!$K:$K,'HAZARD FEED - Chart'!T2)</f>
        <v>0</v>
      </c>
      <c r="U5" s="16">
        <f>COUNTIFS('Hazard Data Dump'!$J:$J,'HAZARD FEED - Chart'!$A5,'Hazard Data Dump'!$K:$K,'HAZARD FEED - Chart'!U2)</f>
        <v>0</v>
      </c>
      <c r="V5" s="19">
        <f t="shared" si="6"/>
        <v>0</v>
      </c>
      <c r="W5" s="16">
        <f>COUNTIFS('Hazard Data Dump'!$J:$J,'HAZARD FEED - Chart'!$A5,'Hazard Data Dump'!$K:$K,'HAZARD FEED - Chart'!W2)</f>
        <v>0</v>
      </c>
      <c r="X5" s="16">
        <f>COUNTIFS('Hazard Data Dump'!$J:$J,'HAZARD FEED - Chart'!$A5,'Hazard Data Dump'!$K:$K,'HAZARD FEED - Chart'!X2)</f>
        <v>0</v>
      </c>
      <c r="Y5" s="16">
        <f>COUNTIFS('Hazard Data Dump'!$J:$J,'HAZARD FEED - Chart'!$A5,'Hazard Data Dump'!$K:$K,'HAZARD FEED - Chart'!Y2)</f>
        <v>0</v>
      </c>
      <c r="Z5" s="19">
        <f t="shared" si="7"/>
        <v>0</v>
      </c>
      <c r="AA5" s="16">
        <f>COUNTIFS('Hazard Data Dump'!$J:$J,'HAZARD FEED - Chart'!$A5,'Hazard Data Dump'!$K:$K,'HAZARD FEED - Chart'!AA2)</f>
        <v>0</v>
      </c>
      <c r="AB5" s="16">
        <f>COUNTIFS('Hazard Data Dump'!$J:$J,'HAZARD FEED - Chart'!$A5,'Hazard Data Dump'!$K:$K,'HAZARD FEED - Chart'!AB2)</f>
        <v>4</v>
      </c>
      <c r="AC5" s="16">
        <f>COUNTIFS('Hazard Data Dump'!$J:$J,'HAZARD FEED - Chart'!$A5,'Hazard Data Dump'!$K:$K,'HAZARD FEED - Chart'!AC2)</f>
        <v>0</v>
      </c>
      <c r="AD5" s="19">
        <f t="shared" si="8"/>
        <v>4</v>
      </c>
      <c r="AE5" s="16">
        <f>COUNTIFS('Hazard Data Dump'!$J:$J,'HAZARD FEED - Chart'!$A5,'Hazard Data Dump'!$K:$K,'HAZARD FEED - Chart'!AE2)</f>
        <v>0</v>
      </c>
      <c r="AF5" s="16">
        <f>COUNTIFS('Hazard Data Dump'!$J:$J,'HAZARD FEED - Chart'!$A5,'Hazard Data Dump'!$K:$K,'HAZARD FEED - Chart'!AF2)</f>
        <v>0</v>
      </c>
      <c r="AG5" s="16">
        <f>COUNTIFS('Hazard Data Dump'!$J:$J,'HAZARD FEED - Chart'!$A5,'Hazard Data Dump'!$K:$K,'HAZARD FEED - Chart'!AG2)</f>
        <v>0</v>
      </c>
      <c r="AH5" s="19">
        <f t="shared" si="9"/>
        <v>0</v>
      </c>
      <c r="AI5" s="19">
        <f t="shared" si="1"/>
        <v>4</v>
      </c>
    </row>
    <row r="6" spans="1:35" ht="15.75" thickBot="1" x14ac:dyDescent="0.3">
      <c r="A6" s="49" t="s">
        <v>272</v>
      </c>
      <c r="B6" s="37">
        <f t="shared" ref="B6:R6" si="10">SUM(B3:B5)</f>
        <v>4</v>
      </c>
      <c r="C6" s="37">
        <f t="shared" si="10"/>
        <v>6</v>
      </c>
      <c r="D6" s="37">
        <f t="shared" si="10"/>
        <v>1</v>
      </c>
      <c r="E6" s="37">
        <f t="shared" si="10"/>
        <v>11</v>
      </c>
      <c r="F6" s="37">
        <f t="shared" si="10"/>
        <v>2</v>
      </c>
      <c r="G6" s="37">
        <f t="shared" si="10"/>
        <v>4</v>
      </c>
      <c r="H6" s="37">
        <f t="shared" si="10"/>
        <v>2</v>
      </c>
      <c r="I6" s="37">
        <f t="shared" si="10"/>
        <v>8</v>
      </c>
      <c r="J6" s="37">
        <f t="shared" si="10"/>
        <v>0</v>
      </c>
      <c r="K6" s="37">
        <f t="shared" si="10"/>
        <v>3</v>
      </c>
      <c r="L6" s="37">
        <f t="shared" si="10"/>
        <v>0</v>
      </c>
      <c r="M6" s="37">
        <f t="shared" si="10"/>
        <v>3</v>
      </c>
      <c r="N6" s="37">
        <f t="shared" si="10"/>
        <v>7</v>
      </c>
      <c r="O6" s="37">
        <f t="shared" si="10"/>
        <v>5</v>
      </c>
      <c r="P6" s="37">
        <f t="shared" si="10"/>
        <v>1</v>
      </c>
      <c r="Q6" s="37">
        <f t="shared" si="10"/>
        <v>13</v>
      </c>
      <c r="R6" s="37">
        <f t="shared" si="10"/>
        <v>35</v>
      </c>
      <c r="S6" s="37">
        <f>SUM(S3:S5)</f>
        <v>1</v>
      </c>
      <c r="T6" s="37">
        <f t="shared" ref="T6:AI6" si="11">SUM(T3:T5)</f>
        <v>2</v>
      </c>
      <c r="U6" s="37">
        <f t="shared" si="11"/>
        <v>3</v>
      </c>
      <c r="V6" s="37">
        <f t="shared" si="11"/>
        <v>6</v>
      </c>
      <c r="W6" s="37">
        <f t="shared" si="11"/>
        <v>1</v>
      </c>
      <c r="X6" s="37">
        <f t="shared" si="11"/>
        <v>8</v>
      </c>
      <c r="Y6" s="37">
        <f t="shared" si="11"/>
        <v>1</v>
      </c>
      <c r="Z6" s="37">
        <f t="shared" si="11"/>
        <v>10</v>
      </c>
      <c r="AA6" s="37">
        <f t="shared" si="11"/>
        <v>2</v>
      </c>
      <c r="AB6" s="37">
        <f t="shared" si="11"/>
        <v>5</v>
      </c>
      <c r="AC6" s="37">
        <f t="shared" si="11"/>
        <v>2</v>
      </c>
      <c r="AD6" s="37">
        <f t="shared" si="11"/>
        <v>9</v>
      </c>
      <c r="AE6" s="37">
        <f t="shared" si="11"/>
        <v>0</v>
      </c>
      <c r="AF6" s="37">
        <f t="shared" si="11"/>
        <v>0</v>
      </c>
      <c r="AG6" s="37">
        <f t="shared" si="11"/>
        <v>0</v>
      </c>
      <c r="AH6" s="37">
        <f t="shared" si="11"/>
        <v>0</v>
      </c>
      <c r="AI6" s="37">
        <f t="shared" si="11"/>
        <v>25</v>
      </c>
    </row>
    <row r="8" spans="1:35" ht="15.75" thickBot="1" x14ac:dyDescent="0.3">
      <c r="A8" s="10" t="s">
        <v>347</v>
      </c>
      <c r="B8" s="46"/>
    </row>
    <row r="9" spans="1:35" ht="15.75" thickBot="1" x14ac:dyDescent="0.3">
      <c r="A9" s="42" t="s">
        <v>263</v>
      </c>
      <c r="B9" s="45">
        <f>SUBTOTAL(9,$B3:B3)</f>
        <v>1</v>
      </c>
      <c r="C9" s="14">
        <f>SUBTOTAL(9,$B3:C3)</f>
        <v>1</v>
      </c>
      <c r="D9" s="44">
        <f>SUBTOTAL(9,$B3:D3)</f>
        <v>1</v>
      </c>
      <c r="E9" s="44">
        <f>SUBTOTAL(9,$B3:E3)</f>
        <v>1</v>
      </c>
      <c r="F9" s="44">
        <f>SUBTOTAL(9,$B3:F3)</f>
        <v>1</v>
      </c>
      <c r="G9" s="44">
        <f>SUBTOTAL(9,$B3:G3)</f>
        <v>1</v>
      </c>
      <c r="H9" s="44">
        <f>SUBTOTAL(9,$B3:H3)</f>
        <v>1</v>
      </c>
      <c r="I9" s="44">
        <f>SUBTOTAL(9,$B3:I3)</f>
        <v>1</v>
      </c>
      <c r="J9" s="44">
        <f>SUBTOTAL(9,$B3:J3)</f>
        <v>1</v>
      </c>
      <c r="K9" s="44">
        <f>SUBTOTAL(9,$B3:K3)</f>
        <v>4</v>
      </c>
      <c r="L9" s="44">
        <f>SUBTOTAL(9,$B3:L3)</f>
        <v>4</v>
      </c>
      <c r="M9" s="44">
        <f>SUBTOTAL(9,$B3:M3)</f>
        <v>4</v>
      </c>
      <c r="N9" s="44">
        <f>SUBTOTAL(9,$B3:N3)</f>
        <v>10</v>
      </c>
      <c r="O9" s="44">
        <f>SUBTOTAL(9,$B3:O3)</f>
        <v>14</v>
      </c>
      <c r="P9" s="44">
        <f>SUBTOTAL(9,$B3:P3)</f>
        <v>14</v>
      </c>
      <c r="Q9" s="44">
        <f>SUBTOTAL(9,$B3:Q3)</f>
        <v>14</v>
      </c>
      <c r="R9" s="44">
        <f>SUBTOTAL(9,$B3:R3)</f>
        <v>14</v>
      </c>
      <c r="S9" s="44">
        <f>SUBTOTAL(9,$S3:S3)</f>
        <v>1</v>
      </c>
      <c r="T9" s="44">
        <f>SUBTOTAL(9,$S3:T3)</f>
        <v>2</v>
      </c>
      <c r="U9" s="44">
        <f>SUBTOTAL(9,$S3:U3)</f>
        <v>4</v>
      </c>
      <c r="V9" s="44">
        <f>SUBTOTAL(9,$S3:V3)</f>
        <v>4</v>
      </c>
      <c r="W9" s="44">
        <f>SUBTOTAL(9,$S3:W3)</f>
        <v>4</v>
      </c>
      <c r="X9" s="44">
        <f>SUBTOTAL(9,$S3:X3)</f>
        <v>7</v>
      </c>
      <c r="Y9" s="44">
        <f>SUBTOTAL(9,$S3:Y3)</f>
        <v>7</v>
      </c>
      <c r="Z9" s="44">
        <f>SUBTOTAL(9,$S3:Z3)</f>
        <v>7</v>
      </c>
      <c r="AA9" s="44">
        <f>SUBTOTAL(9,$S3:AA3)</f>
        <v>9</v>
      </c>
      <c r="AB9" s="44">
        <f>SUBTOTAL(9,$S3:AB3)</f>
        <v>10</v>
      </c>
      <c r="AC9" s="44">
        <f>SUBTOTAL(9,$S3:AC3)</f>
        <v>12</v>
      </c>
      <c r="AD9" s="44">
        <f>SUBTOTAL(9,$S3:AD3)</f>
        <v>12</v>
      </c>
      <c r="AE9" s="44">
        <f>SUBTOTAL(9,$S3:AE3)</f>
        <v>12</v>
      </c>
      <c r="AF9" s="44">
        <f>SUBTOTAL(9,$S3:AF3)</f>
        <v>12</v>
      </c>
      <c r="AG9" s="44">
        <f>SUBTOTAL(9,$S3:AG3)</f>
        <v>12</v>
      </c>
      <c r="AH9" s="44">
        <f>SUBTOTAL(9,$S3:AH3)</f>
        <v>12</v>
      </c>
      <c r="AI9" s="44">
        <f>SUBTOTAL(9,$S3:AI3)</f>
        <v>12</v>
      </c>
    </row>
    <row r="10" spans="1:35" ht="15.75" thickBot="1" x14ac:dyDescent="0.3">
      <c r="A10" s="42" t="s">
        <v>264</v>
      </c>
      <c r="B10" s="45">
        <f>SUBTOTAL(9,$B4:B4)</f>
        <v>3</v>
      </c>
      <c r="C10" s="15">
        <f>SUBTOTAL(9,$B4:C4)</f>
        <v>9</v>
      </c>
      <c r="D10" s="45">
        <f>SUBTOTAL(9,$B4:D4)</f>
        <v>10</v>
      </c>
      <c r="E10" s="45">
        <f>SUBTOTAL(9,$B4:E4)</f>
        <v>10</v>
      </c>
      <c r="F10" s="45">
        <f>SUBTOTAL(9,$B4:F4)</f>
        <v>12</v>
      </c>
      <c r="G10" s="45">
        <f>SUBTOTAL(9,$B4:G4)</f>
        <v>16</v>
      </c>
      <c r="H10" s="45">
        <f>SUBTOTAL(9,$B4:H4)</f>
        <v>18</v>
      </c>
      <c r="I10" s="45">
        <f>SUBTOTAL(9,$B4:I4)</f>
        <v>18</v>
      </c>
      <c r="J10" s="45">
        <f>SUBTOTAL(9,$B4:J4)</f>
        <v>18</v>
      </c>
      <c r="K10" s="45">
        <f>SUBTOTAL(9,$B4:K4)</f>
        <v>18</v>
      </c>
      <c r="L10" s="45">
        <f>SUBTOTAL(9,$B4:L4)</f>
        <v>18</v>
      </c>
      <c r="M10" s="45">
        <f>SUBTOTAL(9,$B4:M4)</f>
        <v>18</v>
      </c>
      <c r="N10" s="45">
        <f>SUBTOTAL(9,$B4:N4)</f>
        <v>19</v>
      </c>
      <c r="O10" s="45">
        <f>SUBTOTAL(9,$B4:O4)</f>
        <v>19</v>
      </c>
      <c r="P10" s="45">
        <f>SUBTOTAL(9,$B4:P4)</f>
        <v>19</v>
      </c>
      <c r="Q10" s="45">
        <f>SUBTOTAL(9,$B4:Q4)</f>
        <v>19</v>
      </c>
      <c r="R10" s="45">
        <f>SUBTOTAL(9,$B4:R4)</f>
        <v>19</v>
      </c>
      <c r="S10" s="45">
        <f>SUBTOTAL(9,$S4:S4)</f>
        <v>0</v>
      </c>
      <c r="T10" s="45">
        <f>SUBTOTAL(9,$S4:T4)</f>
        <v>1</v>
      </c>
      <c r="U10" s="45">
        <f>SUBTOTAL(9,$S4:U4)</f>
        <v>2</v>
      </c>
      <c r="V10" s="45">
        <f>SUBTOTAL(9,$S4:V4)</f>
        <v>2</v>
      </c>
      <c r="W10" s="45">
        <f>SUBTOTAL(9,$S4:W4)</f>
        <v>3</v>
      </c>
      <c r="X10" s="45">
        <f>SUBTOTAL(9,$S4:X4)</f>
        <v>8</v>
      </c>
      <c r="Y10" s="45">
        <f>SUBTOTAL(9,$S4:Y4)</f>
        <v>9</v>
      </c>
      <c r="Z10" s="45">
        <f>SUBTOTAL(9,$S4:Z4)</f>
        <v>9</v>
      </c>
      <c r="AA10" s="45">
        <f>SUBTOTAL(9,$S4:AA4)</f>
        <v>9</v>
      </c>
      <c r="AB10" s="45">
        <f>SUBTOTAL(9,$S4:AB4)</f>
        <v>9</v>
      </c>
      <c r="AC10" s="45">
        <f>SUBTOTAL(9,$S4:AC4)</f>
        <v>9</v>
      </c>
      <c r="AD10" s="45">
        <f>SUBTOTAL(9,$S4:AD4)</f>
        <v>9</v>
      </c>
      <c r="AE10" s="45">
        <f>SUBTOTAL(9,$S4:AE4)</f>
        <v>9</v>
      </c>
      <c r="AF10" s="45">
        <f>SUBTOTAL(9,$S4:AF4)</f>
        <v>9</v>
      </c>
      <c r="AG10" s="45">
        <f>SUBTOTAL(9,$S4:AG4)</f>
        <v>9</v>
      </c>
      <c r="AH10" s="45">
        <f>SUBTOTAL(9,$S4:AH4)</f>
        <v>9</v>
      </c>
      <c r="AI10" s="45">
        <f>SUBTOTAL(9,$S4:AI4)</f>
        <v>9</v>
      </c>
    </row>
    <row r="11" spans="1:35" ht="15.75" thickBot="1" x14ac:dyDescent="0.3">
      <c r="A11" s="42" t="s">
        <v>265</v>
      </c>
      <c r="B11" s="45">
        <f>SUBTOTAL(9,$B5:B5)</f>
        <v>0</v>
      </c>
      <c r="C11" s="16">
        <f>SUBTOTAL(9,$B5:C5)</f>
        <v>0</v>
      </c>
      <c r="D11" s="48">
        <f>SUBTOTAL(9,$B5:D5)</f>
        <v>0</v>
      </c>
      <c r="E11" s="48">
        <f>SUBTOTAL(9,$B5:E5)</f>
        <v>0</v>
      </c>
      <c r="F11" s="48">
        <f>SUBTOTAL(9,$B5:F5)</f>
        <v>0</v>
      </c>
      <c r="G11" s="48">
        <f>SUBTOTAL(9,$B5:G5)</f>
        <v>0</v>
      </c>
      <c r="H11" s="48">
        <f>SUBTOTAL(9,$B5:H5)</f>
        <v>0</v>
      </c>
      <c r="I11" s="48">
        <f>SUBTOTAL(9,$B5:I5)</f>
        <v>0</v>
      </c>
      <c r="J11" s="48">
        <f>SUBTOTAL(9,$B5:J5)</f>
        <v>0</v>
      </c>
      <c r="K11" s="48">
        <f>SUBTOTAL(9,$B5:K5)</f>
        <v>0</v>
      </c>
      <c r="L11" s="48">
        <f>SUBTOTAL(9,$B5:L5)</f>
        <v>0</v>
      </c>
      <c r="M11" s="48">
        <f>SUBTOTAL(9,$B5:M5)</f>
        <v>0</v>
      </c>
      <c r="N11" s="48">
        <f>SUBTOTAL(9,$B5:N5)</f>
        <v>0</v>
      </c>
      <c r="O11" s="48">
        <f>SUBTOTAL(9,$B5:O5)</f>
        <v>1</v>
      </c>
      <c r="P11" s="48">
        <f>SUBTOTAL(9,$B5:P5)</f>
        <v>2</v>
      </c>
      <c r="Q11" s="48">
        <f>SUBTOTAL(9,$B5:Q5)</f>
        <v>2</v>
      </c>
      <c r="R11" s="48">
        <f>SUBTOTAL(9,$B5:R5)</f>
        <v>2</v>
      </c>
      <c r="S11" s="48">
        <f>SUBTOTAL(9,$S5:S5)</f>
        <v>0</v>
      </c>
      <c r="T11" s="48">
        <f>SUBTOTAL(9,$S5:T5)</f>
        <v>0</v>
      </c>
      <c r="U11" s="48">
        <f>SUBTOTAL(9,$S5:U5)</f>
        <v>0</v>
      </c>
      <c r="V11" s="48">
        <f>SUBTOTAL(9,$S5:V5)</f>
        <v>0</v>
      </c>
      <c r="W11" s="48">
        <f>SUBTOTAL(9,$S5:W5)</f>
        <v>0</v>
      </c>
      <c r="X11" s="48">
        <f>SUBTOTAL(9,$S5:X5)</f>
        <v>0</v>
      </c>
      <c r="Y11" s="48">
        <f>SUBTOTAL(9,$S5:Y5)</f>
        <v>0</v>
      </c>
      <c r="Z11" s="48">
        <f>SUBTOTAL(9,$S5:Z5)</f>
        <v>0</v>
      </c>
      <c r="AA11" s="48">
        <f>SUBTOTAL(9,$S5:AA5)</f>
        <v>0</v>
      </c>
      <c r="AB11" s="48">
        <f>SUBTOTAL(9,$S5:AB5)</f>
        <v>4</v>
      </c>
      <c r="AC11" s="48">
        <f>SUBTOTAL(9,$S5:AC5)</f>
        <v>4</v>
      </c>
      <c r="AD11" s="48">
        <f>SUBTOTAL(9,$S5:AD5)</f>
        <v>4</v>
      </c>
      <c r="AE11" s="48">
        <f>SUBTOTAL(9,$S5:AE5)</f>
        <v>4</v>
      </c>
      <c r="AF11" s="48">
        <f>SUBTOTAL(9,$S5:AF5)</f>
        <v>4</v>
      </c>
      <c r="AG11" s="48">
        <f>SUBTOTAL(9,$S5:AG5)</f>
        <v>4</v>
      </c>
      <c r="AH11" s="48">
        <f>SUBTOTAL(9,$S5:AH5)</f>
        <v>4</v>
      </c>
      <c r="AI11" s="48">
        <f>SUBTOTAL(9,$S5:AI5)</f>
        <v>4</v>
      </c>
    </row>
    <row r="12" spans="1:35" x14ac:dyDescent="0.25">
      <c r="B12" s="47"/>
    </row>
  </sheetData>
  <mergeCells count="2">
    <mergeCell ref="B1:R1"/>
    <mergeCell ref="S1:AI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06E94-5BF5-46F1-8B43-E4927CEB742D}">
  <sheetPr>
    <tabColor theme="9"/>
  </sheetPr>
  <dimension ref="A1:R231"/>
  <sheetViews>
    <sheetView workbookViewId="0">
      <selection activeCell="AG3" sqref="AG3"/>
    </sheetView>
  </sheetViews>
  <sheetFormatPr defaultRowHeight="15" x14ac:dyDescent="0.25"/>
  <cols>
    <col min="1" max="1" width="11.28515625" customWidth="1"/>
    <col min="2" max="2" width="19.5703125" style="58" customWidth="1"/>
    <col min="3" max="3" width="24.140625" style="58" customWidth="1"/>
    <col min="4" max="5" width="22.28515625" customWidth="1"/>
    <col min="6" max="6" width="38.42578125" customWidth="1"/>
    <col min="7" max="7" width="23.42578125" customWidth="1"/>
    <col min="8" max="8" width="25.28515625" customWidth="1"/>
    <col min="9" max="9" width="27.7109375" customWidth="1"/>
    <col min="10" max="10" width="29.85546875" customWidth="1"/>
    <col min="11" max="11" width="24" style="3" customWidth="1"/>
    <col min="12" max="12" width="19.28515625" style="3" customWidth="1"/>
    <col min="13" max="13" width="14.85546875" style="3" customWidth="1"/>
    <col min="14" max="14" width="17" style="3" customWidth="1"/>
    <col min="15" max="15" width="16" style="3" customWidth="1"/>
    <col min="16" max="16" width="16" style="57" customWidth="1"/>
    <col min="17" max="17" width="17.5703125" style="57" customWidth="1"/>
    <col min="18" max="18" width="16.5703125" style="57" customWidth="1"/>
  </cols>
  <sheetData>
    <row r="1" spans="1:18" x14ac:dyDescent="0.25">
      <c r="A1" t="s">
        <v>0</v>
      </c>
      <c r="B1" s="58" t="s">
        <v>1</v>
      </c>
      <c r="C1" s="58" t="s">
        <v>2</v>
      </c>
      <c r="D1" t="s">
        <v>3</v>
      </c>
      <c r="E1" t="s">
        <v>411</v>
      </c>
      <c r="F1" t="s">
        <v>997</v>
      </c>
      <c r="G1" t="s">
        <v>4</v>
      </c>
      <c r="H1" t="s">
        <v>5</v>
      </c>
      <c r="I1" t="s">
        <v>6</v>
      </c>
      <c r="J1" t="s">
        <v>7</v>
      </c>
      <c r="K1" s="3" t="s">
        <v>260</v>
      </c>
      <c r="L1" s="3" t="s">
        <v>261</v>
      </c>
      <c r="M1" s="3" t="s">
        <v>170</v>
      </c>
      <c r="N1" s="3" t="s">
        <v>262</v>
      </c>
      <c r="O1" s="3" t="s">
        <v>256</v>
      </c>
      <c r="P1" s="57" t="s">
        <v>255</v>
      </c>
      <c r="Q1" s="57" t="s">
        <v>254</v>
      </c>
      <c r="R1" s="57" t="s">
        <v>258</v>
      </c>
    </row>
    <row r="2" spans="1:18" x14ac:dyDescent="0.25">
      <c r="A2" t="s">
        <v>657</v>
      </c>
      <c r="B2" s="58">
        <v>44992.369444444441</v>
      </c>
      <c r="C2" s="58">
        <v>44991.4375</v>
      </c>
      <c r="D2" t="s">
        <v>658</v>
      </c>
      <c r="E2" t="s">
        <v>412</v>
      </c>
      <c r="F2" t="s">
        <v>8</v>
      </c>
      <c r="H2" t="s">
        <v>9</v>
      </c>
      <c r="J2" t="s">
        <v>659</v>
      </c>
      <c r="K2" s="3" t="s">
        <v>1046</v>
      </c>
      <c r="L2" s="3" t="s">
        <v>1046</v>
      </c>
      <c r="M2" s="3" t="s">
        <v>1046</v>
      </c>
      <c r="N2" s="3" t="s">
        <v>1046</v>
      </c>
      <c r="P2" s="57" t="str">
        <f>IF(OR(F2="HS2057 SUNSHINE DC",F2="S812  Harris Scarfe DC",F2="S813 HS Dark Store",E2="MICHELLE SLOVIK",E2="BREA ROLLINSON",E2="LJUBICA MITRESKA"),"Harris Scarfe DC",IF(OR(F2="S810 Anaconda DC",E2="THOMAS WILLIAMS"),"Anaconda DC",IF(F2="S811 Spotlight DC","Spotlight DC","Spotlight DC")))</f>
        <v>Harris Scarfe DC</v>
      </c>
      <c r="Q2" s="57" t="str">
        <f>VLOOKUP(C2,'FIN CAL LOOKUP'!A:J,7,1)</f>
        <v>MAR, FY23</v>
      </c>
      <c r="R2" s="57" t="str">
        <f>VLOOKUP(C2,'FIN CAL LOOKUP'!A:J,10,1)</f>
        <v>Q3, FY23</v>
      </c>
    </row>
    <row r="3" spans="1:18" x14ac:dyDescent="0.25">
      <c r="A3" t="s">
        <v>660</v>
      </c>
      <c r="B3" s="58">
        <v>44999.34097222222</v>
      </c>
      <c r="C3" s="58">
        <v>44994.505555555559</v>
      </c>
      <c r="D3" t="s">
        <v>413</v>
      </c>
      <c r="E3" t="s">
        <v>414</v>
      </c>
      <c r="F3" t="s">
        <v>353</v>
      </c>
      <c r="G3" t="s">
        <v>998</v>
      </c>
      <c r="H3" t="s">
        <v>13</v>
      </c>
      <c r="J3" t="s">
        <v>661</v>
      </c>
      <c r="K3" s="3" t="s">
        <v>859</v>
      </c>
      <c r="L3" s="3" t="s">
        <v>860</v>
      </c>
      <c r="N3" s="3" t="s">
        <v>1047</v>
      </c>
      <c r="O3" s="3" t="s">
        <v>257</v>
      </c>
      <c r="P3" s="57" t="str">
        <f t="shared" ref="P3:P66" si="0">IF(OR(F3="HS2057 SUNSHINE DC",F3="S812  Harris Scarfe DC",F3="S813 HS Dark Store",E3="MICHELLE SLOVIK",E3="BREA ROLLINSON",E3="LJUBICA MITRESKA"),"Harris Scarfe DC",IF(OR(F3="S810 Anaconda DC",E3="THOMAS WILLIAMS"),"Anaconda DC",IF(F3="S811 Spotlight DC","Spotlight DC","Spotlight DC")))</f>
        <v>Anaconda DC</v>
      </c>
      <c r="Q3" s="57" t="str">
        <f>VLOOKUP(C3,'FIN CAL LOOKUP'!A:J,7,1)</f>
        <v>MAR, FY23</v>
      </c>
      <c r="R3" s="57" t="str">
        <f>VLOOKUP(C3,'FIN CAL LOOKUP'!A:J,10,1)</f>
        <v>Q3, FY23</v>
      </c>
    </row>
    <row r="4" spans="1:18" x14ac:dyDescent="0.25">
      <c r="A4" t="s">
        <v>662</v>
      </c>
      <c r="B4" s="58">
        <v>45000.339583333334</v>
      </c>
      <c r="C4" s="58">
        <v>44994.627083333333</v>
      </c>
      <c r="D4" t="s">
        <v>413</v>
      </c>
      <c r="E4" t="s">
        <v>414</v>
      </c>
      <c r="F4" t="s">
        <v>353</v>
      </c>
      <c r="H4" t="s">
        <v>9</v>
      </c>
      <c r="J4" t="s">
        <v>663</v>
      </c>
      <c r="K4" s="3" t="s">
        <v>1046</v>
      </c>
      <c r="L4" s="3" t="s">
        <v>1046</v>
      </c>
      <c r="M4" s="3" t="s">
        <v>1046</v>
      </c>
      <c r="N4" s="3" t="s">
        <v>1046</v>
      </c>
      <c r="P4" s="57" t="str">
        <f t="shared" si="0"/>
        <v>Anaconda DC</v>
      </c>
      <c r="Q4" s="57" t="str">
        <f>VLOOKUP(C4,'FIN CAL LOOKUP'!A:J,7,1)</f>
        <v>MAR, FY23</v>
      </c>
      <c r="R4" s="57" t="str">
        <f>VLOOKUP(C4,'FIN CAL LOOKUP'!A:J,10,1)</f>
        <v>Q3, FY23</v>
      </c>
    </row>
    <row r="5" spans="1:18" x14ac:dyDescent="0.25">
      <c r="A5" t="s">
        <v>664</v>
      </c>
      <c r="B5" s="58">
        <v>45000.34375</v>
      </c>
      <c r="C5" s="58">
        <v>44999.350694444445</v>
      </c>
      <c r="D5" t="s">
        <v>413</v>
      </c>
      <c r="E5" t="s">
        <v>414</v>
      </c>
      <c r="F5" t="s">
        <v>353</v>
      </c>
      <c r="G5" t="s">
        <v>998</v>
      </c>
      <c r="H5" t="s">
        <v>13</v>
      </c>
      <c r="J5" t="s">
        <v>665</v>
      </c>
      <c r="K5" s="3" t="s">
        <v>53</v>
      </c>
      <c r="L5" s="3" t="s">
        <v>52</v>
      </c>
      <c r="M5" s="3" t="s">
        <v>861</v>
      </c>
      <c r="N5" s="3" t="s">
        <v>862</v>
      </c>
      <c r="O5" s="3" t="s">
        <v>257</v>
      </c>
      <c r="P5" s="57" t="str">
        <f t="shared" si="0"/>
        <v>Anaconda DC</v>
      </c>
      <c r="Q5" s="57" t="str">
        <f>VLOOKUP(C5,'FIN CAL LOOKUP'!A:J,7,1)</f>
        <v>MAR, FY23</v>
      </c>
      <c r="R5" s="57" t="str">
        <f>VLOOKUP(C5,'FIN CAL LOOKUP'!A:J,10,1)</f>
        <v>Q3, FY23</v>
      </c>
    </row>
    <row r="6" spans="1:18" x14ac:dyDescent="0.25">
      <c r="A6" t="s">
        <v>666</v>
      </c>
      <c r="B6" s="58">
        <v>45005.350694444445</v>
      </c>
      <c r="C6" s="58">
        <v>45002.354166666664</v>
      </c>
      <c r="D6" t="s">
        <v>413</v>
      </c>
      <c r="E6" t="s">
        <v>414</v>
      </c>
      <c r="F6" t="s">
        <v>353</v>
      </c>
      <c r="H6" t="s">
        <v>13</v>
      </c>
      <c r="J6" t="s">
        <v>667</v>
      </c>
      <c r="K6" s="3" t="s">
        <v>1046</v>
      </c>
      <c r="L6" s="3" t="s">
        <v>1046</v>
      </c>
      <c r="M6" s="3" t="s">
        <v>1046</v>
      </c>
      <c r="N6" s="3" t="s">
        <v>1046</v>
      </c>
      <c r="P6" s="57" t="str">
        <f t="shared" si="0"/>
        <v>Anaconda DC</v>
      </c>
      <c r="Q6" s="57" t="str">
        <f>VLOOKUP(C6,'FIN CAL LOOKUP'!A:J,7,1)</f>
        <v>MAR, FY23</v>
      </c>
      <c r="R6" s="57" t="str">
        <f>VLOOKUP(C6,'FIN CAL LOOKUP'!A:J,10,1)</f>
        <v>Q3, FY23</v>
      </c>
    </row>
    <row r="7" spans="1:18" x14ac:dyDescent="0.25">
      <c r="A7" t="s">
        <v>668</v>
      </c>
      <c r="B7" s="58">
        <v>45014.347916666666</v>
      </c>
      <c r="C7" s="58">
        <v>45006.645833333336</v>
      </c>
      <c r="D7" t="s">
        <v>413</v>
      </c>
      <c r="E7" t="s">
        <v>414</v>
      </c>
      <c r="F7" t="s">
        <v>353</v>
      </c>
      <c r="H7" t="s">
        <v>9</v>
      </c>
      <c r="J7" t="s">
        <v>669</v>
      </c>
      <c r="K7" s="3" t="s">
        <v>1046</v>
      </c>
      <c r="L7" s="3" t="s">
        <v>1046</v>
      </c>
      <c r="M7" s="3" t="s">
        <v>1046</v>
      </c>
      <c r="N7" s="3" t="s">
        <v>1046</v>
      </c>
      <c r="P7" s="57" t="str">
        <f t="shared" si="0"/>
        <v>Anaconda DC</v>
      </c>
      <c r="Q7" s="57" t="str">
        <f>VLOOKUP(C7,'FIN CAL LOOKUP'!A:J,7,1)</f>
        <v>MAR, FY23</v>
      </c>
      <c r="R7" s="57" t="str">
        <f>VLOOKUP(C7,'FIN CAL LOOKUP'!A:J,10,1)</f>
        <v>Q3, FY23</v>
      </c>
    </row>
    <row r="8" spans="1:18" x14ac:dyDescent="0.25">
      <c r="A8" t="s">
        <v>670</v>
      </c>
      <c r="B8" s="58">
        <v>45014.361111111109</v>
      </c>
      <c r="C8" s="58">
        <v>45013.701388888891</v>
      </c>
      <c r="D8" t="s">
        <v>413</v>
      </c>
      <c r="E8" t="s">
        <v>414</v>
      </c>
      <c r="F8" t="s">
        <v>353</v>
      </c>
      <c r="H8" t="s">
        <v>13</v>
      </c>
      <c r="J8" t="s">
        <v>671</v>
      </c>
      <c r="K8" s="3" t="s">
        <v>1046</v>
      </c>
      <c r="L8" s="3" t="s">
        <v>1046</v>
      </c>
      <c r="M8" s="3" t="s">
        <v>1046</v>
      </c>
      <c r="N8" s="3" t="s">
        <v>1046</v>
      </c>
      <c r="P8" s="57" t="str">
        <f t="shared" si="0"/>
        <v>Anaconda DC</v>
      </c>
      <c r="Q8" s="57" t="str">
        <f>VLOOKUP(C8,'FIN CAL LOOKUP'!A:J,7,1)</f>
        <v>APR, FY23</v>
      </c>
      <c r="R8" s="57" t="str">
        <f>VLOOKUP(C8,'FIN CAL LOOKUP'!A:J,10,1)</f>
        <v>Q4, FY23</v>
      </c>
    </row>
    <row r="9" spans="1:18" x14ac:dyDescent="0.25">
      <c r="A9" t="s">
        <v>672</v>
      </c>
      <c r="B9" s="58">
        <v>45014.365277777775</v>
      </c>
      <c r="C9" s="58">
        <v>45005.416666666664</v>
      </c>
      <c r="D9" t="s">
        <v>413</v>
      </c>
      <c r="E9" t="s">
        <v>414</v>
      </c>
      <c r="F9" t="s">
        <v>353</v>
      </c>
      <c r="H9" t="s">
        <v>13</v>
      </c>
      <c r="J9" t="s">
        <v>673</v>
      </c>
      <c r="K9" s="3" t="s">
        <v>1046</v>
      </c>
      <c r="L9" s="3" t="s">
        <v>1046</v>
      </c>
      <c r="M9" s="3" t="s">
        <v>1046</v>
      </c>
      <c r="N9" s="3" t="s">
        <v>1046</v>
      </c>
      <c r="P9" s="57" t="str">
        <f t="shared" si="0"/>
        <v>Anaconda DC</v>
      </c>
      <c r="Q9" s="57" t="str">
        <f>VLOOKUP(C9,'FIN CAL LOOKUP'!A:J,7,1)</f>
        <v>MAR, FY23</v>
      </c>
      <c r="R9" s="57" t="str">
        <f>VLOOKUP(C9,'FIN CAL LOOKUP'!A:J,10,1)</f>
        <v>Q3, FY23</v>
      </c>
    </row>
    <row r="10" spans="1:18" x14ac:dyDescent="0.25">
      <c r="A10" t="s">
        <v>674</v>
      </c>
      <c r="B10" s="58">
        <v>45021.569444444445</v>
      </c>
      <c r="C10" s="58">
        <v>45019.5625</v>
      </c>
      <c r="D10" t="s">
        <v>413</v>
      </c>
      <c r="E10" t="s">
        <v>414</v>
      </c>
      <c r="F10" t="s">
        <v>353</v>
      </c>
      <c r="G10" t="s">
        <v>999</v>
      </c>
      <c r="H10" t="s">
        <v>13</v>
      </c>
      <c r="I10" t="s">
        <v>36</v>
      </c>
      <c r="J10" t="s">
        <v>675</v>
      </c>
      <c r="K10" s="3" t="s">
        <v>53</v>
      </c>
      <c r="L10" s="3" t="s">
        <v>52</v>
      </c>
      <c r="M10" s="3" t="s">
        <v>863</v>
      </c>
      <c r="N10" s="3" t="s">
        <v>864</v>
      </c>
      <c r="O10" s="3" t="s">
        <v>257</v>
      </c>
      <c r="P10" s="57" t="str">
        <f t="shared" si="0"/>
        <v>Anaconda DC</v>
      </c>
      <c r="Q10" s="57" t="str">
        <f>VLOOKUP(C10,'FIN CAL LOOKUP'!A:J,7,1)</f>
        <v>APR, FY23</v>
      </c>
      <c r="R10" s="57" t="str">
        <f>VLOOKUP(C10,'FIN CAL LOOKUP'!A:J,10,1)</f>
        <v>Q4, FY23</v>
      </c>
    </row>
    <row r="11" spans="1:18" x14ac:dyDescent="0.25">
      <c r="A11" t="s">
        <v>676</v>
      </c>
      <c r="B11" s="58">
        <v>45022.522222222222</v>
      </c>
      <c r="C11" s="58">
        <v>45022.472222222219</v>
      </c>
      <c r="D11" t="s">
        <v>41</v>
      </c>
      <c r="E11" t="s">
        <v>415</v>
      </c>
      <c r="F11" t="s">
        <v>353</v>
      </c>
      <c r="H11" t="s">
        <v>9</v>
      </c>
      <c r="J11" t="s">
        <v>677</v>
      </c>
      <c r="K11" s="3" t="s">
        <v>1046</v>
      </c>
      <c r="L11" s="3" t="s">
        <v>1046</v>
      </c>
      <c r="M11" s="3" t="s">
        <v>1046</v>
      </c>
      <c r="N11" s="3" t="s">
        <v>1046</v>
      </c>
      <c r="P11" s="57" t="str">
        <f t="shared" si="0"/>
        <v>Spotlight DC</v>
      </c>
      <c r="Q11" s="57" t="str">
        <f>VLOOKUP(C11,'FIN CAL LOOKUP'!A:J,7,1)</f>
        <v>APR, FY23</v>
      </c>
      <c r="R11" s="57" t="str">
        <f>VLOOKUP(C11,'FIN CAL LOOKUP'!A:J,10,1)</f>
        <v>Q4, FY23</v>
      </c>
    </row>
    <row r="12" spans="1:18" x14ac:dyDescent="0.25">
      <c r="A12" t="s">
        <v>678</v>
      </c>
      <c r="B12" s="58">
        <v>45022.548611111109</v>
      </c>
      <c r="C12" s="58">
        <v>45021.40625</v>
      </c>
      <c r="D12" t="s">
        <v>41</v>
      </c>
      <c r="E12" t="s">
        <v>415</v>
      </c>
      <c r="F12" t="s">
        <v>353</v>
      </c>
      <c r="H12" t="s">
        <v>9</v>
      </c>
      <c r="J12" t="s">
        <v>679</v>
      </c>
      <c r="K12" s="3" t="s">
        <v>1046</v>
      </c>
      <c r="L12" s="3" t="s">
        <v>1046</v>
      </c>
      <c r="M12" s="3" t="s">
        <v>1046</v>
      </c>
      <c r="N12" s="3" t="s">
        <v>1046</v>
      </c>
      <c r="P12" s="57" t="str">
        <f t="shared" si="0"/>
        <v>Spotlight DC</v>
      </c>
      <c r="Q12" s="57" t="str">
        <f>VLOOKUP(C12,'FIN CAL LOOKUP'!A:J,7,1)</f>
        <v>APR, FY23</v>
      </c>
      <c r="R12" s="57" t="str">
        <f>VLOOKUP(C12,'FIN CAL LOOKUP'!A:J,10,1)</f>
        <v>Q4, FY23</v>
      </c>
    </row>
    <row r="13" spans="1:18" x14ac:dyDescent="0.25">
      <c r="A13" t="s">
        <v>680</v>
      </c>
      <c r="B13" s="58">
        <v>45022.597222222219</v>
      </c>
      <c r="C13" s="58">
        <v>45021.387499999997</v>
      </c>
      <c r="D13" t="s">
        <v>413</v>
      </c>
      <c r="E13" t="s">
        <v>414</v>
      </c>
      <c r="F13" t="s">
        <v>353</v>
      </c>
      <c r="H13" t="s">
        <v>9</v>
      </c>
      <c r="J13" t="s">
        <v>681</v>
      </c>
      <c r="K13" s="3" t="s">
        <v>1046</v>
      </c>
      <c r="L13" s="3" t="s">
        <v>1046</v>
      </c>
      <c r="M13" s="3" t="s">
        <v>1046</v>
      </c>
      <c r="N13" s="3" t="s">
        <v>1046</v>
      </c>
      <c r="P13" s="57" t="str">
        <f t="shared" si="0"/>
        <v>Anaconda DC</v>
      </c>
      <c r="Q13" s="57" t="str">
        <f>VLOOKUP(C13,'FIN CAL LOOKUP'!A:J,7,1)</f>
        <v>APR, FY23</v>
      </c>
      <c r="R13" s="57" t="str">
        <f>VLOOKUP(C13,'FIN CAL LOOKUP'!A:J,10,1)</f>
        <v>Q4, FY23</v>
      </c>
    </row>
    <row r="14" spans="1:18" x14ac:dyDescent="0.25">
      <c r="A14" t="s">
        <v>682</v>
      </c>
      <c r="B14" s="58">
        <v>45034.400694444441</v>
      </c>
      <c r="C14" s="58">
        <v>45034.354166666664</v>
      </c>
      <c r="D14" t="s">
        <v>416</v>
      </c>
      <c r="E14" t="s">
        <v>415</v>
      </c>
      <c r="F14" t="s">
        <v>353</v>
      </c>
      <c r="G14" t="s">
        <v>1000</v>
      </c>
      <c r="H14" t="s">
        <v>13</v>
      </c>
      <c r="I14" t="s">
        <v>27</v>
      </c>
      <c r="J14" t="s">
        <v>683</v>
      </c>
      <c r="K14" s="3" t="s">
        <v>865</v>
      </c>
      <c r="L14" s="3" t="s">
        <v>866</v>
      </c>
      <c r="M14" s="3" t="s">
        <v>867</v>
      </c>
      <c r="N14" s="3" t="s">
        <v>868</v>
      </c>
      <c r="O14" s="3" t="s">
        <v>257</v>
      </c>
      <c r="P14" s="57" t="str">
        <f t="shared" si="0"/>
        <v>Spotlight DC</v>
      </c>
      <c r="Q14" s="57" t="str">
        <f>VLOOKUP(C14,'FIN CAL LOOKUP'!A:J,7,1)</f>
        <v>APR, FY23</v>
      </c>
      <c r="R14" s="57" t="str">
        <f>VLOOKUP(C14,'FIN CAL LOOKUP'!A:J,10,1)</f>
        <v>Q4, FY23</v>
      </c>
    </row>
    <row r="15" spans="1:18" x14ac:dyDescent="0.25">
      <c r="A15" t="s">
        <v>684</v>
      </c>
      <c r="B15" s="58">
        <v>45036.626388888886</v>
      </c>
      <c r="C15" s="58">
        <v>45035.375</v>
      </c>
      <c r="D15" t="s">
        <v>413</v>
      </c>
      <c r="E15" t="s">
        <v>414</v>
      </c>
      <c r="F15" t="s">
        <v>353</v>
      </c>
      <c r="H15" t="s">
        <v>13</v>
      </c>
      <c r="J15" t="s">
        <v>685</v>
      </c>
      <c r="K15" s="3" t="s">
        <v>1046</v>
      </c>
      <c r="L15" s="3" t="s">
        <v>1046</v>
      </c>
      <c r="M15" s="3" t="s">
        <v>1046</v>
      </c>
      <c r="N15" s="3" t="s">
        <v>1046</v>
      </c>
      <c r="P15" s="57" t="str">
        <f t="shared" si="0"/>
        <v>Anaconda DC</v>
      </c>
      <c r="Q15" s="57" t="str">
        <f>VLOOKUP(C15,'FIN CAL LOOKUP'!A:J,7,1)</f>
        <v>APR, FY23</v>
      </c>
      <c r="R15" s="57" t="str">
        <f>VLOOKUP(C15,'FIN CAL LOOKUP'!A:J,10,1)</f>
        <v>Q4, FY23</v>
      </c>
    </row>
    <row r="16" spans="1:18" x14ac:dyDescent="0.25">
      <c r="A16" t="s">
        <v>686</v>
      </c>
      <c r="B16" s="58">
        <v>45036.645138888889</v>
      </c>
      <c r="C16" s="58">
        <v>45036.28125</v>
      </c>
      <c r="D16" t="s">
        <v>413</v>
      </c>
      <c r="E16" t="s">
        <v>414</v>
      </c>
      <c r="F16" t="s">
        <v>353</v>
      </c>
      <c r="H16" t="s">
        <v>13</v>
      </c>
      <c r="J16" t="s">
        <v>687</v>
      </c>
      <c r="K16" s="3" t="s">
        <v>1046</v>
      </c>
      <c r="L16" s="3" t="s">
        <v>1046</v>
      </c>
      <c r="M16" s="3" t="s">
        <v>1046</v>
      </c>
      <c r="N16" s="3" t="s">
        <v>1046</v>
      </c>
      <c r="P16" s="57" t="str">
        <f t="shared" si="0"/>
        <v>Anaconda DC</v>
      </c>
      <c r="Q16" s="57" t="str">
        <f>VLOOKUP(C16,'FIN CAL LOOKUP'!A:J,7,1)</f>
        <v>APR, FY23</v>
      </c>
      <c r="R16" s="57" t="str">
        <f>VLOOKUP(C16,'FIN CAL LOOKUP'!A:J,10,1)</f>
        <v>Q4, FY23</v>
      </c>
    </row>
    <row r="17" spans="1:18" x14ac:dyDescent="0.25">
      <c r="A17" t="s">
        <v>688</v>
      </c>
      <c r="B17" s="58">
        <v>45049.750694444447</v>
      </c>
      <c r="C17" s="58">
        <v>45048.875</v>
      </c>
      <c r="D17" t="s">
        <v>73</v>
      </c>
      <c r="E17" t="s">
        <v>415</v>
      </c>
      <c r="F17" t="s">
        <v>353</v>
      </c>
      <c r="G17" t="s">
        <v>1001</v>
      </c>
      <c r="H17" t="s">
        <v>13</v>
      </c>
      <c r="I17" t="s">
        <v>14</v>
      </c>
      <c r="J17" t="s">
        <v>689</v>
      </c>
      <c r="K17" s="3" t="s">
        <v>53</v>
      </c>
      <c r="L17" s="3" t="s">
        <v>52</v>
      </c>
      <c r="M17" s="3" t="s">
        <v>869</v>
      </c>
      <c r="N17" s="3" t="s">
        <v>870</v>
      </c>
      <c r="O17" s="3" t="s">
        <v>257</v>
      </c>
      <c r="P17" s="57" t="str">
        <f t="shared" si="0"/>
        <v>Spotlight DC</v>
      </c>
      <c r="Q17" s="57" t="str">
        <f>VLOOKUP(C17,'FIN CAL LOOKUP'!A:J,7,1)</f>
        <v>MAY, FY23</v>
      </c>
      <c r="R17" s="57" t="str">
        <f>VLOOKUP(C17,'FIN CAL LOOKUP'!A:J,10,1)</f>
        <v>Q4, FY23</v>
      </c>
    </row>
    <row r="18" spans="1:18" x14ac:dyDescent="0.25">
      <c r="A18" t="s">
        <v>690</v>
      </c>
      <c r="B18" s="58">
        <v>45050.590277777781</v>
      </c>
      <c r="C18" s="58">
        <v>45050.416666666664</v>
      </c>
      <c r="D18" t="s">
        <v>413</v>
      </c>
      <c r="E18" t="s">
        <v>414</v>
      </c>
      <c r="F18" t="s">
        <v>353</v>
      </c>
      <c r="G18" t="s">
        <v>1002</v>
      </c>
      <c r="H18" t="s">
        <v>13</v>
      </c>
      <c r="I18" t="s">
        <v>27</v>
      </c>
      <c r="J18" t="s">
        <v>691</v>
      </c>
      <c r="K18" s="3" t="s">
        <v>871</v>
      </c>
      <c r="L18" s="3" t="s">
        <v>866</v>
      </c>
      <c r="M18" s="3" t="s">
        <v>872</v>
      </c>
      <c r="N18" s="3" t="s">
        <v>873</v>
      </c>
      <c r="O18" s="3" t="s">
        <v>257</v>
      </c>
      <c r="P18" s="57" t="str">
        <f t="shared" si="0"/>
        <v>Anaconda DC</v>
      </c>
      <c r="Q18" s="57" t="str">
        <f>VLOOKUP(C18,'FIN CAL LOOKUP'!A:J,7,1)</f>
        <v>MAY, FY23</v>
      </c>
      <c r="R18" s="57" t="str">
        <f>VLOOKUP(C18,'FIN CAL LOOKUP'!A:J,10,1)</f>
        <v>Q4, FY23</v>
      </c>
    </row>
    <row r="19" spans="1:18" x14ac:dyDescent="0.25">
      <c r="A19" t="s">
        <v>692</v>
      </c>
      <c r="B19" s="58">
        <v>45051.604166666664</v>
      </c>
      <c r="C19" s="58">
        <v>45050.458333333336</v>
      </c>
      <c r="D19" t="s">
        <v>417</v>
      </c>
      <c r="E19" t="s">
        <v>415</v>
      </c>
      <c r="F19" t="s">
        <v>353</v>
      </c>
      <c r="H19" t="s">
        <v>18</v>
      </c>
      <c r="J19" t="s">
        <v>693</v>
      </c>
      <c r="K19" s="3" t="s">
        <v>865</v>
      </c>
      <c r="L19" s="3" t="s">
        <v>874</v>
      </c>
      <c r="N19" s="3" t="s">
        <v>1048</v>
      </c>
      <c r="P19" s="57" t="str">
        <f t="shared" si="0"/>
        <v>Spotlight DC</v>
      </c>
      <c r="Q19" s="57" t="str">
        <f>VLOOKUP(C19,'FIN CAL LOOKUP'!A:J,7,1)</f>
        <v>MAY, FY23</v>
      </c>
      <c r="R19" s="57" t="str">
        <f>VLOOKUP(C19,'FIN CAL LOOKUP'!A:J,10,1)</f>
        <v>Q4, FY23</v>
      </c>
    </row>
    <row r="20" spans="1:18" x14ac:dyDescent="0.25">
      <c r="A20" t="s">
        <v>694</v>
      </c>
      <c r="B20" s="58">
        <v>45054.374305555553</v>
      </c>
      <c r="C20" s="58">
        <v>45054.270833333336</v>
      </c>
      <c r="D20" t="s">
        <v>413</v>
      </c>
      <c r="E20" t="s">
        <v>414</v>
      </c>
      <c r="F20" t="s">
        <v>353</v>
      </c>
      <c r="G20" t="s">
        <v>1003</v>
      </c>
      <c r="H20" t="s">
        <v>13</v>
      </c>
      <c r="I20" t="s">
        <v>27</v>
      </c>
      <c r="J20" t="s">
        <v>695</v>
      </c>
      <c r="K20" s="3" t="s">
        <v>875</v>
      </c>
      <c r="L20" s="3" t="s">
        <v>866</v>
      </c>
      <c r="M20" s="3" t="s">
        <v>867</v>
      </c>
      <c r="N20" s="3" t="s">
        <v>876</v>
      </c>
      <c r="O20" s="3" t="s">
        <v>1069</v>
      </c>
      <c r="P20" s="57" t="str">
        <f t="shared" si="0"/>
        <v>Anaconda DC</v>
      </c>
      <c r="Q20" s="57" t="str">
        <f>VLOOKUP(C20,'FIN CAL LOOKUP'!A:J,7,1)</f>
        <v>MAY, FY23</v>
      </c>
      <c r="R20" s="57" t="str">
        <f>VLOOKUP(C20,'FIN CAL LOOKUP'!A:J,10,1)</f>
        <v>Q4, FY23</v>
      </c>
    </row>
    <row r="21" spans="1:18" x14ac:dyDescent="0.25">
      <c r="A21" t="s">
        <v>696</v>
      </c>
      <c r="B21" s="58">
        <v>45062.598611111112</v>
      </c>
      <c r="C21" s="58">
        <v>45062.347222222219</v>
      </c>
      <c r="D21" t="s">
        <v>413</v>
      </c>
      <c r="E21" t="s">
        <v>414</v>
      </c>
      <c r="F21" t="s">
        <v>353</v>
      </c>
      <c r="H21" t="s">
        <v>9</v>
      </c>
      <c r="J21" t="s">
        <v>697</v>
      </c>
      <c r="K21" s="3" t="s">
        <v>1046</v>
      </c>
      <c r="L21" s="3" t="s">
        <v>1046</v>
      </c>
      <c r="M21" s="3" t="s">
        <v>1046</v>
      </c>
      <c r="N21" s="3" t="s">
        <v>1046</v>
      </c>
      <c r="P21" s="57" t="str">
        <f t="shared" si="0"/>
        <v>Anaconda DC</v>
      </c>
      <c r="Q21" s="57" t="str">
        <f>VLOOKUP(C21,'FIN CAL LOOKUP'!A:J,7,1)</f>
        <v>MAY, FY23</v>
      </c>
      <c r="R21" s="57" t="str">
        <f>VLOOKUP(C21,'FIN CAL LOOKUP'!A:J,10,1)</f>
        <v>Q4, FY23</v>
      </c>
    </row>
    <row r="22" spans="1:18" x14ac:dyDescent="0.25">
      <c r="A22" t="s">
        <v>698</v>
      </c>
      <c r="B22" s="58">
        <v>45062.601388888892</v>
      </c>
      <c r="C22" s="58">
        <v>45061.51666666667</v>
      </c>
      <c r="D22" t="s">
        <v>413</v>
      </c>
      <c r="E22" t="s">
        <v>414</v>
      </c>
      <c r="F22" t="s">
        <v>353</v>
      </c>
      <c r="H22" t="s">
        <v>9</v>
      </c>
      <c r="J22" t="s">
        <v>699</v>
      </c>
      <c r="K22" s="3" t="s">
        <v>1046</v>
      </c>
      <c r="L22" s="3" t="s">
        <v>1046</v>
      </c>
      <c r="M22" s="3" t="s">
        <v>1046</v>
      </c>
      <c r="N22" s="3" t="s">
        <v>1046</v>
      </c>
      <c r="P22" s="57" t="str">
        <f t="shared" si="0"/>
        <v>Anaconda DC</v>
      </c>
      <c r="Q22" s="57" t="str">
        <f>VLOOKUP(C22,'FIN CAL LOOKUP'!A:J,7,1)</f>
        <v>MAY, FY23</v>
      </c>
      <c r="R22" s="57" t="str">
        <f>VLOOKUP(C22,'FIN CAL LOOKUP'!A:J,10,1)</f>
        <v>Q4, FY23</v>
      </c>
    </row>
    <row r="23" spans="1:18" x14ac:dyDescent="0.25">
      <c r="A23" t="s">
        <v>700</v>
      </c>
      <c r="B23" s="58">
        <v>45062.605555555558</v>
      </c>
      <c r="C23" s="58">
        <v>45061.444444444445</v>
      </c>
      <c r="D23" t="s">
        <v>413</v>
      </c>
      <c r="E23" t="s">
        <v>414</v>
      </c>
      <c r="F23" t="s">
        <v>353</v>
      </c>
      <c r="H23" t="s">
        <v>9</v>
      </c>
      <c r="J23" t="s">
        <v>701</v>
      </c>
      <c r="K23" s="3" t="s">
        <v>1046</v>
      </c>
      <c r="L23" s="3" t="s">
        <v>1046</v>
      </c>
      <c r="M23" s="3" t="s">
        <v>1046</v>
      </c>
      <c r="N23" s="3" t="s">
        <v>1046</v>
      </c>
      <c r="P23" s="57" t="str">
        <f t="shared" si="0"/>
        <v>Anaconda DC</v>
      </c>
      <c r="Q23" s="57" t="str">
        <f>VLOOKUP(C23,'FIN CAL LOOKUP'!A:J,7,1)</f>
        <v>MAY, FY23</v>
      </c>
      <c r="R23" s="57" t="str">
        <f>VLOOKUP(C23,'FIN CAL LOOKUP'!A:J,10,1)</f>
        <v>Q4, FY23</v>
      </c>
    </row>
    <row r="24" spans="1:18" x14ac:dyDescent="0.25">
      <c r="A24" t="s">
        <v>702</v>
      </c>
      <c r="B24" s="58">
        <v>45064.426388888889</v>
      </c>
      <c r="C24" s="58">
        <v>45064.409722222219</v>
      </c>
      <c r="D24" t="s">
        <v>44</v>
      </c>
      <c r="E24" t="s">
        <v>415</v>
      </c>
      <c r="F24" t="s">
        <v>353</v>
      </c>
      <c r="H24" t="s">
        <v>18</v>
      </c>
      <c r="J24" t="s">
        <v>703</v>
      </c>
      <c r="K24" s="3" t="s">
        <v>875</v>
      </c>
      <c r="L24" s="3" t="s">
        <v>865</v>
      </c>
      <c r="M24" s="3" t="s">
        <v>877</v>
      </c>
      <c r="N24" s="3" t="s">
        <v>878</v>
      </c>
      <c r="P24" s="57" t="str">
        <f t="shared" si="0"/>
        <v>Spotlight DC</v>
      </c>
      <c r="Q24" s="57" t="str">
        <f>VLOOKUP(C24,'FIN CAL LOOKUP'!A:J,7,1)</f>
        <v>MAY, FY23</v>
      </c>
      <c r="R24" s="57" t="str">
        <f>VLOOKUP(C24,'FIN CAL LOOKUP'!A:J,10,1)</f>
        <v>Q4, FY23</v>
      </c>
    </row>
    <row r="25" spans="1:18" x14ac:dyDescent="0.25">
      <c r="A25" t="s">
        <v>704</v>
      </c>
      <c r="B25" s="58">
        <v>45065.34097222222</v>
      </c>
      <c r="C25" s="58">
        <v>45063.666666666664</v>
      </c>
      <c r="D25" t="s">
        <v>413</v>
      </c>
      <c r="E25" t="s">
        <v>414</v>
      </c>
      <c r="F25" t="s">
        <v>353</v>
      </c>
      <c r="H25" t="s">
        <v>9</v>
      </c>
      <c r="J25" t="s">
        <v>705</v>
      </c>
      <c r="K25" s="3" t="s">
        <v>1046</v>
      </c>
      <c r="L25" s="3" t="s">
        <v>1046</v>
      </c>
      <c r="M25" s="3" t="s">
        <v>1046</v>
      </c>
      <c r="N25" s="3" t="s">
        <v>1046</v>
      </c>
      <c r="P25" s="57" t="str">
        <f t="shared" si="0"/>
        <v>Anaconda DC</v>
      </c>
      <c r="Q25" s="57" t="str">
        <f>VLOOKUP(C25,'FIN CAL LOOKUP'!A:J,7,1)</f>
        <v>MAY, FY23</v>
      </c>
      <c r="R25" s="57" t="str">
        <f>VLOOKUP(C25,'FIN CAL LOOKUP'!A:J,10,1)</f>
        <v>Q4, FY23</v>
      </c>
    </row>
    <row r="26" spans="1:18" x14ac:dyDescent="0.25">
      <c r="A26" t="s">
        <v>706</v>
      </c>
      <c r="B26" s="58">
        <v>45068.536111111112</v>
      </c>
      <c r="C26" s="58">
        <v>45068.375</v>
      </c>
      <c r="D26" t="s">
        <v>413</v>
      </c>
      <c r="E26" t="s">
        <v>414</v>
      </c>
      <c r="F26" t="s">
        <v>353</v>
      </c>
      <c r="G26" t="s">
        <v>1004</v>
      </c>
      <c r="H26" t="s">
        <v>13</v>
      </c>
      <c r="I26" t="s">
        <v>27</v>
      </c>
      <c r="J26" t="s">
        <v>707</v>
      </c>
      <c r="K26" s="3" t="s">
        <v>875</v>
      </c>
      <c r="L26" s="3" t="s">
        <v>866</v>
      </c>
      <c r="M26" s="3" t="s">
        <v>879</v>
      </c>
      <c r="N26" s="3" t="s">
        <v>880</v>
      </c>
      <c r="O26" s="3" t="s">
        <v>1070</v>
      </c>
      <c r="P26" s="57" t="str">
        <f t="shared" si="0"/>
        <v>Anaconda DC</v>
      </c>
      <c r="Q26" s="57" t="str">
        <f>VLOOKUP(C26,'FIN CAL LOOKUP'!A:J,7,1)</f>
        <v>MAY, FY23</v>
      </c>
      <c r="R26" s="57" t="str">
        <f>VLOOKUP(C26,'FIN CAL LOOKUP'!A:J,10,1)</f>
        <v>Q4, FY23</v>
      </c>
    </row>
    <row r="27" spans="1:18" x14ac:dyDescent="0.25">
      <c r="A27" t="s">
        <v>708</v>
      </c>
      <c r="B27" s="58">
        <v>45069.396527777775</v>
      </c>
      <c r="C27" s="58">
        <v>45064.541666666664</v>
      </c>
      <c r="D27" t="s">
        <v>413</v>
      </c>
      <c r="E27" t="s">
        <v>414</v>
      </c>
      <c r="F27" t="s">
        <v>353</v>
      </c>
      <c r="H27" t="s">
        <v>9</v>
      </c>
      <c r="J27" t="s">
        <v>709</v>
      </c>
      <c r="K27" s="3" t="s">
        <v>1046</v>
      </c>
      <c r="L27" s="3" t="s">
        <v>1046</v>
      </c>
      <c r="M27" s="3" t="s">
        <v>1046</v>
      </c>
      <c r="N27" s="3" t="s">
        <v>1046</v>
      </c>
      <c r="P27" s="57" t="str">
        <f t="shared" si="0"/>
        <v>Anaconda DC</v>
      </c>
      <c r="Q27" s="57" t="str">
        <f>VLOOKUP(C27,'FIN CAL LOOKUP'!A:J,7,1)</f>
        <v>MAY, FY23</v>
      </c>
      <c r="R27" s="57" t="str">
        <f>VLOOKUP(C27,'FIN CAL LOOKUP'!A:J,10,1)</f>
        <v>Q4, FY23</v>
      </c>
    </row>
    <row r="28" spans="1:18" x14ac:dyDescent="0.25">
      <c r="A28" t="s">
        <v>710</v>
      </c>
      <c r="B28" s="58">
        <v>45070.355555555558</v>
      </c>
      <c r="C28" s="58">
        <v>45069.666666666664</v>
      </c>
      <c r="D28" t="s">
        <v>413</v>
      </c>
      <c r="E28" t="s">
        <v>414</v>
      </c>
      <c r="F28" t="s">
        <v>353</v>
      </c>
      <c r="H28" t="s">
        <v>9</v>
      </c>
      <c r="J28" t="s">
        <v>711</v>
      </c>
      <c r="K28" s="3" t="s">
        <v>1046</v>
      </c>
      <c r="L28" s="3" t="s">
        <v>1046</v>
      </c>
      <c r="M28" s="3" t="s">
        <v>1046</v>
      </c>
      <c r="N28" s="3" t="s">
        <v>1046</v>
      </c>
      <c r="P28" s="57" t="str">
        <f t="shared" si="0"/>
        <v>Anaconda DC</v>
      </c>
      <c r="Q28" s="57" t="str">
        <f>VLOOKUP(C28,'FIN CAL LOOKUP'!A:J,7,1)</f>
        <v>MAY, FY23</v>
      </c>
      <c r="R28" s="57" t="str">
        <f>VLOOKUP(C28,'FIN CAL LOOKUP'!A:J,10,1)</f>
        <v>Q4, FY23</v>
      </c>
    </row>
    <row r="29" spans="1:18" x14ac:dyDescent="0.25">
      <c r="A29" t="s">
        <v>712</v>
      </c>
      <c r="B29" s="58">
        <v>45070.361111111109</v>
      </c>
      <c r="C29" s="58">
        <v>45069.222222222219</v>
      </c>
      <c r="D29" t="s">
        <v>418</v>
      </c>
      <c r="E29" t="s">
        <v>415</v>
      </c>
      <c r="F29" t="s">
        <v>353</v>
      </c>
      <c r="H29" t="s">
        <v>9</v>
      </c>
      <c r="J29" t="s">
        <v>713</v>
      </c>
      <c r="K29" s="3" t="s">
        <v>1046</v>
      </c>
      <c r="L29" s="3" t="s">
        <v>1046</v>
      </c>
      <c r="M29" s="3" t="s">
        <v>1046</v>
      </c>
      <c r="N29" s="3" t="s">
        <v>1046</v>
      </c>
      <c r="P29" s="57" t="str">
        <f t="shared" si="0"/>
        <v>Spotlight DC</v>
      </c>
      <c r="Q29" s="57" t="str">
        <f>VLOOKUP(C29,'FIN CAL LOOKUP'!A:J,7,1)</f>
        <v>MAY, FY23</v>
      </c>
      <c r="R29" s="57" t="str">
        <f>VLOOKUP(C29,'FIN CAL LOOKUP'!A:J,10,1)</f>
        <v>Q4, FY23</v>
      </c>
    </row>
    <row r="30" spans="1:18" x14ac:dyDescent="0.25">
      <c r="A30" t="s">
        <v>714</v>
      </c>
      <c r="B30" s="58">
        <v>45078.362500000003</v>
      </c>
      <c r="C30" s="58">
        <v>45077.402777777781</v>
      </c>
      <c r="D30" t="s">
        <v>413</v>
      </c>
      <c r="E30" t="s">
        <v>414</v>
      </c>
      <c r="F30" t="s">
        <v>353</v>
      </c>
      <c r="H30" t="s">
        <v>9</v>
      </c>
      <c r="J30" t="s">
        <v>715</v>
      </c>
      <c r="K30" s="3" t="s">
        <v>1046</v>
      </c>
      <c r="L30" s="3" t="s">
        <v>1046</v>
      </c>
      <c r="M30" s="3" t="s">
        <v>1046</v>
      </c>
      <c r="N30" s="3" t="s">
        <v>1046</v>
      </c>
      <c r="P30" s="57" t="str">
        <f t="shared" si="0"/>
        <v>Anaconda DC</v>
      </c>
      <c r="Q30" s="57" t="str">
        <f>VLOOKUP(C30,'FIN CAL LOOKUP'!A:J,7,1)</f>
        <v>JUN, FY23</v>
      </c>
      <c r="R30" s="57" t="str">
        <f>VLOOKUP(C30,'FIN CAL LOOKUP'!A:J,10,1)</f>
        <v>Q4, FY23</v>
      </c>
    </row>
    <row r="31" spans="1:18" x14ac:dyDescent="0.25">
      <c r="A31" t="s">
        <v>716</v>
      </c>
      <c r="B31" s="58">
        <v>45079.367361111108</v>
      </c>
      <c r="C31" s="58">
        <v>45078.604166666664</v>
      </c>
      <c r="D31" t="s">
        <v>413</v>
      </c>
      <c r="E31" t="s">
        <v>414</v>
      </c>
      <c r="F31" t="s">
        <v>353</v>
      </c>
      <c r="H31" t="s">
        <v>18</v>
      </c>
      <c r="J31" t="s">
        <v>717</v>
      </c>
      <c r="K31" s="3" t="s">
        <v>1046</v>
      </c>
      <c r="L31" s="3" t="s">
        <v>1046</v>
      </c>
      <c r="M31" s="3" t="s">
        <v>1046</v>
      </c>
      <c r="N31" s="3" t="s">
        <v>1046</v>
      </c>
      <c r="P31" s="57" t="str">
        <f t="shared" si="0"/>
        <v>Anaconda DC</v>
      </c>
      <c r="Q31" s="57" t="str">
        <f>VLOOKUP(C31,'FIN CAL LOOKUP'!A:J,7,1)</f>
        <v>JUN, FY23</v>
      </c>
      <c r="R31" s="57" t="str">
        <f>VLOOKUP(C31,'FIN CAL LOOKUP'!A:J,10,1)</f>
        <v>Q4, FY23</v>
      </c>
    </row>
    <row r="32" spans="1:18" x14ac:dyDescent="0.25">
      <c r="A32" t="s">
        <v>718</v>
      </c>
      <c r="B32" s="58">
        <v>45082.788194444445</v>
      </c>
      <c r="C32" s="58">
        <v>45077.819444444445</v>
      </c>
      <c r="D32" t="s">
        <v>73</v>
      </c>
      <c r="E32" t="s">
        <v>415</v>
      </c>
      <c r="F32" t="s">
        <v>353</v>
      </c>
      <c r="H32" t="s">
        <v>9</v>
      </c>
      <c r="J32" t="s">
        <v>719</v>
      </c>
      <c r="K32" s="3" t="s">
        <v>1046</v>
      </c>
      <c r="L32" s="3" t="s">
        <v>1046</v>
      </c>
      <c r="M32" s="3" t="s">
        <v>1046</v>
      </c>
      <c r="N32" s="3" t="s">
        <v>1046</v>
      </c>
      <c r="P32" s="57" t="str">
        <f t="shared" si="0"/>
        <v>Spotlight DC</v>
      </c>
      <c r="Q32" s="57" t="str">
        <f>VLOOKUP(C32,'FIN CAL LOOKUP'!A:J,7,1)</f>
        <v>JUN, FY23</v>
      </c>
      <c r="R32" s="57" t="str">
        <f>VLOOKUP(C32,'FIN CAL LOOKUP'!A:J,10,1)</f>
        <v>Q4, FY23</v>
      </c>
    </row>
    <row r="33" spans="1:18" x14ac:dyDescent="0.25">
      <c r="A33" t="s">
        <v>720</v>
      </c>
      <c r="B33" s="58">
        <v>45092.431250000001</v>
      </c>
      <c r="C33" s="58">
        <v>45054.493055555555</v>
      </c>
      <c r="D33" t="s">
        <v>416</v>
      </c>
      <c r="E33" t="s">
        <v>415</v>
      </c>
      <c r="F33" t="s">
        <v>353</v>
      </c>
      <c r="G33" t="s">
        <v>1005</v>
      </c>
      <c r="H33" t="s">
        <v>13</v>
      </c>
      <c r="J33" t="s">
        <v>721</v>
      </c>
      <c r="K33" s="3" t="s">
        <v>881</v>
      </c>
      <c r="L33" s="3" t="s">
        <v>866</v>
      </c>
      <c r="M33" s="3" t="s">
        <v>882</v>
      </c>
      <c r="N33" s="3" t="s">
        <v>883</v>
      </c>
      <c r="O33" s="3" t="s">
        <v>257</v>
      </c>
      <c r="P33" s="57" t="str">
        <f t="shared" si="0"/>
        <v>Spotlight DC</v>
      </c>
      <c r="Q33" s="57" t="str">
        <f>VLOOKUP(C33,'FIN CAL LOOKUP'!A:J,7,1)</f>
        <v>MAY, FY23</v>
      </c>
      <c r="R33" s="57" t="str">
        <f>VLOOKUP(C33,'FIN CAL LOOKUP'!A:J,10,1)</f>
        <v>Q4, FY23</v>
      </c>
    </row>
    <row r="34" spans="1:18" x14ac:dyDescent="0.25">
      <c r="A34" t="s">
        <v>722</v>
      </c>
      <c r="B34" s="58">
        <v>45100.395138888889</v>
      </c>
      <c r="C34" s="58">
        <v>45099.475694444445</v>
      </c>
      <c r="D34" t="s">
        <v>413</v>
      </c>
      <c r="E34" t="s">
        <v>414</v>
      </c>
      <c r="F34" t="s">
        <v>353</v>
      </c>
      <c r="H34" t="s">
        <v>9</v>
      </c>
      <c r="J34" t="s">
        <v>723</v>
      </c>
      <c r="K34" s="3" t="s">
        <v>1046</v>
      </c>
      <c r="L34" s="3" t="s">
        <v>1046</v>
      </c>
      <c r="M34" s="3" t="s">
        <v>1046</v>
      </c>
      <c r="N34" s="3" t="s">
        <v>1046</v>
      </c>
      <c r="P34" s="57" t="str">
        <f t="shared" si="0"/>
        <v>Anaconda DC</v>
      </c>
      <c r="Q34" s="57" t="str">
        <f>VLOOKUP(C34,'FIN CAL LOOKUP'!A:J,7,1)</f>
        <v>JUN, FY23</v>
      </c>
      <c r="R34" s="57" t="str">
        <f>VLOOKUP(C34,'FIN CAL LOOKUP'!A:J,10,1)</f>
        <v>Q4, FY23</v>
      </c>
    </row>
    <row r="35" spans="1:18" x14ac:dyDescent="0.25">
      <c r="A35" t="s">
        <v>724</v>
      </c>
      <c r="B35" s="58">
        <v>45103.387499999997</v>
      </c>
      <c r="C35" s="58">
        <v>45103.375</v>
      </c>
      <c r="D35" t="s">
        <v>82</v>
      </c>
      <c r="E35" t="s">
        <v>415</v>
      </c>
      <c r="F35" t="s">
        <v>353</v>
      </c>
      <c r="H35" t="s">
        <v>13</v>
      </c>
      <c r="J35" t="s">
        <v>725</v>
      </c>
      <c r="K35" s="3" t="s">
        <v>1046</v>
      </c>
      <c r="L35" s="3" t="s">
        <v>1046</v>
      </c>
      <c r="M35" s="3" t="s">
        <v>1046</v>
      </c>
      <c r="N35" s="3" t="s">
        <v>1046</v>
      </c>
      <c r="P35" s="57" t="str">
        <f t="shared" si="0"/>
        <v>Spotlight DC</v>
      </c>
      <c r="Q35" s="57" t="str">
        <f>VLOOKUP(C35,'FIN CAL LOOKUP'!A:J,7,1)</f>
        <v>JUL, FY24</v>
      </c>
      <c r="R35" s="57" t="str">
        <f>VLOOKUP(C35,'FIN CAL LOOKUP'!A:J,10,1)</f>
        <v>Q1, FY24</v>
      </c>
    </row>
    <row r="36" spans="1:18" x14ac:dyDescent="0.25">
      <c r="A36" t="s">
        <v>726</v>
      </c>
      <c r="B36" s="58">
        <v>45117.489583333336</v>
      </c>
      <c r="C36" s="58">
        <v>45117.427083333336</v>
      </c>
      <c r="D36" t="s">
        <v>416</v>
      </c>
      <c r="E36" t="s">
        <v>414</v>
      </c>
      <c r="F36" t="s">
        <v>353</v>
      </c>
      <c r="H36" t="s">
        <v>9</v>
      </c>
      <c r="J36" t="s">
        <v>727</v>
      </c>
      <c r="K36" s="3" t="s">
        <v>1046</v>
      </c>
      <c r="L36" s="3" t="s">
        <v>1046</v>
      </c>
      <c r="M36" s="3" t="s">
        <v>1046</v>
      </c>
      <c r="N36" s="3" t="s">
        <v>1046</v>
      </c>
      <c r="P36" s="57" t="str">
        <f t="shared" si="0"/>
        <v>Anaconda DC</v>
      </c>
      <c r="Q36" s="57" t="str">
        <f>VLOOKUP(C36,'FIN CAL LOOKUP'!A:J,7,1)</f>
        <v>JUL, FY24</v>
      </c>
      <c r="R36" s="57" t="str">
        <f>VLOOKUP(C36,'FIN CAL LOOKUP'!A:J,10,1)</f>
        <v>Q1, FY24</v>
      </c>
    </row>
    <row r="37" spans="1:18" x14ac:dyDescent="0.25">
      <c r="A37" t="s">
        <v>728</v>
      </c>
      <c r="B37" s="58">
        <v>45118.454861111109</v>
      </c>
      <c r="C37" s="58">
        <v>45118.354166666664</v>
      </c>
      <c r="D37" t="s">
        <v>413</v>
      </c>
      <c r="E37" t="s">
        <v>414</v>
      </c>
      <c r="F37" t="s">
        <v>353</v>
      </c>
      <c r="H37" t="s">
        <v>9</v>
      </c>
      <c r="J37" t="s">
        <v>729</v>
      </c>
      <c r="K37" s="3" t="s">
        <v>1046</v>
      </c>
      <c r="L37" s="3" t="s">
        <v>1046</v>
      </c>
      <c r="M37" s="3" t="s">
        <v>1046</v>
      </c>
      <c r="N37" s="3" t="s">
        <v>1046</v>
      </c>
      <c r="P37" s="57" t="str">
        <f t="shared" si="0"/>
        <v>Anaconda DC</v>
      </c>
      <c r="Q37" s="57" t="str">
        <f>VLOOKUP(C37,'FIN CAL LOOKUP'!A:J,7,1)</f>
        <v>JUL, FY24</v>
      </c>
      <c r="R37" s="57" t="str">
        <f>VLOOKUP(C37,'FIN CAL LOOKUP'!A:J,10,1)</f>
        <v>Q1, FY24</v>
      </c>
    </row>
    <row r="38" spans="1:18" x14ac:dyDescent="0.25">
      <c r="A38" t="s">
        <v>730</v>
      </c>
      <c r="B38" s="58">
        <v>45121.34097222222</v>
      </c>
      <c r="C38" s="58">
        <v>45119.4375</v>
      </c>
      <c r="D38" t="s">
        <v>413</v>
      </c>
      <c r="E38" t="s">
        <v>414</v>
      </c>
      <c r="F38" t="s">
        <v>353</v>
      </c>
      <c r="H38" t="s">
        <v>9</v>
      </c>
      <c r="J38" t="s">
        <v>731</v>
      </c>
      <c r="K38" s="3" t="s">
        <v>1046</v>
      </c>
      <c r="L38" s="3" t="s">
        <v>1046</v>
      </c>
      <c r="M38" s="3" t="s">
        <v>1046</v>
      </c>
      <c r="N38" s="3" t="s">
        <v>1046</v>
      </c>
      <c r="P38" s="57" t="str">
        <f t="shared" si="0"/>
        <v>Anaconda DC</v>
      </c>
      <c r="Q38" s="57" t="str">
        <f>VLOOKUP(C38,'FIN CAL LOOKUP'!A:J,7,1)</f>
        <v>JUL, FY24</v>
      </c>
      <c r="R38" s="57" t="str">
        <f>VLOOKUP(C38,'FIN CAL LOOKUP'!A:J,10,1)</f>
        <v>Q1, FY24</v>
      </c>
    </row>
    <row r="39" spans="1:18" x14ac:dyDescent="0.25">
      <c r="A39" t="s">
        <v>732</v>
      </c>
      <c r="B39" s="58">
        <v>45126.355555555558</v>
      </c>
      <c r="C39" s="58">
        <v>45120.541666666664</v>
      </c>
      <c r="D39" t="s">
        <v>413</v>
      </c>
      <c r="E39" t="s">
        <v>414</v>
      </c>
      <c r="F39" t="s">
        <v>353</v>
      </c>
      <c r="H39" t="s">
        <v>9</v>
      </c>
      <c r="J39" t="s">
        <v>733</v>
      </c>
      <c r="K39" s="3" t="s">
        <v>1046</v>
      </c>
      <c r="L39" s="3" t="s">
        <v>1046</v>
      </c>
      <c r="M39" s="3" t="s">
        <v>1046</v>
      </c>
      <c r="N39" s="3" t="s">
        <v>1046</v>
      </c>
      <c r="P39" s="57" t="str">
        <f t="shared" si="0"/>
        <v>Anaconda DC</v>
      </c>
      <c r="Q39" s="57" t="str">
        <f>VLOOKUP(C39,'FIN CAL LOOKUP'!A:J,7,1)</f>
        <v>JUL, FY24</v>
      </c>
      <c r="R39" s="57" t="str">
        <f>VLOOKUP(C39,'FIN CAL LOOKUP'!A:J,10,1)</f>
        <v>Q1, FY24</v>
      </c>
    </row>
    <row r="40" spans="1:18" x14ac:dyDescent="0.25">
      <c r="A40" t="s">
        <v>734</v>
      </c>
      <c r="B40" s="58">
        <v>45131.349305555559</v>
      </c>
      <c r="C40" s="58">
        <v>45128.690972222219</v>
      </c>
      <c r="D40" t="s">
        <v>413</v>
      </c>
      <c r="E40" t="s">
        <v>414</v>
      </c>
      <c r="F40" t="s">
        <v>353</v>
      </c>
      <c r="H40" t="s">
        <v>18</v>
      </c>
      <c r="J40" t="s">
        <v>735</v>
      </c>
      <c r="K40" s="3" t="s">
        <v>871</v>
      </c>
      <c r="L40" s="3" t="s">
        <v>866</v>
      </c>
      <c r="M40" s="3" t="s">
        <v>884</v>
      </c>
      <c r="N40" s="3" t="s">
        <v>885</v>
      </c>
      <c r="P40" s="57" t="str">
        <f t="shared" si="0"/>
        <v>Anaconda DC</v>
      </c>
      <c r="Q40" s="57" t="str">
        <f>VLOOKUP(C40,'FIN CAL LOOKUP'!A:J,7,1)</f>
        <v>JUL, FY24</v>
      </c>
      <c r="R40" s="57" t="str">
        <f>VLOOKUP(C40,'FIN CAL LOOKUP'!A:J,10,1)</f>
        <v>Q1, FY24</v>
      </c>
    </row>
    <row r="41" spans="1:18" x14ac:dyDescent="0.25">
      <c r="A41" t="s">
        <v>736</v>
      </c>
      <c r="B41" s="58">
        <v>45131.404166666667</v>
      </c>
      <c r="C41" s="58">
        <v>45126.333333333336</v>
      </c>
      <c r="D41" t="s">
        <v>413</v>
      </c>
      <c r="E41" t="s">
        <v>414</v>
      </c>
      <c r="F41" t="s">
        <v>353</v>
      </c>
      <c r="H41" t="s">
        <v>18</v>
      </c>
      <c r="J41" t="s">
        <v>737</v>
      </c>
      <c r="K41" s="3" t="s">
        <v>881</v>
      </c>
      <c r="L41" s="3" t="s">
        <v>866</v>
      </c>
      <c r="M41" s="3" t="s">
        <v>886</v>
      </c>
      <c r="N41" s="3" t="s">
        <v>887</v>
      </c>
      <c r="P41" s="57" t="str">
        <f t="shared" si="0"/>
        <v>Anaconda DC</v>
      </c>
      <c r="Q41" s="57" t="str">
        <f>VLOOKUP(C41,'FIN CAL LOOKUP'!A:J,7,1)</f>
        <v>JUL, FY24</v>
      </c>
      <c r="R41" s="57" t="str">
        <f>VLOOKUP(C41,'FIN CAL LOOKUP'!A:J,10,1)</f>
        <v>Q1, FY24</v>
      </c>
    </row>
    <row r="42" spans="1:18" x14ac:dyDescent="0.25">
      <c r="A42" t="s">
        <v>738</v>
      </c>
      <c r="B42" s="58">
        <v>45131.484722222223</v>
      </c>
      <c r="C42" s="58">
        <v>45131.458333333336</v>
      </c>
      <c r="D42" t="s">
        <v>413</v>
      </c>
      <c r="E42" t="s">
        <v>414</v>
      </c>
      <c r="F42" t="s">
        <v>353</v>
      </c>
      <c r="H42" t="s">
        <v>18</v>
      </c>
      <c r="J42" t="s">
        <v>739</v>
      </c>
      <c r="K42" s="3" t="s">
        <v>875</v>
      </c>
      <c r="L42" s="3" t="s">
        <v>866</v>
      </c>
      <c r="M42" s="3" t="s">
        <v>888</v>
      </c>
      <c r="N42" s="3" t="s">
        <v>889</v>
      </c>
      <c r="P42" s="57" t="str">
        <f t="shared" si="0"/>
        <v>Anaconda DC</v>
      </c>
      <c r="Q42" s="57" t="str">
        <f>VLOOKUP(C42,'FIN CAL LOOKUP'!A:J,7,1)</f>
        <v>AUG, FY24</v>
      </c>
      <c r="R42" s="57" t="str">
        <f>VLOOKUP(C42,'FIN CAL LOOKUP'!A:J,10,1)</f>
        <v>Q1, FY24</v>
      </c>
    </row>
    <row r="43" spans="1:18" x14ac:dyDescent="0.25">
      <c r="A43" t="s">
        <v>740</v>
      </c>
      <c r="B43" s="58">
        <v>45132.625</v>
      </c>
      <c r="C43" s="58">
        <v>45090.833333333336</v>
      </c>
      <c r="D43" t="s">
        <v>413</v>
      </c>
      <c r="E43" t="s">
        <v>414</v>
      </c>
      <c r="F43" t="s">
        <v>353</v>
      </c>
      <c r="G43" t="s">
        <v>1006</v>
      </c>
      <c r="H43" t="s">
        <v>13</v>
      </c>
      <c r="I43" t="s">
        <v>14</v>
      </c>
      <c r="J43" t="s">
        <v>741</v>
      </c>
      <c r="K43" s="3" t="s">
        <v>881</v>
      </c>
      <c r="L43" s="3" t="s">
        <v>866</v>
      </c>
      <c r="M43" s="3" t="s">
        <v>890</v>
      </c>
      <c r="N43" s="3" t="s">
        <v>891</v>
      </c>
      <c r="O43" s="3" t="s">
        <v>257</v>
      </c>
      <c r="P43" s="57" t="str">
        <f t="shared" si="0"/>
        <v>Anaconda DC</v>
      </c>
      <c r="Q43" s="57" t="str">
        <f>VLOOKUP(C43,'FIN CAL LOOKUP'!A:J,7,1)</f>
        <v>JUN, FY23</v>
      </c>
      <c r="R43" s="57" t="str">
        <f>VLOOKUP(C43,'FIN CAL LOOKUP'!A:J,10,1)</f>
        <v>Q4, FY23</v>
      </c>
    </row>
    <row r="44" spans="1:18" x14ac:dyDescent="0.25">
      <c r="A44" t="s">
        <v>742</v>
      </c>
      <c r="B44" s="58">
        <v>45138.468055555553</v>
      </c>
      <c r="C44" s="58">
        <v>45134.52847222222</v>
      </c>
      <c r="D44" t="s">
        <v>413</v>
      </c>
      <c r="E44" t="s">
        <v>414</v>
      </c>
      <c r="F44" t="s">
        <v>353</v>
      </c>
      <c r="G44" t="s">
        <v>1007</v>
      </c>
      <c r="H44" t="s">
        <v>13</v>
      </c>
      <c r="J44" t="s">
        <v>743</v>
      </c>
      <c r="K44" s="3" t="s">
        <v>875</v>
      </c>
      <c r="L44" s="3" t="s">
        <v>866</v>
      </c>
      <c r="M44" s="3" t="s">
        <v>892</v>
      </c>
      <c r="N44" s="3" t="s">
        <v>893</v>
      </c>
      <c r="O44" s="3" t="s">
        <v>257</v>
      </c>
      <c r="P44" s="57" t="str">
        <f t="shared" si="0"/>
        <v>Anaconda DC</v>
      </c>
      <c r="Q44" s="57" t="str">
        <f>VLOOKUP(C44,'FIN CAL LOOKUP'!A:J,7,1)</f>
        <v>AUG, FY24</v>
      </c>
      <c r="R44" s="57" t="str">
        <f>VLOOKUP(C44,'FIN CAL LOOKUP'!A:J,10,1)</f>
        <v>Q1, FY24</v>
      </c>
    </row>
    <row r="45" spans="1:18" x14ac:dyDescent="0.25">
      <c r="A45" t="s">
        <v>744</v>
      </c>
      <c r="B45" s="58">
        <v>45145.470138888886</v>
      </c>
      <c r="C45" s="58">
        <v>45133.333333333336</v>
      </c>
      <c r="D45" t="s">
        <v>413</v>
      </c>
      <c r="E45" t="s">
        <v>414</v>
      </c>
      <c r="F45" t="s">
        <v>353</v>
      </c>
      <c r="G45" t="s">
        <v>1008</v>
      </c>
      <c r="H45" t="s">
        <v>13</v>
      </c>
      <c r="J45" t="s">
        <v>745</v>
      </c>
      <c r="K45" s="3" t="s">
        <v>875</v>
      </c>
      <c r="L45" s="3" t="s">
        <v>865</v>
      </c>
      <c r="N45" s="3" t="s">
        <v>1049</v>
      </c>
      <c r="O45" s="3" t="s">
        <v>1029</v>
      </c>
      <c r="P45" s="57" t="str">
        <f t="shared" si="0"/>
        <v>Anaconda DC</v>
      </c>
      <c r="Q45" s="57" t="str">
        <f>VLOOKUP(C45,'FIN CAL LOOKUP'!A:J,7,1)</f>
        <v>AUG, FY24</v>
      </c>
      <c r="R45" s="57" t="str">
        <f>VLOOKUP(C45,'FIN CAL LOOKUP'!A:J,10,1)</f>
        <v>Q1, FY24</v>
      </c>
    </row>
    <row r="46" spans="1:18" x14ac:dyDescent="0.25">
      <c r="A46" t="s">
        <v>746</v>
      </c>
      <c r="B46" s="58">
        <v>45159.357638888891</v>
      </c>
      <c r="C46" s="58">
        <v>45159.28125</v>
      </c>
      <c r="D46" t="s">
        <v>413</v>
      </c>
      <c r="E46" t="s">
        <v>414</v>
      </c>
      <c r="F46" t="s">
        <v>353</v>
      </c>
      <c r="H46" t="s">
        <v>9</v>
      </c>
      <c r="J46" t="s">
        <v>747</v>
      </c>
      <c r="K46" s="3" t="s">
        <v>1046</v>
      </c>
      <c r="L46" s="3" t="s">
        <v>1046</v>
      </c>
      <c r="M46" s="3" t="s">
        <v>1046</v>
      </c>
      <c r="N46" s="3" t="s">
        <v>1046</v>
      </c>
      <c r="P46" s="57" t="str">
        <f t="shared" si="0"/>
        <v>Anaconda DC</v>
      </c>
      <c r="Q46" s="57" t="str">
        <f>VLOOKUP(C46,'FIN CAL LOOKUP'!A:J,7,1)</f>
        <v>AUG, FY24</v>
      </c>
      <c r="R46" s="57" t="str">
        <f>VLOOKUP(C46,'FIN CAL LOOKUP'!A:J,10,1)</f>
        <v>Q1, FY24</v>
      </c>
    </row>
    <row r="47" spans="1:18" x14ac:dyDescent="0.25">
      <c r="A47" t="s">
        <v>748</v>
      </c>
      <c r="B47" s="58">
        <v>45160.629861111112</v>
      </c>
      <c r="C47" s="58">
        <v>45160.239583333336</v>
      </c>
      <c r="D47" t="s">
        <v>416</v>
      </c>
      <c r="E47" t="s">
        <v>414</v>
      </c>
      <c r="F47" t="s">
        <v>353</v>
      </c>
      <c r="G47" t="s">
        <v>1009</v>
      </c>
      <c r="H47" t="s">
        <v>13</v>
      </c>
      <c r="I47" t="s">
        <v>27</v>
      </c>
      <c r="J47" t="s">
        <v>749</v>
      </c>
      <c r="K47" s="3" t="s">
        <v>881</v>
      </c>
      <c r="L47" s="3" t="s">
        <v>52</v>
      </c>
      <c r="M47" s="3" t="s">
        <v>894</v>
      </c>
      <c r="N47" s="3" t="s">
        <v>895</v>
      </c>
      <c r="O47" s="3" t="s">
        <v>257</v>
      </c>
      <c r="P47" s="57" t="str">
        <f t="shared" si="0"/>
        <v>Anaconda DC</v>
      </c>
      <c r="Q47" s="57" t="str">
        <f>VLOOKUP(C47,'FIN CAL LOOKUP'!A:J,7,1)</f>
        <v>AUG, FY24</v>
      </c>
      <c r="R47" s="57" t="str">
        <f>VLOOKUP(C47,'FIN CAL LOOKUP'!A:J,10,1)</f>
        <v>Q1, FY24</v>
      </c>
    </row>
    <row r="48" spans="1:18" x14ac:dyDescent="0.25">
      <c r="A48" t="s">
        <v>750</v>
      </c>
      <c r="B48" s="58">
        <v>45161.819444444445</v>
      </c>
      <c r="C48" s="58">
        <v>45161.763888888891</v>
      </c>
      <c r="D48" t="s">
        <v>73</v>
      </c>
      <c r="E48" t="s">
        <v>415</v>
      </c>
      <c r="F48" t="s">
        <v>353</v>
      </c>
      <c r="H48" t="s">
        <v>9</v>
      </c>
      <c r="J48" t="s">
        <v>751</v>
      </c>
      <c r="K48" s="3" t="s">
        <v>1046</v>
      </c>
      <c r="L48" s="3" t="s">
        <v>1046</v>
      </c>
      <c r="M48" s="3" t="s">
        <v>1046</v>
      </c>
      <c r="N48" s="3" t="s">
        <v>1046</v>
      </c>
      <c r="P48" s="57" t="str">
        <f t="shared" si="0"/>
        <v>Spotlight DC</v>
      </c>
      <c r="Q48" s="57" t="str">
        <f>VLOOKUP(C48,'FIN CAL LOOKUP'!A:J,7,1)</f>
        <v>AUG, FY24</v>
      </c>
      <c r="R48" s="57" t="str">
        <f>VLOOKUP(C48,'FIN CAL LOOKUP'!A:J,10,1)</f>
        <v>Q1, FY24</v>
      </c>
    </row>
    <row r="49" spans="1:18" x14ac:dyDescent="0.25">
      <c r="A49" t="s">
        <v>752</v>
      </c>
      <c r="B49" s="58">
        <v>45162.34375</v>
      </c>
      <c r="C49" s="58">
        <v>45161.569444444445</v>
      </c>
      <c r="D49" t="s">
        <v>413</v>
      </c>
      <c r="E49" t="s">
        <v>414</v>
      </c>
      <c r="F49" t="s">
        <v>353</v>
      </c>
      <c r="H49" t="s">
        <v>9</v>
      </c>
      <c r="J49" t="s">
        <v>753</v>
      </c>
      <c r="K49" s="3" t="s">
        <v>1046</v>
      </c>
      <c r="L49" s="3" t="s">
        <v>1046</v>
      </c>
      <c r="M49" s="3" t="s">
        <v>1046</v>
      </c>
      <c r="N49" s="3" t="s">
        <v>1046</v>
      </c>
      <c r="P49" s="57" t="str">
        <f t="shared" si="0"/>
        <v>Anaconda DC</v>
      </c>
      <c r="Q49" s="57" t="str">
        <f>VLOOKUP(C49,'FIN CAL LOOKUP'!A:J,7,1)</f>
        <v>AUG, FY24</v>
      </c>
      <c r="R49" s="57" t="str">
        <f>VLOOKUP(C49,'FIN CAL LOOKUP'!A:J,10,1)</f>
        <v>Q1, FY24</v>
      </c>
    </row>
    <row r="50" spans="1:18" x14ac:dyDescent="0.25">
      <c r="A50" t="s">
        <v>754</v>
      </c>
      <c r="B50" s="58">
        <v>45166.375</v>
      </c>
      <c r="C50" s="58">
        <v>45163.458333333336</v>
      </c>
      <c r="D50" t="s">
        <v>413</v>
      </c>
      <c r="E50" t="s">
        <v>414</v>
      </c>
      <c r="F50" t="s">
        <v>353</v>
      </c>
      <c r="H50" t="s">
        <v>9</v>
      </c>
      <c r="J50" t="s">
        <v>755</v>
      </c>
      <c r="K50" s="3" t="s">
        <v>1046</v>
      </c>
      <c r="L50" s="3" t="s">
        <v>1046</v>
      </c>
      <c r="M50" s="3" t="s">
        <v>1046</v>
      </c>
      <c r="N50" s="3" t="s">
        <v>1046</v>
      </c>
      <c r="P50" s="57" t="str">
        <f t="shared" si="0"/>
        <v>Anaconda DC</v>
      </c>
      <c r="Q50" s="57" t="str">
        <f>VLOOKUP(C50,'FIN CAL LOOKUP'!A:J,7,1)</f>
        <v>AUG, FY24</v>
      </c>
      <c r="R50" s="57" t="str">
        <f>VLOOKUP(C50,'FIN CAL LOOKUP'!A:J,10,1)</f>
        <v>Q1, FY24</v>
      </c>
    </row>
    <row r="51" spans="1:18" x14ac:dyDescent="0.25">
      <c r="A51" t="s">
        <v>756</v>
      </c>
      <c r="B51" s="58">
        <v>45166.380555555559</v>
      </c>
      <c r="C51" s="58">
        <v>45163.466666666667</v>
      </c>
      <c r="D51" t="s">
        <v>413</v>
      </c>
      <c r="E51" t="s">
        <v>414</v>
      </c>
      <c r="F51" t="s">
        <v>353</v>
      </c>
      <c r="H51" t="s">
        <v>9</v>
      </c>
      <c r="J51" t="s">
        <v>757</v>
      </c>
      <c r="K51" s="3" t="s">
        <v>1046</v>
      </c>
      <c r="L51" s="3" t="s">
        <v>1046</v>
      </c>
      <c r="M51" s="3" t="s">
        <v>1046</v>
      </c>
      <c r="N51" s="3" t="s">
        <v>1046</v>
      </c>
      <c r="P51" s="57" t="str">
        <f t="shared" si="0"/>
        <v>Anaconda DC</v>
      </c>
      <c r="Q51" s="57" t="str">
        <f>VLOOKUP(C51,'FIN CAL LOOKUP'!A:J,7,1)</f>
        <v>AUG, FY24</v>
      </c>
      <c r="R51" s="57" t="str">
        <f>VLOOKUP(C51,'FIN CAL LOOKUP'!A:J,10,1)</f>
        <v>Q1, FY24</v>
      </c>
    </row>
    <row r="52" spans="1:18" x14ac:dyDescent="0.25">
      <c r="A52" t="s">
        <v>758</v>
      </c>
      <c r="B52" s="58">
        <v>45166.523611111108</v>
      </c>
      <c r="C52" s="58">
        <v>45163.521527777775</v>
      </c>
      <c r="D52" t="s">
        <v>413</v>
      </c>
      <c r="E52" t="s">
        <v>414</v>
      </c>
      <c r="F52" t="s">
        <v>353</v>
      </c>
      <c r="H52" t="s">
        <v>18</v>
      </c>
      <c r="J52" t="s">
        <v>759</v>
      </c>
      <c r="K52" s="3" t="s">
        <v>859</v>
      </c>
      <c r="L52" s="3" t="s">
        <v>860</v>
      </c>
      <c r="N52" s="3" t="s">
        <v>1050</v>
      </c>
      <c r="P52" s="57" t="str">
        <f t="shared" si="0"/>
        <v>Anaconda DC</v>
      </c>
      <c r="Q52" s="57" t="str">
        <f>VLOOKUP(C52,'FIN CAL LOOKUP'!A:J,7,1)</f>
        <v>AUG, FY24</v>
      </c>
      <c r="R52" s="57" t="str">
        <f>VLOOKUP(C52,'FIN CAL LOOKUP'!A:J,10,1)</f>
        <v>Q1, FY24</v>
      </c>
    </row>
    <row r="53" spans="1:18" x14ac:dyDescent="0.25">
      <c r="A53" t="s">
        <v>760</v>
      </c>
      <c r="B53" s="58">
        <v>45166.536805555559</v>
      </c>
      <c r="C53" s="58">
        <v>45163.46875</v>
      </c>
      <c r="D53" t="s">
        <v>413</v>
      </c>
      <c r="E53" t="s">
        <v>414</v>
      </c>
      <c r="F53" t="s">
        <v>353</v>
      </c>
      <c r="H53" t="s">
        <v>9</v>
      </c>
      <c r="J53" t="s">
        <v>761</v>
      </c>
      <c r="K53" s="3" t="s">
        <v>1046</v>
      </c>
      <c r="L53" s="3" t="s">
        <v>1046</v>
      </c>
      <c r="M53" s="3" t="s">
        <v>1046</v>
      </c>
      <c r="N53" s="3" t="s">
        <v>1046</v>
      </c>
      <c r="P53" s="57" t="str">
        <f t="shared" si="0"/>
        <v>Anaconda DC</v>
      </c>
      <c r="Q53" s="57" t="str">
        <f>VLOOKUP(C53,'FIN CAL LOOKUP'!A:J,7,1)</f>
        <v>AUG, FY24</v>
      </c>
      <c r="R53" s="57" t="str">
        <f>VLOOKUP(C53,'FIN CAL LOOKUP'!A:J,10,1)</f>
        <v>Q1, FY24</v>
      </c>
    </row>
    <row r="54" spans="1:18" x14ac:dyDescent="0.25">
      <c r="A54" t="s">
        <v>762</v>
      </c>
      <c r="B54" s="58">
        <v>45166.538888888892</v>
      </c>
      <c r="C54" s="58">
        <v>45166.3125</v>
      </c>
      <c r="D54" t="s">
        <v>413</v>
      </c>
      <c r="E54" t="s">
        <v>414</v>
      </c>
      <c r="F54" t="s">
        <v>353</v>
      </c>
      <c r="H54" t="s">
        <v>18</v>
      </c>
      <c r="J54" t="s">
        <v>763</v>
      </c>
      <c r="K54" s="3" t="s">
        <v>865</v>
      </c>
      <c r="L54" s="3" t="s">
        <v>896</v>
      </c>
      <c r="N54" s="3" t="s">
        <v>1051</v>
      </c>
      <c r="P54" s="57" t="str">
        <f t="shared" si="0"/>
        <v>Anaconda DC</v>
      </c>
      <c r="Q54" s="57" t="str">
        <f>VLOOKUP(C54,'FIN CAL LOOKUP'!A:J,7,1)</f>
        <v>SEP, FY24</v>
      </c>
      <c r="R54" s="57" t="str">
        <f>VLOOKUP(C54,'FIN CAL LOOKUP'!A:J,10,1)</f>
        <v>Q1, FY24</v>
      </c>
    </row>
    <row r="55" spans="1:18" x14ac:dyDescent="0.25">
      <c r="A55" t="s">
        <v>764</v>
      </c>
      <c r="B55" s="58">
        <v>45168.537499999999</v>
      </c>
      <c r="C55" s="58">
        <v>45168.416666666664</v>
      </c>
      <c r="D55" t="s">
        <v>413</v>
      </c>
      <c r="E55" t="s">
        <v>414</v>
      </c>
      <c r="F55" t="s">
        <v>353</v>
      </c>
      <c r="G55" t="s">
        <v>1002</v>
      </c>
      <c r="H55" t="s">
        <v>13</v>
      </c>
      <c r="J55" t="s">
        <v>765</v>
      </c>
      <c r="K55" s="3" t="s">
        <v>871</v>
      </c>
      <c r="L55" s="3" t="s">
        <v>866</v>
      </c>
      <c r="M55" s="3" t="s">
        <v>897</v>
      </c>
      <c r="N55" s="3" t="s">
        <v>898</v>
      </c>
      <c r="O55" s="3" t="s">
        <v>257</v>
      </c>
      <c r="P55" s="57" t="str">
        <f t="shared" si="0"/>
        <v>Anaconda DC</v>
      </c>
      <c r="Q55" s="57" t="str">
        <f>VLOOKUP(C55,'FIN CAL LOOKUP'!A:J,7,1)</f>
        <v>SEP, FY24</v>
      </c>
      <c r="R55" s="57" t="str">
        <f>VLOOKUP(C55,'FIN CAL LOOKUP'!A:J,10,1)</f>
        <v>Q1, FY24</v>
      </c>
    </row>
    <row r="56" spans="1:18" x14ac:dyDescent="0.25">
      <c r="A56" t="s">
        <v>766</v>
      </c>
      <c r="B56" s="58">
        <v>45173.43472222222</v>
      </c>
      <c r="C56" s="58">
        <v>45146.458333333336</v>
      </c>
      <c r="D56" t="s">
        <v>413</v>
      </c>
      <c r="E56" t="s">
        <v>414</v>
      </c>
      <c r="F56" t="s">
        <v>353</v>
      </c>
      <c r="G56" t="s">
        <v>1010</v>
      </c>
      <c r="H56" t="s">
        <v>13</v>
      </c>
      <c r="I56" t="s">
        <v>27</v>
      </c>
      <c r="J56" t="s">
        <v>767</v>
      </c>
      <c r="K56" s="3" t="s">
        <v>53</v>
      </c>
      <c r="L56" s="3" t="s">
        <v>52</v>
      </c>
      <c r="M56" s="3" t="s">
        <v>872</v>
      </c>
      <c r="N56" s="3" t="s">
        <v>899</v>
      </c>
      <c r="O56" s="3" t="s">
        <v>257</v>
      </c>
      <c r="P56" s="57" t="str">
        <f t="shared" si="0"/>
        <v>Anaconda DC</v>
      </c>
      <c r="Q56" s="57" t="str">
        <f>VLOOKUP(C56,'FIN CAL LOOKUP'!A:J,7,1)</f>
        <v>AUG, FY24</v>
      </c>
      <c r="R56" s="57" t="str">
        <f>VLOOKUP(C56,'FIN CAL LOOKUP'!A:J,10,1)</f>
        <v>Q1, FY24</v>
      </c>
    </row>
    <row r="57" spans="1:18" x14ac:dyDescent="0.25">
      <c r="A57" t="s">
        <v>768</v>
      </c>
      <c r="B57" s="58">
        <v>45174.820833333331</v>
      </c>
      <c r="C57" s="58">
        <v>45170.6875</v>
      </c>
      <c r="D57" t="s">
        <v>73</v>
      </c>
      <c r="E57" t="s">
        <v>415</v>
      </c>
      <c r="F57" t="s">
        <v>353</v>
      </c>
      <c r="H57" t="s">
        <v>9</v>
      </c>
      <c r="J57" t="s">
        <v>769</v>
      </c>
      <c r="K57" s="3" t="s">
        <v>1046</v>
      </c>
      <c r="L57" s="3" t="s">
        <v>1046</v>
      </c>
      <c r="M57" s="3" t="s">
        <v>1046</v>
      </c>
      <c r="N57" s="3" t="s">
        <v>1046</v>
      </c>
      <c r="P57" s="57" t="str">
        <f t="shared" si="0"/>
        <v>Spotlight DC</v>
      </c>
      <c r="Q57" s="57" t="str">
        <f>VLOOKUP(C57,'FIN CAL LOOKUP'!A:J,7,1)</f>
        <v>SEP, FY24</v>
      </c>
      <c r="R57" s="57" t="str">
        <f>VLOOKUP(C57,'FIN CAL LOOKUP'!A:J,10,1)</f>
        <v>Q1, FY24</v>
      </c>
    </row>
    <row r="58" spans="1:18" x14ac:dyDescent="0.25">
      <c r="A58" t="s">
        <v>770</v>
      </c>
      <c r="B58" s="58">
        <v>45180.404861111114</v>
      </c>
      <c r="C58" s="58">
        <v>45177.545138888891</v>
      </c>
      <c r="D58" t="s">
        <v>41</v>
      </c>
      <c r="E58" t="s">
        <v>414</v>
      </c>
      <c r="F58" t="s">
        <v>353</v>
      </c>
      <c r="H58" t="s">
        <v>9</v>
      </c>
      <c r="J58" t="s">
        <v>771</v>
      </c>
      <c r="K58" s="3" t="s">
        <v>1046</v>
      </c>
      <c r="L58" s="3" t="s">
        <v>1046</v>
      </c>
      <c r="M58" s="3" t="s">
        <v>1046</v>
      </c>
      <c r="N58" s="3" t="s">
        <v>1046</v>
      </c>
      <c r="P58" s="57" t="str">
        <f t="shared" si="0"/>
        <v>Anaconda DC</v>
      </c>
      <c r="Q58" s="57" t="str">
        <f>VLOOKUP(C58,'FIN CAL LOOKUP'!A:J,7,1)</f>
        <v>SEP, FY24</v>
      </c>
      <c r="R58" s="57" t="str">
        <f>VLOOKUP(C58,'FIN CAL LOOKUP'!A:J,10,1)</f>
        <v>Q1, FY24</v>
      </c>
    </row>
    <row r="59" spans="1:18" x14ac:dyDescent="0.25">
      <c r="A59" t="s">
        <v>772</v>
      </c>
      <c r="B59" s="58">
        <v>45181.361111111109</v>
      </c>
      <c r="C59" s="58">
        <v>45177.527777777781</v>
      </c>
      <c r="D59" t="s">
        <v>418</v>
      </c>
      <c r="E59" t="s">
        <v>415</v>
      </c>
      <c r="F59" t="s">
        <v>353</v>
      </c>
      <c r="H59" t="s">
        <v>9</v>
      </c>
      <c r="J59" t="s">
        <v>773</v>
      </c>
      <c r="K59" s="3" t="s">
        <v>1046</v>
      </c>
      <c r="L59" s="3" t="s">
        <v>1046</v>
      </c>
      <c r="M59" s="3" t="s">
        <v>1046</v>
      </c>
      <c r="N59" s="3" t="s">
        <v>1046</v>
      </c>
      <c r="P59" s="57" t="str">
        <f t="shared" si="0"/>
        <v>Spotlight DC</v>
      </c>
      <c r="Q59" s="57" t="str">
        <f>VLOOKUP(C59,'FIN CAL LOOKUP'!A:J,7,1)</f>
        <v>SEP, FY24</v>
      </c>
      <c r="R59" s="57" t="str">
        <f>VLOOKUP(C59,'FIN CAL LOOKUP'!A:J,10,1)</f>
        <v>Q1, FY24</v>
      </c>
    </row>
    <row r="60" spans="1:18" x14ac:dyDescent="0.25">
      <c r="A60" t="s">
        <v>774</v>
      </c>
      <c r="B60" s="58">
        <v>45184.5625</v>
      </c>
      <c r="C60" s="58">
        <v>45184.482638888891</v>
      </c>
      <c r="D60" t="s">
        <v>416</v>
      </c>
      <c r="E60" t="s">
        <v>414</v>
      </c>
      <c r="F60" t="s">
        <v>353</v>
      </c>
      <c r="G60" t="s">
        <v>1000</v>
      </c>
      <c r="H60" t="s">
        <v>13</v>
      </c>
      <c r="I60" t="s">
        <v>27</v>
      </c>
      <c r="J60" t="s">
        <v>775</v>
      </c>
      <c r="K60" s="3" t="s">
        <v>871</v>
      </c>
      <c r="L60" s="3" t="s">
        <v>866</v>
      </c>
      <c r="M60" s="3" t="s">
        <v>890</v>
      </c>
      <c r="N60" s="3" t="s">
        <v>900</v>
      </c>
      <c r="O60" s="3" t="s">
        <v>1029</v>
      </c>
      <c r="P60" s="57" t="str">
        <f t="shared" si="0"/>
        <v>Anaconda DC</v>
      </c>
      <c r="Q60" s="57" t="str">
        <f>VLOOKUP(C60,'FIN CAL LOOKUP'!A:J,7,1)</f>
        <v>SEP, FY24</v>
      </c>
      <c r="R60" s="57" t="str">
        <f>VLOOKUP(C60,'FIN CAL LOOKUP'!A:J,10,1)</f>
        <v>Q1, FY24</v>
      </c>
    </row>
    <row r="61" spans="1:18" x14ac:dyDescent="0.25">
      <c r="A61" t="s">
        <v>776</v>
      </c>
      <c r="B61" s="58">
        <v>45188.59097222222</v>
      </c>
      <c r="C61" s="58">
        <v>45177.56527777778</v>
      </c>
      <c r="D61" t="s">
        <v>413</v>
      </c>
      <c r="E61" t="s">
        <v>414</v>
      </c>
      <c r="F61" t="s">
        <v>353</v>
      </c>
      <c r="H61" t="s">
        <v>18</v>
      </c>
      <c r="J61" t="s">
        <v>777</v>
      </c>
      <c r="K61" s="3" t="s">
        <v>901</v>
      </c>
      <c r="L61" s="3" t="s">
        <v>866</v>
      </c>
      <c r="M61" s="3" t="s">
        <v>902</v>
      </c>
      <c r="N61" s="3" t="s">
        <v>903</v>
      </c>
      <c r="P61" s="57" t="str">
        <f t="shared" si="0"/>
        <v>Anaconda DC</v>
      </c>
      <c r="Q61" s="57" t="str">
        <f>VLOOKUP(C61,'FIN CAL LOOKUP'!A:J,7,1)</f>
        <v>SEP, FY24</v>
      </c>
      <c r="R61" s="57" t="str">
        <f>VLOOKUP(C61,'FIN CAL LOOKUP'!A:J,10,1)</f>
        <v>Q1, FY24</v>
      </c>
    </row>
    <row r="62" spans="1:18" x14ac:dyDescent="0.25">
      <c r="A62" t="s">
        <v>778</v>
      </c>
      <c r="B62" s="58">
        <v>45188.595138888886</v>
      </c>
      <c r="C62" s="58">
        <v>45174.333333333336</v>
      </c>
      <c r="D62" t="s">
        <v>413</v>
      </c>
      <c r="E62" t="s">
        <v>414</v>
      </c>
      <c r="F62" t="s">
        <v>353</v>
      </c>
      <c r="H62" t="s">
        <v>18</v>
      </c>
      <c r="J62" t="s">
        <v>779</v>
      </c>
      <c r="K62" s="3" t="s">
        <v>859</v>
      </c>
      <c r="L62" s="3" t="s">
        <v>865</v>
      </c>
      <c r="M62" s="3" t="s">
        <v>904</v>
      </c>
      <c r="N62" s="3" t="s">
        <v>905</v>
      </c>
      <c r="P62" s="57" t="str">
        <f t="shared" si="0"/>
        <v>Anaconda DC</v>
      </c>
      <c r="Q62" s="57" t="str">
        <f>VLOOKUP(C62,'FIN CAL LOOKUP'!A:J,7,1)</f>
        <v>SEP, FY24</v>
      </c>
      <c r="R62" s="57" t="str">
        <f>VLOOKUP(C62,'FIN CAL LOOKUP'!A:J,10,1)</f>
        <v>Q1, FY24</v>
      </c>
    </row>
    <row r="63" spans="1:18" x14ac:dyDescent="0.25">
      <c r="A63" t="s">
        <v>780</v>
      </c>
      <c r="B63" s="58">
        <v>45188.632638888892</v>
      </c>
      <c r="C63" s="58">
        <v>45175.629861111112</v>
      </c>
      <c r="D63" t="s">
        <v>413</v>
      </c>
      <c r="E63" t="s">
        <v>414</v>
      </c>
      <c r="F63" t="s">
        <v>353</v>
      </c>
      <c r="H63" t="s">
        <v>9</v>
      </c>
      <c r="J63" t="s">
        <v>781</v>
      </c>
      <c r="K63" s="3" t="s">
        <v>1046</v>
      </c>
      <c r="L63" s="3" t="s">
        <v>1046</v>
      </c>
      <c r="M63" s="3" t="s">
        <v>1046</v>
      </c>
      <c r="N63" s="3" t="s">
        <v>1046</v>
      </c>
      <c r="P63" s="57" t="str">
        <f t="shared" si="0"/>
        <v>Anaconda DC</v>
      </c>
      <c r="Q63" s="57" t="str">
        <f>VLOOKUP(C63,'FIN CAL LOOKUP'!A:J,7,1)</f>
        <v>SEP, FY24</v>
      </c>
      <c r="R63" s="57" t="str">
        <f>VLOOKUP(C63,'FIN CAL LOOKUP'!A:J,10,1)</f>
        <v>Q1, FY24</v>
      </c>
    </row>
    <row r="64" spans="1:18" x14ac:dyDescent="0.25">
      <c r="A64" t="s">
        <v>782</v>
      </c>
      <c r="B64" s="58">
        <v>45188.737500000003</v>
      </c>
      <c r="C64" s="58">
        <v>45187.791666666664</v>
      </c>
      <c r="D64" t="s">
        <v>110</v>
      </c>
      <c r="E64" t="s">
        <v>417</v>
      </c>
      <c r="F64" t="s">
        <v>353</v>
      </c>
      <c r="H64" t="s">
        <v>9</v>
      </c>
      <c r="J64" t="s">
        <v>783</v>
      </c>
      <c r="K64" s="3" t="s">
        <v>1046</v>
      </c>
      <c r="L64" s="3" t="s">
        <v>1046</v>
      </c>
      <c r="M64" s="3" t="s">
        <v>1046</v>
      </c>
      <c r="N64" s="3" t="s">
        <v>1046</v>
      </c>
      <c r="P64" s="57" t="str">
        <f t="shared" si="0"/>
        <v>Spotlight DC</v>
      </c>
      <c r="Q64" s="57" t="str">
        <f>VLOOKUP(C64,'FIN CAL LOOKUP'!A:J,7,1)</f>
        <v>SEP, FY24</v>
      </c>
      <c r="R64" s="57" t="str">
        <f>VLOOKUP(C64,'FIN CAL LOOKUP'!A:J,10,1)</f>
        <v>Q1, FY24</v>
      </c>
    </row>
    <row r="65" spans="1:18" x14ac:dyDescent="0.25">
      <c r="A65" t="s">
        <v>784</v>
      </c>
      <c r="B65" s="58">
        <v>45194.370138888888</v>
      </c>
      <c r="C65" s="58">
        <v>45191.518055555556</v>
      </c>
      <c r="D65" t="s">
        <v>413</v>
      </c>
      <c r="E65" t="s">
        <v>414</v>
      </c>
      <c r="F65" t="s">
        <v>353</v>
      </c>
      <c r="H65" t="s">
        <v>9</v>
      </c>
      <c r="J65" t="s">
        <v>785</v>
      </c>
      <c r="K65" s="3" t="s">
        <v>1046</v>
      </c>
      <c r="L65" s="3" t="s">
        <v>1046</v>
      </c>
      <c r="M65" s="3" t="s">
        <v>1046</v>
      </c>
      <c r="N65" s="3" t="s">
        <v>1046</v>
      </c>
      <c r="P65" s="57" t="str">
        <f t="shared" si="0"/>
        <v>Anaconda DC</v>
      </c>
      <c r="Q65" s="57" t="str">
        <f>VLOOKUP(C65,'FIN CAL LOOKUP'!A:J,7,1)</f>
        <v>SEP, FY24</v>
      </c>
      <c r="R65" s="57" t="str">
        <f>VLOOKUP(C65,'FIN CAL LOOKUP'!A:J,10,1)</f>
        <v>Q1, FY24</v>
      </c>
    </row>
    <row r="66" spans="1:18" x14ac:dyDescent="0.25">
      <c r="A66" t="s">
        <v>786</v>
      </c>
      <c r="B66" s="58">
        <v>45196.45208333333</v>
      </c>
      <c r="C66" s="58">
        <v>45173.458333333336</v>
      </c>
      <c r="D66" t="s">
        <v>413</v>
      </c>
      <c r="E66" t="s">
        <v>414</v>
      </c>
      <c r="F66" t="s">
        <v>353</v>
      </c>
      <c r="H66" t="s">
        <v>9</v>
      </c>
      <c r="J66" t="s">
        <v>787</v>
      </c>
      <c r="K66" s="3" t="s">
        <v>1046</v>
      </c>
      <c r="L66" s="3" t="s">
        <v>1046</v>
      </c>
      <c r="M66" s="3" t="s">
        <v>1046</v>
      </c>
      <c r="N66" s="3" t="s">
        <v>1046</v>
      </c>
      <c r="P66" s="57" t="str">
        <f t="shared" si="0"/>
        <v>Anaconda DC</v>
      </c>
      <c r="Q66" s="57" t="str">
        <f>VLOOKUP(C66,'FIN CAL LOOKUP'!A:J,7,1)</f>
        <v>SEP, FY24</v>
      </c>
      <c r="R66" s="57" t="str">
        <f>VLOOKUP(C66,'FIN CAL LOOKUP'!A:J,10,1)</f>
        <v>Q1, FY24</v>
      </c>
    </row>
    <row r="67" spans="1:18" x14ac:dyDescent="0.25">
      <c r="A67" t="s">
        <v>788</v>
      </c>
      <c r="B67" s="58">
        <v>45196.45416666667</v>
      </c>
      <c r="C67" s="58">
        <v>45188.563194444447</v>
      </c>
      <c r="D67" t="s">
        <v>413</v>
      </c>
      <c r="E67" t="s">
        <v>414</v>
      </c>
      <c r="F67" t="s">
        <v>353</v>
      </c>
      <c r="G67" t="s">
        <v>1011</v>
      </c>
      <c r="H67" t="s">
        <v>13</v>
      </c>
      <c r="J67" t="s">
        <v>789</v>
      </c>
      <c r="K67" s="3" t="s">
        <v>859</v>
      </c>
      <c r="L67" s="3" t="s">
        <v>865</v>
      </c>
      <c r="M67" s="3" t="s">
        <v>879</v>
      </c>
      <c r="N67" s="3" t="s">
        <v>906</v>
      </c>
      <c r="O67" s="3" t="s">
        <v>1029</v>
      </c>
      <c r="P67" s="57" t="str">
        <f t="shared" ref="P67:P130" si="1">IF(OR(F67="HS2057 SUNSHINE DC",F67="S812  Harris Scarfe DC",F67="S813 HS Dark Store",E67="MICHELLE SLOVIK",E67="BREA ROLLINSON",E67="LJUBICA MITRESKA"),"Harris Scarfe DC",IF(OR(F67="S810 Anaconda DC",E67="THOMAS WILLIAMS"),"Anaconda DC",IF(F67="S811 Spotlight DC","Spotlight DC","Spotlight DC")))</f>
        <v>Anaconda DC</v>
      </c>
      <c r="Q67" s="57" t="str">
        <f>VLOOKUP(C67,'FIN CAL LOOKUP'!A:J,7,1)</f>
        <v>SEP, FY24</v>
      </c>
      <c r="R67" s="57" t="str">
        <f>VLOOKUP(C67,'FIN CAL LOOKUP'!A:J,10,1)</f>
        <v>Q1, FY24</v>
      </c>
    </row>
    <row r="68" spans="1:18" x14ac:dyDescent="0.25">
      <c r="A68" t="s">
        <v>790</v>
      </c>
      <c r="B68" s="58">
        <v>45196.460416666669</v>
      </c>
      <c r="C68" s="58">
        <v>45195.458333333336</v>
      </c>
      <c r="D68" t="s">
        <v>413</v>
      </c>
      <c r="E68" t="s">
        <v>414</v>
      </c>
      <c r="F68" t="s">
        <v>353</v>
      </c>
      <c r="H68" t="s">
        <v>9</v>
      </c>
      <c r="J68" t="s">
        <v>791</v>
      </c>
      <c r="K68" s="3" t="s">
        <v>1046</v>
      </c>
      <c r="L68" s="3" t="s">
        <v>1046</v>
      </c>
      <c r="M68" s="3" t="s">
        <v>1046</v>
      </c>
      <c r="N68" s="3" t="s">
        <v>1046</v>
      </c>
      <c r="P68" s="57" t="str">
        <f t="shared" si="1"/>
        <v>Anaconda DC</v>
      </c>
      <c r="Q68" s="57" t="str">
        <f>VLOOKUP(C68,'FIN CAL LOOKUP'!A:J,7,1)</f>
        <v>OCT, FY24</v>
      </c>
      <c r="R68" s="57" t="str">
        <f>VLOOKUP(C68,'FIN CAL LOOKUP'!A:J,10,1)</f>
        <v>Q2, FY24</v>
      </c>
    </row>
    <row r="69" spans="1:18" x14ac:dyDescent="0.25">
      <c r="A69" t="s">
        <v>792</v>
      </c>
      <c r="B69" s="58">
        <v>45196.462500000001</v>
      </c>
      <c r="C69" s="58">
        <v>45195.461111111108</v>
      </c>
      <c r="D69" t="s">
        <v>413</v>
      </c>
      <c r="E69" t="s">
        <v>414</v>
      </c>
      <c r="F69" t="s">
        <v>353</v>
      </c>
      <c r="H69" t="s">
        <v>9</v>
      </c>
      <c r="J69" t="s">
        <v>793</v>
      </c>
      <c r="K69" s="3" t="s">
        <v>1046</v>
      </c>
      <c r="L69" s="3" t="s">
        <v>1046</v>
      </c>
      <c r="M69" s="3" t="s">
        <v>1046</v>
      </c>
      <c r="N69" s="3" t="s">
        <v>1046</v>
      </c>
      <c r="P69" s="57" t="str">
        <f t="shared" si="1"/>
        <v>Anaconda DC</v>
      </c>
      <c r="Q69" s="57" t="str">
        <f>VLOOKUP(C69,'FIN CAL LOOKUP'!A:J,7,1)</f>
        <v>OCT, FY24</v>
      </c>
      <c r="R69" s="57" t="str">
        <f>VLOOKUP(C69,'FIN CAL LOOKUP'!A:J,10,1)</f>
        <v>Q2, FY24</v>
      </c>
    </row>
    <row r="70" spans="1:18" x14ac:dyDescent="0.25">
      <c r="A70" t="s">
        <v>794</v>
      </c>
      <c r="B70" s="58">
        <v>45196.463888888888</v>
      </c>
      <c r="C70" s="58">
        <v>45195.462500000001</v>
      </c>
      <c r="D70" t="s">
        <v>413</v>
      </c>
      <c r="E70" t="s">
        <v>414</v>
      </c>
      <c r="F70" t="s">
        <v>353</v>
      </c>
      <c r="H70" t="s">
        <v>9</v>
      </c>
      <c r="J70" t="s">
        <v>795</v>
      </c>
      <c r="K70" s="3" t="s">
        <v>1046</v>
      </c>
      <c r="L70" s="3" t="s">
        <v>1046</v>
      </c>
      <c r="M70" s="3" t="s">
        <v>1046</v>
      </c>
      <c r="N70" s="3" t="s">
        <v>1046</v>
      </c>
      <c r="P70" s="57" t="str">
        <f t="shared" si="1"/>
        <v>Anaconda DC</v>
      </c>
      <c r="Q70" s="57" t="str">
        <f>VLOOKUP(C70,'FIN CAL LOOKUP'!A:J,7,1)</f>
        <v>OCT, FY24</v>
      </c>
      <c r="R70" s="57" t="str">
        <f>VLOOKUP(C70,'FIN CAL LOOKUP'!A:J,10,1)</f>
        <v>Q2, FY24</v>
      </c>
    </row>
    <row r="71" spans="1:18" x14ac:dyDescent="0.25">
      <c r="A71" t="s">
        <v>796</v>
      </c>
      <c r="B71" s="58">
        <v>45211.929861111108</v>
      </c>
      <c r="C71" s="58">
        <v>45208.729166666664</v>
      </c>
      <c r="D71" t="s">
        <v>73</v>
      </c>
      <c r="E71" t="s">
        <v>415</v>
      </c>
      <c r="F71" t="s">
        <v>353</v>
      </c>
      <c r="H71" t="s">
        <v>9</v>
      </c>
      <c r="J71" t="s">
        <v>797</v>
      </c>
      <c r="K71" s="3" t="s">
        <v>1046</v>
      </c>
      <c r="L71" s="3" t="s">
        <v>1046</v>
      </c>
      <c r="M71" s="3" t="s">
        <v>1046</v>
      </c>
      <c r="N71" s="3" t="s">
        <v>1046</v>
      </c>
      <c r="P71" s="57" t="str">
        <f t="shared" si="1"/>
        <v>Spotlight DC</v>
      </c>
      <c r="Q71" s="57" t="str">
        <f>VLOOKUP(C71,'FIN CAL LOOKUP'!A:J,7,1)</f>
        <v>OCT, FY24</v>
      </c>
      <c r="R71" s="57" t="str">
        <f>VLOOKUP(C71,'FIN CAL LOOKUP'!A:J,10,1)</f>
        <v>Q2, FY24</v>
      </c>
    </row>
    <row r="72" spans="1:18" x14ac:dyDescent="0.25">
      <c r="A72" t="s">
        <v>798</v>
      </c>
      <c r="B72" s="58">
        <v>45216.371527777781</v>
      </c>
      <c r="C72" s="58">
        <v>45215.579861111109</v>
      </c>
      <c r="D72" t="s">
        <v>413</v>
      </c>
      <c r="E72" t="s">
        <v>414</v>
      </c>
      <c r="F72" t="s">
        <v>353</v>
      </c>
      <c r="H72" t="s">
        <v>9</v>
      </c>
      <c r="J72" t="s">
        <v>799</v>
      </c>
      <c r="K72" s="3" t="s">
        <v>1046</v>
      </c>
      <c r="L72" s="3" t="s">
        <v>1046</v>
      </c>
      <c r="M72" s="3" t="s">
        <v>1046</v>
      </c>
      <c r="N72" s="3" t="s">
        <v>1046</v>
      </c>
      <c r="P72" s="57" t="str">
        <f t="shared" si="1"/>
        <v>Anaconda DC</v>
      </c>
      <c r="Q72" s="57" t="str">
        <f>VLOOKUP(C72,'FIN CAL LOOKUP'!A:J,7,1)</f>
        <v>OCT, FY24</v>
      </c>
      <c r="R72" s="57" t="str">
        <f>VLOOKUP(C72,'FIN CAL LOOKUP'!A:J,10,1)</f>
        <v>Q2, FY24</v>
      </c>
    </row>
    <row r="73" spans="1:18" x14ac:dyDescent="0.25">
      <c r="A73" t="s">
        <v>800</v>
      </c>
      <c r="B73" s="58">
        <v>45218.399305555555</v>
      </c>
      <c r="C73" s="58">
        <v>45217.647222222222</v>
      </c>
      <c r="D73" t="s">
        <v>413</v>
      </c>
      <c r="E73" t="s">
        <v>414</v>
      </c>
      <c r="F73" t="s">
        <v>353</v>
      </c>
      <c r="H73" t="s">
        <v>9</v>
      </c>
      <c r="J73" t="s">
        <v>801</v>
      </c>
      <c r="K73" s="3" t="s">
        <v>1046</v>
      </c>
      <c r="L73" s="3" t="s">
        <v>1046</v>
      </c>
      <c r="M73" s="3" t="s">
        <v>1046</v>
      </c>
      <c r="N73" s="3" t="s">
        <v>1046</v>
      </c>
      <c r="P73" s="57" t="str">
        <f t="shared" si="1"/>
        <v>Anaconda DC</v>
      </c>
      <c r="Q73" s="57" t="str">
        <f>VLOOKUP(C73,'FIN CAL LOOKUP'!A:J,7,1)</f>
        <v>OCT, FY24</v>
      </c>
      <c r="R73" s="57" t="str">
        <f>VLOOKUP(C73,'FIN CAL LOOKUP'!A:J,10,1)</f>
        <v>Q2, FY24</v>
      </c>
    </row>
    <row r="74" spans="1:18" x14ac:dyDescent="0.25">
      <c r="A74" t="s">
        <v>802</v>
      </c>
      <c r="B74" s="58">
        <v>45218.448611111111</v>
      </c>
      <c r="C74" s="58">
        <v>45211.430555555555</v>
      </c>
      <c r="D74" t="s">
        <v>413</v>
      </c>
      <c r="E74" t="s">
        <v>414</v>
      </c>
      <c r="F74" t="s">
        <v>353</v>
      </c>
      <c r="H74" t="s">
        <v>9</v>
      </c>
      <c r="J74" t="s">
        <v>803</v>
      </c>
      <c r="K74" s="3" t="s">
        <v>1046</v>
      </c>
      <c r="L74" s="3" t="s">
        <v>1046</v>
      </c>
      <c r="M74" s="3" t="s">
        <v>1046</v>
      </c>
      <c r="N74" s="3" t="s">
        <v>1046</v>
      </c>
      <c r="P74" s="57" t="str">
        <f t="shared" si="1"/>
        <v>Anaconda DC</v>
      </c>
      <c r="Q74" s="57" t="str">
        <f>VLOOKUP(C74,'FIN CAL LOOKUP'!A:J,7,1)</f>
        <v>OCT, FY24</v>
      </c>
      <c r="R74" s="57" t="str">
        <f>VLOOKUP(C74,'FIN CAL LOOKUP'!A:J,10,1)</f>
        <v>Q2, FY24</v>
      </c>
    </row>
    <row r="75" spans="1:18" x14ac:dyDescent="0.25">
      <c r="A75" t="s">
        <v>804</v>
      </c>
      <c r="B75" s="58">
        <v>45222.290277777778</v>
      </c>
      <c r="C75" s="58">
        <v>45219.423611111109</v>
      </c>
      <c r="D75" t="s">
        <v>41</v>
      </c>
      <c r="E75" t="s">
        <v>414</v>
      </c>
      <c r="F75" t="s">
        <v>353</v>
      </c>
      <c r="H75" t="s">
        <v>9</v>
      </c>
      <c r="J75" t="s">
        <v>805</v>
      </c>
      <c r="K75" s="3" t="s">
        <v>1046</v>
      </c>
      <c r="L75" s="3" t="s">
        <v>1046</v>
      </c>
      <c r="M75" s="3" t="s">
        <v>1046</v>
      </c>
      <c r="N75" s="3" t="s">
        <v>1046</v>
      </c>
      <c r="P75" s="57" t="str">
        <f t="shared" si="1"/>
        <v>Anaconda DC</v>
      </c>
      <c r="Q75" s="57" t="str">
        <f>VLOOKUP(C75,'FIN CAL LOOKUP'!A:J,7,1)</f>
        <v>OCT, FY24</v>
      </c>
      <c r="R75" s="57" t="str">
        <f>VLOOKUP(C75,'FIN CAL LOOKUP'!A:J,10,1)</f>
        <v>Q2, FY24</v>
      </c>
    </row>
    <row r="76" spans="1:18" x14ac:dyDescent="0.25">
      <c r="A76" t="s">
        <v>806</v>
      </c>
      <c r="B76" s="58">
        <v>45222.382638888892</v>
      </c>
      <c r="C76" s="58">
        <v>45205.380555555559</v>
      </c>
      <c r="D76" t="s">
        <v>413</v>
      </c>
      <c r="E76" t="s">
        <v>414</v>
      </c>
      <c r="F76" t="s">
        <v>353</v>
      </c>
      <c r="H76" t="s">
        <v>9</v>
      </c>
      <c r="J76" t="s">
        <v>807</v>
      </c>
      <c r="K76" s="3" t="s">
        <v>1046</v>
      </c>
      <c r="L76" s="3" t="s">
        <v>1046</v>
      </c>
      <c r="M76" s="3" t="s">
        <v>1046</v>
      </c>
      <c r="N76" s="3" t="s">
        <v>1046</v>
      </c>
      <c r="P76" s="57" t="str">
        <f t="shared" si="1"/>
        <v>Anaconda DC</v>
      </c>
      <c r="Q76" s="57" t="str">
        <f>VLOOKUP(C76,'FIN CAL LOOKUP'!A:J,7,1)</f>
        <v>OCT, FY24</v>
      </c>
      <c r="R76" s="57" t="str">
        <f>VLOOKUP(C76,'FIN CAL LOOKUP'!A:J,10,1)</f>
        <v>Q2, FY24</v>
      </c>
    </row>
    <row r="77" spans="1:18" x14ac:dyDescent="0.25">
      <c r="A77" t="s">
        <v>808</v>
      </c>
      <c r="B77" s="58">
        <v>45222.459722222222</v>
      </c>
      <c r="C77" s="58">
        <v>45222.34375</v>
      </c>
      <c r="D77" t="s">
        <v>413</v>
      </c>
      <c r="E77" t="s">
        <v>414</v>
      </c>
      <c r="F77" t="s">
        <v>353</v>
      </c>
      <c r="H77" t="s">
        <v>18</v>
      </c>
      <c r="J77" t="s">
        <v>809</v>
      </c>
      <c r="K77" s="3" t="s">
        <v>53</v>
      </c>
      <c r="L77" s="3" t="s">
        <v>866</v>
      </c>
      <c r="M77" s="3" t="s">
        <v>907</v>
      </c>
      <c r="N77" s="3" t="s">
        <v>908</v>
      </c>
      <c r="P77" s="57" t="str">
        <f t="shared" si="1"/>
        <v>Anaconda DC</v>
      </c>
      <c r="Q77" s="57" t="str">
        <f>VLOOKUP(C77,'FIN CAL LOOKUP'!A:J,7,1)</f>
        <v>NOV, FY24</v>
      </c>
      <c r="R77" s="57" t="str">
        <f>VLOOKUP(C77,'FIN CAL LOOKUP'!A:J,10,1)</f>
        <v>Q2, FY24</v>
      </c>
    </row>
    <row r="78" spans="1:18" x14ac:dyDescent="0.25">
      <c r="A78" t="s">
        <v>810</v>
      </c>
      <c r="B78" s="58">
        <v>45231.572916666664</v>
      </c>
      <c r="C78" s="58">
        <v>45231.381944444445</v>
      </c>
      <c r="D78" t="s">
        <v>413</v>
      </c>
      <c r="E78" t="s">
        <v>414</v>
      </c>
      <c r="F78" t="s">
        <v>353</v>
      </c>
      <c r="H78" t="s">
        <v>18</v>
      </c>
      <c r="J78" t="s">
        <v>811</v>
      </c>
      <c r="K78" s="3" t="s">
        <v>859</v>
      </c>
      <c r="L78" s="3" t="s">
        <v>866</v>
      </c>
      <c r="M78" s="3" t="s">
        <v>909</v>
      </c>
      <c r="N78" s="3" t="s">
        <v>910</v>
      </c>
      <c r="P78" s="57" t="str">
        <f t="shared" si="1"/>
        <v>Anaconda DC</v>
      </c>
      <c r="Q78" s="57" t="str">
        <f>VLOOKUP(C78,'FIN CAL LOOKUP'!A:J,7,1)</f>
        <v>NOV, FY24</v>
      </c>
      <c r="R78" s="57" t="str">
        <f>VLOOKUP(C78,'FIN CAL LOOKUP'!A:J,10,1)</f>
        <v>Q2, FY24</v>
      </c>
    </row>
    <row r="79" spans="1:18" x14ac:dyDescent="0.25">
      <c r="A79" t="s">
        <v>812</v>
      </c>
      <c r="B79" s="58">
        <v>45231.576388888891</v>
      </c>
      <c r="C79" s="58">
        <v>45230.3125</v>
      </c>
      <c r="D79" t="s">
        <v>413</v>
      </c>
      <c r="E79" t="s">
        <v>414</v>
      </c>
      <c r="F79" t="s">
        <v>353</v>
      </c>
      <c r="H79" t="s">
        <v>18</v>
      </c>
      <c r="J79" t="s">
        <v>813</v>
      </c>
      <c r="K79" s="3" t="s">
        <v>53</v>
      </c>
      <c r="L79" s="3" t="s">
        <v>52</v>
      </c>
      <c r="M79" s="3" t="s">
        <v>888</v>
      </c>
      <c r="N79" s="3" t="s">
        <v>862</v>
      </c>
      <c r="P79" s="57" t="str">
        <f t="shared" si="1"/>
        <v>Anaconda DC</v>
      </c>
      <c r="Q79" s="57" t="str">
        <f>VLOOKUP(C79,'FIN CAL LOOKUP'!A:J,7,1)</f>
        <v>NOV, FY24</v>
      </c>
      <c r="R79" s="57" t="str">
        <f>VLOOKUP(C79,'FIN CAL LOOKUP'!A:J,10,1)</f>
        <v>Q2, FY24</v>
      </c>
    </row>
    <row r="80" spans="1:18" x14ac:dyDescent="0.25">
      <c r="A80" t="s">
        <v>814</v>
      </c>
      <c r="B80" s="58">
        <v>45232.636805555558</v>
      </c>
      <c r="C80" s="58">
        <v>45230.634027777778</v>
      </c>
      <c r="D80" t="s">
        <v>413</v>
      </c>
      <c r="E80" t="s">
        <v>414</v>
      </c>
      <c r="F80" t="s">
        <v>353</v>
      </c>
      <c r="H80" t="s">
        <v>9</v>
      </c>
      <c r="J80" t="s">
        <v>815</v>
      </c>
      <c r="K80" s="3" t="s">
        <v>1046</v>
      </c>
      <c r="L80" s="3" t="s">
        <v>1046</v>
      </c>
      <c r="M80" s="3" t="s">
        <v>1046</v>
      </c>
      <c r="N80" s="3" t="s">
        <v>1046</v>
      </c>
      <c r="P80" s="57" t="str">
        <f t="shared" si="1"/>
        <v>Anaconda DC</v>
      </c>
      <c r="Q80" s="57" t="str">
        <f>VLOOKUP(C80,'FIN CAL LOOKUP'!A:J,7,1)</f>
        <v>NOV, FY24</v>
      </c>
      <c r="R80" s="57" t="str">
        <f>VLOOKUP(C80,'FIN CAL LOOKUP'!A:J,10,1)</f>
        <v>Q2, FY24</v>
      </c>
    </row>
    <row r="81" spans="1:18" x14ac:dyDescent="0.25">
      <c r="A81" t="s">
        <v>816</v>
      </c>
      <c r="B81" s="58">
        <v>45232.661111111112</v>
      </c>
      <c r="C81" s="58">
        <v>45232.458333333336</v>
      </c>
      <c r="D81" t="s">
        <v>413</v>
      </c>
      <c r="E81" t="s">
        <v>414</v>
      </c>
      <c r="F81" t="s">
        <v>353</v>
      </c>
      <c r="H81" t="s">
        <v>9</v>
      </c>
      <c r="J81" t="s">
        <v>817</v>
      </c>
      <c r="K81" s="3" t="s">
        <v>1046</v>
      </c>
      <c r="L81" s="3" t="s">
        <v>1046</v>
      </c>
      <c r="M81" s="3" t="s">
        <v>1046</v>
      </c>
      <c r="N81" s="3" t="s">
        <v>1046</v>
      </c>
      <c r="P81" s="57" t="str">
        <f t="shared" si="1"/>
        <v>Anaconda DC</v>
      </c>
      <c r="Q81" s="57" t="str">
        <f>VLOOKUP(C81,'FIN CAL LOOKUP'!A:J,7,1)</f>
        <v>NOV, FY24</v>
      </c>
      <c r="R81" s="57" t="str">
        <f>VLOOKUP(C81,'FIN CAL LOOKUP'!A:J,10,1)</f>
        <v>Q2, FY24</v>
      </c>
    </row>
    <row r="82" spans="1:18" x14ac:dyDescent="0.25">
      <c r="A82" t="s">
        <v>818</v>
      </c>
      <c r="B82" s="58">
        <v>45238.333333333336</v>
      </c>
      <c r="C82" s="58">
        <v>45234.413888888892</v>
      </c>
      <c r="D82" t="s">
        <v>413</v>
      </c>
      <c r="E82" t="s">
        <v>414</v>
      </c>
      <c r="F82" t="s">
        <v>353</v>
      </c>
      <c r="G82" t="s">
        <v>1001</v>
      </c>
      <c r="H82" t="s">
        <v>13</v>
      </c>
      <c r="I82" t="s">
        <v>27</v>
      </c>
      <c r="J82" t="s">
        <v>819</v>
      </c>
      <c r="K82" s="3" t="s">
        <v>875</v>
      </c>
      <c r="L82" s="3" t="s">
        <v>866</v>
      </c>
      <c r="M82" s="3" t="s">
        <v>879</v>
      </c>
      <c r="N82" s="3" t="s">
        <v>911</v>
      </c>
      <c r="O82" s="3" t="s">
        <v>1029</v>
      </c>
      <c r="P82" s="57" t="str">
        <f t="shared" si="1"/>
        <v>Anaconda DC</v>
      </c>
      <c r="Q82" s="57" t="str">
        <f>VLOOKUP(C82,'FIN CAL LOOKUP'!A:J,7,1)</f>
        <v>NOV, FY24</v>
      </c>
      <c r="R82" s="57" t="str">
        <f>VLOOKUP(C82,'FIN CAL LOOKUP'!A:J,10,1)</f>
        <v>Q2, FY24</v>
      </c>
    </row>
    <row r="83" spans="1:18" x14ac:dyDescent="0.25">
      <c r="A83" t="s">
        <v>820</v>
      </c>
      <c r="B83" s="58">
        <v>45238.611111111109</v>
      </c>
      <c r="C83" s="58">
        <v>45231.552083333336</v>
      </c>
      <c r="D83" t="s">
        <v>413</v>
      </c>
      <c r="E83" t="s">
        <v>414</v>
      </c>
      <c r="F83" t="s">
        <v>353</v>
      </c>
      <c r="H83" t="s">
        <v>9</v>
      </c>
      <c r="J83" t="s">
        <v>821</v>
      </c>
      <c r="K83" s="3" t="s">
        <v>1046</v>
      </c>
      <c r="L83" s="3" t="s">
        <v>1046</v>
      </c>
      <c r="M83" s="3" t="s">
        <v>1046</v>
      </c>
      <c r="N83" s="3" t="s">
        <v>1046</v>
      </c>
      <c r="P83" s="57" t="str">
        <f t="shared" si="1"/>
        <v>Anaconda DC</v>
      </c>
      <c r="Q83" s="57" t="str">
        <f>VLOOKUP(C83,'FIN CAL LOOKUP'!A:J,7,1)</f>
        <v>NOV, FY24</v>
      </c>
      <c r="R83" s="57" t="str">
        <f>VLOOKUP(C83,'FIN CAL LOOKUP'!A:J,10,1)</f>
        <v>Q2, FY24</v>
      </c>
    </row>
    <row r="84" spans="1:18" x14ac:dyDescent="0.25">
      <c r="A84" t="s">
        <v>822</v>
      </c>
      <c r="B84" s="58">
        <v>45238.664583333331</v>
      </c>
      <c r="C84" s="58">
        <v>45238.629166666666</v>
      </c>
      <c r="D84" t="s">
        <v>82</v>
      </c>
      <c r="E84" t="s">
        <v>415</v>
      </c>
      <c r="F84" t="s">
        <v>353</v>
      </c>
      <c r="H84" t="s">
        <v>13</v>
      </c>
      <c r="J84" t="s">
        <v>823</v>
      </c>
      <c r="K84" s="3" t="s">
        <v>1046</v>
      </c>
      <c r="L84" s="3" t="s">
        <v>1046</v>
      </c>
      <c r="M84" s="3" t="s">
        <v>1046</v>
      </c>
      <c r="N84" s="3" t="s">
        <v>1046</v>
      </c>
      <c r="P84" s="57" t="str">
        <f t="shared" si="1"/>
        <v>Spotlight DC</v>
      </c>
      <c r="Q84" s="57" t="str">
        <f>VLOOKUP(C84,'FIN CAL LOOKUP'!A:J,7,1)</f>
        <v>NOV, FY24</v>
      </c>
      <c r="R84" s="57" t="str">
        <f>VLOOKUP(C84,'FIN CAL LOOKUP'!A:J,10,1)</f>
        <v>Q2, FY24</v>
      </c>
    </row>
    <row r="85" spans="1:18" x14ac:dyDescent="0.25">
      <c r="A85" t="s">
        <v>824</v>
      </c>
      <c r="B85" s="58">
        <v>45243.53402777778</v>
      </c>
      <c r="C85" s="58">
        <v>45236.270833333336</v>
      </c>
      <c r="D85" t="s">
        <v>413</v>
      </c>
      <c r="E85" t="s">
        <v>414</v>
      </c>
      <c r="F85" t="s">
        <v>353</v>
      </c>
      <c r="H85" t="s">
        <v>18</v>
      </c>
      <c r="J85" t="s">
        <v>825</v>
      </c>
      <c r="K85" s="3" t="s">
        <v>871</v>
      </c>
      <c r="L85" s="3" t="s">
        <v>860</v>
      </c>
      <c r="M85" s="3" t="s">
        <v>912</v>
      </c>
      <c r="N85" s="3" t="s">
        <v>913</v>
      </c>
      <c r="P85" s="57" t="str">
        <f t="shared" si="1"/>
        <v>Anaconda DC</v>
      </c>
      <c r="Q85" s="57" t="str">
        <f>VLOOKUP(C85,'FIN CAL LOOKUP'!A:J,7,1)</f>
        <v>NOV, FY24</v>
      </c>
      <c r="R85" s="57" t="str">
        <f>VLOOKUP(C85,'FIN CAL LOOKUP'!A:J,10,1)</f>
        <v>Q2, FY24</v>
      </c>
    </row>
    <row r="86" spans="1:18" x14ac:dyDescent="0.25">
      <c r="A86" t="s">
        <v>826</v>
      </c>
      <c r="B86" s="58">
        <v>45243.7</v>
      </c>
      <c r="C86" s="58">
        <v>45243.677083333336</v>
      </c>
      <c r="D86" t="s">
        <v>73</v>
      </c>
      <c r="E86" t="s">
        <v>415</v>
      </c>
      <c r="F86" t="s">
        <v>353</v>
      </c>
      <c r="H86" t="s">
        <v>9</v>
      </c>
      <c r="J86" t="s">
        <v>827</v>
      </c>
      <c r="K86" s="3" t="s">
        <v>1046</v>
      </c>
      <c r="L86" s="3" t="s">
        <v>1046</v>
      </c>
      <c r="M86" s="3" t="s">
        <v>1046</v>
      </c>
      <c r="N86" s="3" t="s">
        <v>1046</v>
      </c>
      <c r="P86" s="57" t="str">
        <f t="shared" si="1"/>
        <v>Spotlight DC</v>
      </c>
      <c r="Q86" s="57" t="str">
        <f>VLOOKUP(C86,'FIN CAL LOOKUP'!A:J,7,1)</f>
        <v>NOV, FY24</v>
      </c>
      <c r="R86" s="57" t="str">
        <f>VLOOKUP(C86,'FIN CAL LOOKUP'!A:J,10,1)</f>
        <v>Q2, FY24</v>
      </c>
    </row>
    <row r="87" spans="1:18" x14ac:dyDescent="0.25">
      <c r="A87" t="s">
        <v>828</v>
      </c>
      <c r="B87" s="58">
        <v>45248.565972222219</v>
      </c>
      <c r="C87" s="58">
        <v>45248.541666666664</v>
      </c>
      <c r="D87" t="s">
        <v>44</v>
      </c>
      <c r="E87" t="s">
        <v>415</v>
      </c>
      <c r="F87" t="s">
        <v>353</v>
      </c>
      <c r="H87" t="s">
        <v>9</v>
      </c>
      <c r="J87" t="s">
        <v>829</v>
      </c>
      <c r="K87" s="3" t="s">
        <v>1046</v>
      </c>
      <c r="L87" s="3" t="s">
        <v>1046</v>
      </c>
      <c r="M87" s="3" t="s">
        <v>1046</v>
      </c>
      <c r="N87" s="3" t="s">
        <v>1046</v>
      </c>
      <c r="P87" s="57" t="str">
        <f t="shared" si="1"/>
        <v>Spotlight DC</v>
      </c>
      <c r="Q87" s="57" t="str">
        <f>VLOOKUP(C87,'FIN CAL LOOKUP'!A:J,7,1)</f>
        <v>NOV, FY24</v>
      </c>
      <c r="R87" s="57" t="str">
        <f>VLOOKUP(C87,'FIN CAL LOOKUP'!A:J,10,1)</f>
        <v>Q2, FY24</v>
      </c>
    </row>
    <row r="88" spans="1:18" x14ac:dyDescent="0.25">
      <c r="A88" t="s">
        <v>830</v>
      </c>
      <c r="B88" s="58">
        <v>45253.324305555558</v>
      </c>
      <c r="C88" s="58">
        <v>45252.479166666664</v>
      </c>
      <c r="D88" t="s">
        <v>416</v>
      </c>
      <c r="E88" t="s">
        <v>414</v>
      </c>
      <c r="F88" t="s">
        <v>353</v>
      </c>
      <c r="G88" t="s">
        <v>1012</v>
      </c>
      <c r="H88" t="s">
        <v>13</v>
      </c>
      <c r="I88" t="s">
        <v>27</v>
      </c>
      <c r="J88" t="s">
        <v>831</v>
      </c>
      <c r="K88" s="3" t="s">
        <v>901</v>
      </c>
      <c r="L88" s="3" t="s">
        <v>860</v>
      </c>
      <c r="M88" s="3" t="s">
        <v>914</v>
      </c>
      <c r="N88" s="3" t="s">
        <v>915</v>
      </c>
      <c r="O88" s="3" t="s">
        <v>1029</v>
      </c>
      <c r="P88" s="57" t="str">
        <f t="shared" si="1"/>
        <v>Anaconda DC</v>
      </c>
      <c r="Q88" s="57" t="str">
        <f>VLOOKUP(C88,'FIN CAL LOOKUP'!A:J,7,1)</f>
        <v>NOV, FY24</v>
      </c>
      <c r="R88" s="57" t="str">
        <f>VLOOKUP(C88,'FIN CAL LOOKUP'!A:J,10,1)</f>
        <v>Q2, FY24</v>
      </c>
    </row>
    <row r="89" spans="1:18" x14ac:dyDescent="0.25">
      <c r="A89" t="s">
        <v>832</v>
      </c>
      <c r="B89" s="58">
        <v>45254.786111111112</v>
      </c>
      <c r="C89" s="58">
        <v>45254.604166666664</v>
      </c>
      <c r="D89" t="s">
        <v>110</v>
      </c>
      <c r="E89" t="s">
        <v>417</v>
      </c>
      <c r="F89" t="s">
        <v>353</v>
      </c>
      <c r="G89" t="s">
        <v>110</v>
      </c>
      <c r="H89" t="s">
        <v>13</v>
      </c>
      <c r="J89" t="s">
        <v>833</v>
      </c>
      <c r="K89" s="3" t="s">
        <v>865</v>
      </c>
      <c r="L89" s="3" t="s">
        <v>866</v>
      </c>
      <c r="M89" s="3" t="s">
        <v>916</v>
      </c>
      <c r="N89" s="3" t="s">
        <v>917</v>
      </c>
      <c r="O89" s="3" t="s">
        <v>1071</v>
      </c>
      <c r="P89" s="57" t="str">
        <f t="shared" si="1"/>
        <v>Spotlight DC</v>
      </c>
      <c r="Q89" s="57" t="str">
        <f>VLOOKUP(C89,'FIN CAL LOOKUP'!A:J,7,1)</f>
        <v>NOV, FY24</v>
      </c>
      <c r="R89" s="57" t="str">
        <f>VLOOKUP(C89,'FIN CAL LOOKUP'!A:J,10,1)</f>
        <v>Q2, FY24</v>
      </c>
    </row>
    <row r="90" spans="1:18" x14ac:dyDescent="0.25">
      <c r="A90" t="s">
        <v>834</v>
      </c>
      <c r="B90" s="58">
        <v>45254.793749999997</v>
      </c>
      <c r="C90" s="58">
        <v>45254.604166666664</v>
      </c>
      <c r="D90" t="s">
        <v>110</v>
      </c>
      <c r="E90" t="s">
        <v>417</v>
      </c>
      <c r="F90" t="s">
        <v>353</v>
      </c>
      <c r="G90" t="s">
        <v>1013</v>
      </c>
      <c r="H90" t="s">
        <v>13</v>
      </c>
      <c r="J90" t="s">
        <v>835</v>
      </c>
      <c r="K90" s="3" t="s">
        <v>865</v>
      </c>
      <c r="L90" s="3" t="s">
        <v>866</v>
      </c>
      <c r="M90" s="3" t="s">
        <v>918</v>
      </c>
      <c r="N90" s="3" t="s">
        <v>919</v>
      </c>
      <c r="O90" s="3" t="s">
        <v>1072</v>
      </c>
      <c r="P90" s="57" t="str">
        <f t="shared" si="1"/>
        <v>Spotlight DC</v>
      </c>
      <c r="Q90" s="57" t="str">
        <f>VLOOKUP(C90,'FIN CAL LOOKUP'!A:J,7,1)</f>
        <v>NOV, FY24</v>
      </c>
      <c r="R90" s="57" t="str">
        <f>VLOOKUP(C90,'FIN CAL LOOKUP'!A:J,10,1)</f>
        <v>Q2, FY24</v>
      </c>
    </row>
    <row r="91" spans="1:18" x14ac:dyDescent="0.25">
      <c r="A91" t="s">
        <v>836</v>
      </c>
      <c r="B91" s="58">
        <v>45267.463194444441</v>
      </c>
      <c r="C91" s="58">
        <v>45267.248611111114</v>
      </c>
      <c r="D91" t="s">
        <v>413</v>
      </c>
      <c r="E91" t="s">
        <v>414</v>
      </c>
      <c r="F91" t="s">
        <v>353</v>
      </c>
      <c r="H91" t="s">
        <v>9</v>
      </c>
      <c r="J91" t="s">
        <v>837</v>
      </c>
      <c r="K91" s="3" t="s">
        <v>1046</v>
      </c>
      <c r="L91" s="3" t="s">
        <v>1046</v>
      </c>
      <c r="M91" s="3" t="s">
        <v>1046</v>
      </c>
      <c r="N91" s="3" t="s">
        <v>1046</v>
      </c>
      <c r="P91" s="57" t="str">
        <f t="shared" si="1"/>
        <v>Anaconda DC</v>
      </c>
      <c r="Q91" s="57" t="str">
        <f>VLOOKUP(C91,'FIN CAL LOOKUP'!A:J,7,1)</f>
        <v>DEC, FY24</v>
      </c>
      <c r="R91" s="57" t="str">
        <f>VLOOKUP(C91,'FIN CAL LOOKUP'!A:J,10,1)</f>
        <v>Q2, FY24</v>
      </c>
    </row>
    <row r="92" spans="1:18" x14ac:dyDescent="0.25">
      <c r="A92" t="s">
        <v>838</v>
      </c>
      <c r="B92" s="58">
        <v>45267.494444444441</v>
      </c>
      <c r="C92" s="58">
        <v>45267.434027777781</v>
      </c>
      <c r="D92" t="s">
        <v>34</v>
      </c>
      <c r="E92" t="s">
        <v>414</v>
      </c>
      <c r="F92" t="s">
        <v>353</v>
      </c>
      <c r="G92" t="s">
        <v>34</v>
      </c>
      <c r="H92" t="s">
        <v>9</v>
      </c>
      <c r="J92" t="s">
        <v>839</v>
      </c>
      <c r="K92" s="3" t="s">
        <v>1046</v>
      </c>
      <c r="L92" s="3" t="s">
        <v>1046</v>
      </c>
      <c r="M92" s="3" t="s">
        <v>1046</v>
      </c>
      <c r="N92" s="3" t="s">
        <v>1046</v>
      </c>
      <c r="O92" s="3" t="s">
        <v>1029</v>
      </c>
      <c r="P92" s="57" t="str">
        <f t="shared" si="1"/>
        <v>Anaconda DC</v>
      </c>
      <c r="Q92" s="57" t="str">
        <f>VLOOKUP(C92,'FIN CAL LOOKUP'!A:J,7,1)</f>
        <v>DEC, FY24</v>
      </c>
      <c r="R92" s="57" t="str">
        <f>VLOOKUP(C92,'FIN CAL LOOKUP'!A:J,10,1)</f>
        <v>Q2, FY24</v>
      </c>
    </row>
    <row r="93" spans="1:18" x14ac:dyDescent="0.25">
      <c r="A93" t="s">
        <v>840</v>
      </c>
      <c r="B93" s="58">
        <v>45271.525000000001</v>
      </c>
      <c r="C93" s="58">
        <v>45271.458333333336</v>
      </c>
      <c r="D93" t="s">
        <v>413</v>
      </c>
      <c r="E93" t="s">
        <v>414</v>
      </c>
      <c r="F93" t="s">
        <v>353</v>
      </c>
      <c r="H93" t="s">
        <v>9</v>
      </c>
      <c r="J93" t="s">
        <v>841</v>
      </c>
      <c r="K93" s="3" t="s">
        <v>1046</v>
      </c>
      <c r="L93" s="3" t="s">
        <v>1046</v>
      </c>
      <c r="M93" s="3" t="s">
        <v>1046</v>
      </c>
      <c r="N93" s="3" t="s">
        <v>1046</v>
      </c>
      <c r="P93" s="57" t="str">
        <f t="shared" si="1"/>
        <v>Anaconda DC</v>
      </c>
      <c r="Q93" s="57" t="str">
        <f>VLOOKUP(C93,'FIN CAL LOOKUP'!A:J,7,1)</f>
        <v>DEC, FY24</v>
      </c>
      <c r="R93" s="57" t="str">
        <f>VLOOKUP(C93,'FIN CAL LOOKUP'!A:J,10,1)</f>
        <v>Q2, FY24</v>
      </c>
    </row>
    <row r="94" spans="1:18" x14ac:dyDescent="0.25">
      <c r="A94" t="s">
        <v>842</v>
      </c>
      <c r="B94" s="58">
        <v>45273.348611111112</v>
      </c>
      <c r="C94" s="58">
        <v>45267.34652777778</v>
      </c>
      <c r="D94" t="s">
        <v>413</v>
      </c>
      <c r="E94" t="s">
        <v>414</v>
      </c>
      <c r="F94" t="s">
        <v>353</v>
      </c>
      <c r="H94" t="s">
        <v>18</v>
      </c>
      <c r="J94" t="s">
        <v>843</v>
      </c>
      <c r="K94" s="3" t="s">
        <v>859</v>
      </c>
      <c r="L94" s="3" t="s">
        <v>860</v>
      </c>
      <c r="M94" s="3" t="s">
        <v>920</v>
      </c>
      <c r="N94" s="3" t="s">
        <v>921</v>
      </c>
      <c r="P94" s="57" t="str">
        <f t="shared" si="1"/>
        <v>Anaconda DC</v>
      </c>
      <c r="Q94" s="57" t="str">
        <f>VLOOKUP(C94,'FIN CAL LOOKUP'!A:J,7,1)</f>
        <v>DEC, FY24</v>
      </c>
      <c r="R94" s="57" t="str">
        <f>VLOOKUP(C94,'FIN CAL LOOKUP'!A:J,10,1)</f>
        <v>Q2, FY24</v>
      </c>
    </row>
    <row r="95" spans="1:18" x14ac:dyDescent="0.25">
      <c r="A95" t="s">
        <v>844</v>
      </c>
      <c r="B95" s="58">
        <v>45273.351388888892</v>
      </c>
      <c r="C95" s="58">
        <v>45273.255555555559</v>
      </c>
      <c r="D95" t="s">
        <v>413</v>
      </c>
      <c r="E95" t="s">
        <v>414</v>
      </c>
      <c r="F95" t="s">
        <v>353</v>
      </c>
      <c r="H95" t="s">
        <v>18</v>
      </c>
      <c r="J95" t="s">
        <v>845</v>
      </c>
      <c r="K95" s="3" t="s">
        <v>871</v>
      </c>
      <c r="L95" s="3" t="s">
        <v>866</v>
      </c>
      <c r="M95" s="3" t="s">
        <v>922</v>
      </c>
      <c r="N95" s="3" t="s">
        <v>923</v>
      </c>
      <c r="P95" s="57" t="str">
        <f t="shared" si="1"/>
        <v>Anaconda DC</v>
      </c>
      <c r="Q95" s="57" t="str">
        <f>VLOOKUP(C95,'FIN CAL LOOKUP'!A:J,7,1)</f>
        <v>DEC, FY24</v>
      </c>
      <c r="R95" s="57" t="str">
        <f>VLOOKUP(C95,'FIN CAL LOOKUP'!A:J,10,1)</f>
        <v>Q2, FY24</v>
      </c>
    </row>
    <row r="96" spans="1:18" x14ac:dyDescent="0.25">
      <c r="A96" t="s">
        <v>846</v>
      </c>
      <c r="B96" s="58">
        <v>45278.351388888892</v>
      </c>
      <c r="C96" s="58">
        <v>45267.265277777777</v>
      </c>
      <c r="D96" t="s">
        <v>413</v>
      </c>
      <c r="E96" t="s">
        <v>414</v>
      </c>
      <c r="F96" t="s">
        <v>353</v>
      </c>
      <c r="G96" t="s">
        <v>1014</v>
      </c>
      <c r="H96" t="s">
        <v>13</v>
      </c>
      <c r="I96" t="s">
        <v>36</v>
      </c>
      <c r="J96" t="s">
        <v>847</v>
      </c>
      <c r="K96" s="3" t="s">
        <v>865</v>
      </c>
      <c r="L96" s="3" t="s">
        <v>865</v>
      </c>
      <c r="M96" s="3" t="s">
        <v>867</v>
      </c>
      <c r="N96" s="3" t="s">
        <v>924</v>
      </c>
      <c r="O96" s="3" t="s">
        <v>1073</v>
      </c>
      <c r="P96" s="57" t="str">
        <f t="shared" si="1"/>
        <v>Anaconda DC</v>
      </c>
      <c r="Q96" s="57" t="str">
        <f>VLOOKUP(C96,'FIN CAL LOOKUP'!A:J,7,1)</f>
        <v>DEC, FY24</v>
      </c>
      <c r="R96" s="57" t="str">
        <f>VLOOKUP(C96,'FIN CAL LOOKUP'!A:J,10,1)</f>
        <v>Q2, FY24</v>
      </c>
    </row>
    <row r="97" spans="1:18" x14ac:dyDescent="0.25">
      <c r="A97" t="s">
        <v>848</v>
      </c>
      <c r="B97" s="58">
        <v>45278.420138888891</v>
      </c>
      <c r="C97" s="58">
        <v>45278.277777777781</v>
      </c>
      <c r="D97" t="s">
        <v>413</v>
      </c>
      <c r="E97" t="s">
        <v>414</v>
      </c>
      <c r="F97" t="s">
        <v>353</v>
      </c>
      <c r="G97" t="s">
        <v>1015</v>
      </c>
      <c r="H97" t="s">
        <v>13</v>
      </c>
      <c r="I97" t="s">
        <v>14</v>
      </c>
      <c r="J97" t="s">
        <v>849</v>
      </c>
      <c r="K97" s="3" t="s">
        <v>53</v>
      </c>
      <c r="L97" s="3" t="s">
        <v>52</v>
      </c>
      <c r="M97" s="3" t="s">
        <v>861</v>
      </c>
      <c r="N97" s="3" t="s">
        <v>862</v>
      </c>
      <c r="O97" s="3" t="s">
        <v>257</v>
      </c>
      <c r="P97" s="57" t="str">
        <f t="shared" si="1"/>
        <v>Anaconda DC</v>
      </c>
      <c r="Q97" s="57" t="str">
        <f>VLOOKUP(C97,'FIN CAL LOOKUP'!A:J,7,1)</f>
        <v>DEC, FY24</v>
      </c>
      <c r="R97" s="57" t="str">
        <f>VLOOKUP(C97,'FIN CAL LOOKUP'!A:J,10,1)</f>
        <v>Q2, FY24</v>
      </c>
    </row>
    <row r="98" spans="1:18" x14ac:dyDescent="0.25">
      <c r="A98" t="s">
        <v>850</v>
      </c>
      <c r="B98" s="58">
        <v>45278.536805555559</v>
      </c>
      <c r="C98" s="58">
        <v>45278.3125</v>
      </c>
      <c r="D98" t="s">
        <v>44</v>
      </c>
      <c r="E98" t="s">
        <v>415</v>
      </c>
      <c r="F98" t="s">
        <v>353</v>
      </c>
      <c r="G98" t="s">
        <v>1002</v>
      </c>
      <c r="H98" t="s">
        <v>13</v>
      </c>
      <c r="I98" t="s">
        <v>27</v>
      </c>
      <c r="J98" t="s">
        <v>851</v>
      </c>
      <c r="K98" s="3" t="s">
        <v>53</v>
      </c>
      <c r="L98" s="3" t="s">
        <v>860</v>
      </c>
      <c r="M98" s="3" t="s">
        <v>863</v>
      </c>
      <c r="N98" s="3" t="s">
        <v>925</v>
      </c>
      <c r="O98" s="3" t="s">
        <v>1029</v>
      </c>
      <c r="P98" s="57" t="str">
        <f t="shared" si="1"/>
        <v>Spotlight DC</v>
      </c>
      <c r="Q98" s="57" t="str">
        <f>VLOOKUP(C98,'FIN CAL LOOKUP'!A:J,7,1)</f>
        <v>DEC, FY24</v>
      </c>
      <c r="R98" s="57" t="str">
        <f>VLOOKUP(C98,'FIN CAL LOOKUP'!A:J,10,1)</f>
        <v>Q2, FY24</v>
      </c>
    </row>
    <row r="99" spans="1:18" x14ac:dyDescent="0.25">
      <c r="A99" t="s">
        <v>852</v>
      </c>
      <c r="B99" s="58">
        <v>45288.788194444445</v>
      </c>
      <c r="C99" s="58">
        <v>45288.541666666664</v>
      </c>
      <c r="D99" t="s">
        <v>416</v>
      </c>
      <c r="E99" t="s">
        <v>414</v>
      </c>
      <c r="F99" t="s">
        <v>353</v>
      </c>
      <c r="H99" t="s">
        <v>18</v>
      </c>
      <c r="J99" t="s">
        <v>853</v>
      </c>
      <c r="K99" s="3" t="s">
        <v>1046</v>
      </c>
      <c r="L99" s="3" t="s">
        <v>1046</v>
      </c>
      <c r="M99" s="3" t="s">
        <v>1046</v>
      </c>
      <c r="N99" s="3" t="s">
        <v>1046</v>
      </c>
      <c r="P99" s="57" t="str">
        <f t="shared" si="1"/>
        <v>Anaconda DC</v>
      </c>
      <c r="Q99" s="57" t="str">
        <f>VLOOKUP(C99,'FIN CAL LOOKUP'!A:J,7,1)</f>
        <v>JAN, FY24</v>
      </c>
      <c r="R99" s="57" t="str">
        <f>VLOOKUP(C99,'FIN CAL LOOKUP'!A:J,10,1)</f>
        <v>Q3, FY24</v>
      </c>
    </row>
    <row r="100" spans="1:18" x14ac:dyDescent="0.25">
      <c r="A100" t="s">
        <v>854</v>
      </c>
      <c r="B100" s="58">
        <v>45289.318055555559</v>
      </c>
      <c r="C100" s="58">
        <v>45288.333333333336</v>
      </c>
      <c r="D100" t="s">
        <v>44</v>
      </c>
      <c r="E100" t="s">
        <v>415</v>
      </c>
      <c r="F100" t="s">
        <v>353</v>
      </c>
      <c r="H100" t="s">
        <v>13</v>
      </c>
      <c r="J100" t="s">
        <v>855</v>
      </c>
      <c r="K100" s="3" t="s">
        <v>1046</v>
      </c>
      <c r="L100" s="3" t="s">
        <v>1046</v>
      </c>
      <c r="M100" s="3" t="s">
        <v>1046</v>
      </c>
      <c r="N100" s="3" t="s">
        <v>1046</v>
      </c>
      <c r="P100" s="57" t="str">
        <f t="shared" si="1"/>
        <v>Spotlight DC</v>
      </c>
      <c r="Q100" s="57" t="str">
        <f>VLOOKUP(C100,'FIN CAL LOOKUP'!A:J,7,1)</f>
        <v>JAN, FY24</v>
      </c>
      <c r="R100" s="57" t="str">
        <f>VLOOKUP(C100,'FIN CAL LOOKUP'!A:J,10,1)</f>
        <v>Q3, FY24</v>
      </c>
    </row>
    <row r="101" spans="1:18" x14ac:dyDescent="0.25">
      <c r="A101" t="s">
        <v>354</v>
      </c>
      <c r="B101" s="58">
        <v>45306.524305555555</v>
      </c>
      <c r="C101" s="58">
        <v>45301.519444444442</v>
      </c>
      <c r="D101" t="s">
        <v>417</v>
      </c>
      <c r="E101" t="s">
        <v>415</v>
      </c>
      <c r="F101" t="s">
        <v>353</v>
      </c>
      <c r="H101" t="s">
        <v>9</v>
      </c>
      <c r="J101" t="s">
        <v>419</v>
      </c>
      <c r="K101" s="3" t="s">
        <v>1046</v>
      </c>
      <c r="L101" s="3" t="s">
        <v>1046</v>
      </c>
      <c r="M101" s="3" t="s">
        <v>1046</v>
      </c>
      <c r="N101" s="3" t="s">
        <v>1046</v>
      </c>
      <c r="P101" s="57" t="str">
        <f t="shared" si="1"/>
        <v>Spotlight DC</v>
      </c>
      <c r="Q101" s="57" t="str">
        <f>VLOOKUP(C101,'FIN CAL LOOKUP'!A:J,7,1)</f>
        <v>JAN, FY24</v>
      </c>
      <c r="R101" s="57" t="str">
        <f>VLOOKUP(C101,'FIN CAL LOOKUP'!A:J,10,1)</f>
        <v>Q3, FY24</v>
      </c>
    </row>
    <row r="102" spans="1:18" x14ac:dyDescent="0.25">
      <c r="A102" t="s">
        <v>355</v>
      </c>
      <c r="B102" s="58">
        <v>45306.740972222222</v>
      </c>
      <c r="C102" s="58">
        <v>45300.923611111109</v>
      </c>
      <c r="D102" t="s">
        <v>73</v>
      </c>
      <c r="E102" t="s">
        <v>415</v>
      </c>
      <c r="F102" t="s">
        <v>353</v>
      </c>
      <c r="H102" t="s">
        <v>9</v>
      </c>
      <c r="J102" t="s">
        <v>420</v>
      </c>
      <c r="K102" s="3" t="s">
        <v>1046</v>
      </c>
      <c r="L102" s="3" t="s">
        <v>1046</v>
      </c>
      <c r="M102" s="3" t="s">
        <v>1046</v>
      </c>
      <c r="N102" s="3" t="s">
        <v>1046</v>
      </c>
      <c r="P102" s="57" t="str">
        <f t="shared" si="1"/>
        <v>Spotlight DC</v>
      </c>
      <c r="Q102" s="57" t="str">
        <f>VLOOKUP(C102,'FIN CAL LOOKUP'!A:J,7,1)</f>
        <v>JAN, FY24</v>
      </c>
      <c r="R102" s="57" t="str">
        <f>VLOOKUP(C102,'FIN CAL LOOKUP'!A:J,10,1)</f>
        <v>Q3, FY24</v>
      </c>
    </row>
    <row r="103" spans="1:18" x14ac:dyDescent="0.25">
      <c r="A103" t="s">
        <v>356</v>
      </c>
      <c r="B103" s="58">
        <v>45310.355555555558</v>
      </c>
      <c r="C103" s="58">
        <v>45309.34375</v>
      </c>
      <c r="D103" t="s">
        <v>47</v>
      </c>
      <c r="E103" t="s">
        <v>415</v>
      </c>
      <c r="F103" t="s">
        <v>353</v>
      </c>
      <c r="G103" t="s">
        <v>47</v>
      </c>
      <c r="H103" t="s">
        <v>18</v>
      </c>
      <c r="J103" t="s">
        <v>421</v>
      </c>
      <c r="K103" s="3" t="s">
        <v>865</v>
      </c>
      <c r="L103" s="3" t="s">
        <v>865</v>
      </c>
      <c r="M103" s="3" t="s">
        <v>888</v>
      </c>
      <c r="N103" s="3" t="s">
        <v>926</v>
      </c>
      <c r="O103" s="3" t="s">
        <v>257</v>
      </c>
      <c r="P103" s="57" t="str">
        <f t="shared" si="1"/>
        <v>Spotlight DC</v>
      </c>
      <c r="Q103" s="57" t="str">
        <f>VLOOKUP(C103,'FIN CAL LOOKUP'!A:J,7,1)</f>
        <v>JAN, FY24</v>
      </c>
      <c r="R103" s="57" t="str">
        <f>VLOOKUP(C103,'FIN CAL LOOKUP'!A:J,10,1)</f>
        <v>Q3, FY24</v>
      </c>
    </row>
    <row r="104" spans="1:18" x14ac:dyDescent="0.25">
      <c r="A104" t="s">
        <v>357</v>
      </c>
      <c r="B104" s="58">
        <v>45316.830555555556</v>
      </c>
      <c r="C104" s="58">
        <v>45307.729166666664</v>
      </c>
      <c r="D104" t="s">
        <v>417</v>
      </c>
      <c r="E104" t="s">
        <v>415</v>
      </c>
      <c r="F104" t="s">
        <v>353</v>
      </c>
      <c r="H104" t="s">
        <v>18</v>
      </c>
      <c r="J104" t="s">
        <v>422</v>
      </c>
      <c r="K104" s="3" t="s">
        <v>865</v>
      </c>
      <c r="L104" s="3" t="s">
        <v>865</v>
      </c>
      <c r="M104" s="3" t="s">
        <v>927</v>
      </c>
      <c r="N104" s="3" t="s">
        <v>928</v>
      </c>
      <c r="P104" s="57" t="str">
        <f t="shared" si="1"/>
        <v>Spotlight DC</v>
      </c>
      <c r="Q104" s="57" t="str">
        <f>VLOOKUP(C104,'FIN CAL LOOKUP'!A:J,7,1)</f>
        <v>JAN, FY24</v>
      </c>
      <c r="R104" s="57" t="str">
        <f>VLOOKUP(C104,'FIN CAL LOOKUP'!A:J,10,1)</f>
        <v>Q3, FY24</v>
      </c>
    </row>
    <row r="105" spans="1:18" x14ac:dyDescent="0.25">
      <c r="A105" t="s">
        <v>358</v>
      </c>
      <c r="B105" s="58">
        <v>45322.772916666669</v>
      </c>
      <c r="C105" s="58">
        <v>45322.5</v>
      </c>
      <c r="D105" t="s">
        <v>417</v>
      </c>
      <c r="E105" t="s">
        <v>415</v>
      </c>
      <c r="F105" t="s">
        <v>353</v>
      </c>
      <c r="H105" t="s">
        <v>18</v>
      </c>
      <c r="J105" t="s">
        <v>423</v>
      </c>
      <c r="K105" s="3" t="s">
        <v>865</v>
      </c>
      <c r="L105" s="3" t="s">
        <v>865</v>
      </c>
      <c r="N105" s="3" t="s">
        <v>1048</v>
      </c>
      <c r="P105" s="57" t="str">
        <f t="shared" si="1"/>
        <v>Spotlight DC</v>
      </c>
      <c r="Q105" s="57" t="str">
        <f>VLOOKUP(C105,'FIN CAL LOOKUP'!A:J,7,1)</f>
        <v>FEB, FY24</v>
      </c>
      <c r="R105" s="57" t="str">
        <f>VLOOKUP(C105,'FIN CAL LOOKUP'!A:J,10,1)</f>
        <v>Q3, FY24</v>
      </c>
    </row>
    <row r="106" spans="1:18" x14ac:dyDescent="0.25">
      <c r="A106" t="s">
        <v>359</v>
      </c>
      <c r="B106" s="58">
        <v>45322.79791666667</v>
      </c>
      <c r="C106" s="58">
        <v>45321.604166666664</v>
      </c>
      <c r="D106" t="s">
        <v>417</v>
      </c>
      <c r="E106" t="s">
        <v>415</v>
      </c>
      <c r="F106" t="s">
        <v>353</v>
      </c>
      <c r="H106" t="s">
        <v>18</v>
      </c>
      <c r="J106" t="s">
        <v>424</v>
      </c>
      <c r="K106" s="3" t="s">
        <v>929</v>
      </c>
      <c r="L106" s="3" t="s">
        <v>865</v>
      </c>
      <c r="N106" s="3" t="s">
        <v>1048</v>
      </c>
      <c r="P106" s="57" t="str">
        <f t="shared" si="1"/>
        <v>Spotlight DC</v>
      </c>
      <c r="Q106" s="57" t="str">
        <f>VLOOKUP(C106,'FIN CAL LOOKUP'!A:J,7,1)</f>
        <v>FEB, FY24</v>
      </c>
      <c r="R106" s="57" t="str">
        <f>VLOOKUP(C106,'FIN CAL LOOKUP'!A:J,10,1)</f>
        <v>Q3, FY24</v>
      </c>
    </row>
    <row r="107" spans="1:18" x14ac:dyDescent="0.25">
      <c r="A107" t="s">
        <v>10</v>
      </c>
      <c r="B107" s="58">
        <v>45324.549305555556</v>
      </c>
      <c r="C107" s="58">
        <v>45323.5</v>
      </c>
      <c r="D107" t="s">
        <v>11</v>
      </c>
      <c r="E107" t="s">
        <v>415</v>
      </c>
      <c r="F107" t="s">
        <v>12</v>
      </c>
      <c r="G107" t="s">
        <v>1014</v>
      </c>
      <c r="H107" t="s">
        <v>13</v>
      </c>
      <c r="I107" t="s">
        <v>14</v>
      </c>
      <c r="J107" t="s">
        <v>15</v>
      </c>
      <c r="K107" s="3" t="s">
        <v>865</v>
      </c>
      <c r="L107" s="3" t="s">
        <v>865</v>
      </c>
      <c r="N107" s="3" t="s">
        <v>1052</v>
      </c>
      <c r="O107" s="3" t="s">
        <v>1030</v>
      </c>
      <c r="P107" s="57" t="str">
        <f t="shared" si="1"/>
        <v>Spotlight DC</v>
      </c>
      <c r="Q107" s="57" t="str">
        <f>VLOOKUP(C107,'FIN CAL LOOKUP'!A:J,7,1)</f>
        <v>FEB, FY24</v>
      </c>
      <c r="R107" s="57" t="str">
        <f>VLOOKUP(C107,'FIN CAL LOOKUP'!A:J,10,1)</f>
        <v>Q3, FY24</v>
      </c>
    </row>
    <row r="108" spans="1:18" x14ac:dyDescent="0.25">
      <c r="A108" t="s">
        <v>360</v>
      </c>
      <c r="B108" s="58">
        <v>45327.897916666669</v>
      </c>
      <c r="C108" s="58">
        <v>45327.881944444445</v>
      </c>
      <c r="D108" t="s">
        <v>73</v>
      </c>
      <c r="E108" t="s">
        <v>415</v>
      </c>
      <c r="F108" t="s">
        <v>353</v>
      </c>
      <c r="H108" t="s">
        <v>9</v>
      </c>
      <c r="J108" t="s">
        <v>425</v>
      </c>
      <c r="K108" s="3" t="s">
        <v>1046</v>
      </c>
      <c r="L108" s="3" t="s">
        <v>1046</v>
      </c>
      <c r="M108" s="3" t="s">
        <v>1046</v>
      </c>
      <c r="N108" s="3" t="s">
        <v>1046</v>
      </c>
      <c r="P108" s="57" t="str">
        <f t="shared" si="1"/>
        <v>Spotlight DC</v>
      </c>
      <c r="Q108" s="57" t="str">
        <f>VLOOKUP(C108,'FIN CAL LOOKUP'!A:J,7,1)</f>
        <v>FEB, FY24</v>
      </c>
      <c r="R108" s="57" t="str">
        <f>VLOOKUP(C108,'FIN CAL LOOKUP'!A:J,10,1)</f>
        <v>Q3, FY24</v>
      </c>
    </row>
    <row r="109" spans="1:18" x14ac:dyDescent="0.25">
      <c r="A109" t="s">
        <v>361</v>
      </c>
      <c r="B109" s="58">
        <v>45344.868750000001</v>
      </c>
      <c r="C109" s="58">
        <v>45344.802083333336</v>
      </c>
      <c r="D109" t="s">
        <v>73</v>
      </c>
      <c r="E109" t="s">
        <v>415</v>
      </c>
      <c r="F109" t="s">
        <v>353</v>
      </c>
      <c r="H109" t="s">
        <v>18</v>
      </c>
      <c r="J109" t="s">
        <v>426</v>
      </c>
      <c r="K109" s="3" t="s">
        <v>53</v>
      </c>
      <c r="L109" s="3" t="s">
        <v>866</v>
      </c>
      <c r="M109" s="3" t="s">
        <v>888</v>
      </c>
      <c r="N109" s="3" t="s">
        <v>930</v>
      </c>
      <c r="P109" s="57" t="str">
        <f t="shared" si="1"/>
        <v>Spotlight DC</v>
      </c>
      <c r="Q109" s="57" t="str">
        <f>VLOOKUP(C109,'FIN CAL LOOKUP'!A:J,7,1)</f>
        <v>FEB, FY24</v>
      </c>
      <c r="R109" s="57" t="str">
        <f>VLOOKUP(C109,'FIN CAL LOOKUP'!A:J,10,1)</f>
        <v>Q3, FY24</v>
      </c>
    </row>
    <row r="110" spans="1:18" x14ac:dyDescent="0.25">
      <c r="A110" t="s">
        <v>362</v>
      </c>
      <c r="B110" s="58">
        <v>45352.836805555555</v>
      </c>
      <c r="C110" s="58">
        <v>45351.631944444445</v>
      </c>
      <c r="D110" t="s">
        <v>417</v>
      </c>
      <c r="E110" t="s">
        <v>415</v>
      </c>
      <c r="F110" t="s">
        <v>353</v>
      </c>
      <c r="G110" t="s">
        <v>1007</v>
      </c>
      <c r="H110" t="s">
        <v>13</v>
      </c>
      <c r="I110" t="s">
        <v>36</v>
      </c>
      <c r="J110" t="s">
        <v>427</v>
      </c>
      <c r="K110" s="3" t="s">
        <v>871</v>
      </c>
      <c r="L110" s="3" t="s">
        <v>931</v>
      </c>
      <c r="M110" s="3" t="s">
        <v>932</v>
      </c>
      <c r="N110" s="3" t="s">
        <v>933</v>
      </c>
      <c r="O110" s="3" t="s">
        <v>1029</v>
      </c>
      <c r="P110" s="57" t="str">
        <f t="shared" si="1"/>
        <v>Spotlight DC</v>
      </c>
      <c r="Q110" s="57" t="str">
        <f>VLOOKUP(C110,'FIN CAL LOOKUP'!A:J,7,1)</f>
        <v>MAR, FY24</v>
      </c>
      <c r="R110" s="57" t="str">
        <f>VLOOKUP(C110,'FIN CAL LOOKUP'!A:J,10,1)</f>
        <v>Q3, FY24</v>
      </c>
    </row>
    <row r="111" spans="1:18" x14ac:dyDescent="0.25">
      <c r="A111" t="s">
        <v>363</v>
      </c>
      <c r="B111" s="58">
        <v>45355.56527777778</v>
      </c>
      <c r="C111" s="58">
        <v>45345.458333333336</v>
      </c>
      <c r="D111" t="s">
        <v>47</v>
      </c>
      <c r="E111" t="s">
        <v>415</v>
      </c>
      <c r="F111" t="s">
        <v>353</v>
      </c>
      <c r="H111" t="s">
        <v>18</v>
      </c>
      <c r="J111" t="s">
        <v>428</v>
      </c>
      <c r="K111" s="3" t="s">
        <v>1046</v>
      </c>
      <c r="L111" s="3" t="s">
        <v>1046</v>
      </c>
      <c r="M111" s="3" t="s">
        <v>1046</v>
      </c>
      <c r="N111" s="3" t="s">
        <v>1046</v>
      </c>
      <c r="P111" s="57" t="str">
        <f t="shared" si="1"/>
        <v>Spotlight DC</v>
      </c>
      <c r="Q111" s="57" t="str">
        <f>VLOOKUP(C111,'FIN CAL LOOKUP'!A:J,7,1)</f>
        <v>FEB, FY24</v>
      </c>
      <c r="R111" s="57" t="str">
        <f>VLOOKUP(C111,'FIN CAL LOOKUP'!A:J,10,1)</f>
        <v>Q3, FY24</v>
      </c>
    </row>
    <row r="112" spans="1:18" x14ac:dyDescent="0.25">
      <c r="A112" t="s">
        <v>364</v>
      </c>
      <c r="B112" s="58">
        <v>45357.421527777777</v>
      </c>
      <c r="C112" s="58">
        <v>45350.334027777775</v>
      </c>
      <c r="D112" t="s">
        <v>44</v>
      </c>
      <c r="E112" t="s">
        <v>415</v>
      </c>
      <c r="F112" t="s">
        <v>353</v>
      </c>
      <c r="G112" t="s">
        <v>44</v>
      </c>
      <c r="H112" t="s">
        <v>18</v>
      </c>
      <c r="I112" t="s">
        <v>27</v>
      </c>
      <c r="J112" t="s">
        <v>429</v>
      </c>
      <c r="K112" s="3" t="s">
        <v>1046</v>
      </c>
      <c r="L112" s="3" t="s">
        <v>1046</v>
      </c>
      <c r="M112" s="3" t="s">
        <v>1046</v>
      </c>
      <c r="N112" s="3" t="s">
        <v>1046</v>
      </c>
      <c r="O112" s="3" t="s">
        <v>257</v>
      </c>
      <c r="P112" s="57" t="str">
        <f t="shared" si="1"/>
        <v>Spotlight DC</v>
      </c>
      <c r="Q112" s="57" t="str">
        <f>VLOOKUP(C112,'FIN CAL LOOKUP'!A:J,7,1)</f>
        <v>MAR, FY24</v>
      </c>
      <c r="R112" s="57" t="str">
        <f>VLOOKUP(C112,'FIN CAL LOOKUP'!A:J,10,1)</f>
        <v>Q3, FY24</v>
      </c>
    </row>
    <row r="113" spans="1:18" x14ac:dyDescent="0.25">
      <c r="A113" t="s">
        <v>365</v>
      </c>
      <c r="B113" s="58">
        <v>45357.430555555555</v>
      </c>
      <c r="C113" s="58">
        <v>45323.511111111111</v>
      </c>
      <c r="D113" t="s">
        <v>44</v>
      </c>
      <c r="E113" t="s">
        <v>415</v>
      </c>
      <c r="F113" t="s">
        <v>353</v>
      </c>
      <c r="G113" t="s">
        <v>44</v>
      </c>
      <c r="H113" t="s">
        <v>18</v>
      </c>
      <c r="J113" t="s">
        <v>430</v>
      </c>
      <c r="K113" s="3" t="s">
        <v>1046</v>
      </c>
      <c r="L113" s="3" t="s">
        <v>1046</v>
      </c>
      <c r="M113" s="3" t="s">
        <v>1046</v>
      </c>
      <c r="N113" s="3" t="s">
        <v>1046</v>
      </c>
      <c r="O113" s="3" t="s">
        <v>257</v>
      </c>
      <c r="P113" s="57" t="str">
        <f t="shared" si="1"/>
        <v>Spotlight DC</v>
      </c>
      <c r="Q113" s="57" t="str">
        <f>VLOOKUP(C113,'FIN CAL LOOKUP'!A:J,7,1)</f>
        <v>FEB, FY24</v>
      </c>
      <c r="R113" s="57" t="str">
        <f>VLOOKUP(C113,'FIN CAL LOOKUP'!A:J,10,1)</f>
        <v>Q3, FY24</v>
      </c>
    </row>
    <row r="114" spans="1:18" x14ac:dyDescent="0.25">
      <c r="A114" t="s">
        <v>366</v>
      </c>
      <c r="B114" s="58">
        <v>45357.447916666664</v>
      </c>
      <c r="C114" s="58">
        <v>45337.417361111111</v>
      </c>
      <c r="D114" t="s">
        <v>44</v>
      </c>
      <c r="E114" t="s">
        <v>415</v>
      </c>
      <c r="F114" t="s">
        <v>353</v>
      </c>
      <c r="G114" t="s">
        <v>44</v>
      </c>
      <c r="H114" t="s">
        <v>18</v>
      </c>
      <c r="I114" t="s">
        <v>27</v>
      </c>
      <c r="J114" t="s">
        <v>431</v>
      </c>
      <c r="K114" s="3" t="s">
        <v>1046</v>
      </c>
      <c r="L114" s="3" t="s">
        <v>1046</v>
      </c>
      <c r="M114" s="3" t="s">
        <v>1046</v>
      </c>
      <c r="N114" s="3" t="s">
        <v>1046</v>
      </c>
      <c r="O114" s="3" t="s">
        <v>257</v>
      </c>
      <c r="P114" s="57" t="str">
        <f t="shared" si="1"/>
        <v>Spotlight DC</v>
      </c>
      <c r="Q114" s="57" t="str">
        <f>VLOOKUP(C114,'FIN CAL LOOKUP'!A:J,7,1)</f>
        <v>FEB, FY24</v>
      </c>
      <c r="R114" s="57" t="str">
        <f>VLOOKUP(C114,'FIN CAL LOOKUP'!A:J,10,1)</f>
        <v>Q3, FY24</v>
      </c>
    </row>
    <row r="115" spans="1:18" x14ac:dyDescent="0.25">
      <c r="A115" t="s">
        <v>367</v>
      </c>
      <c r="B115" s="58">
        <v>45357.736805555556</v>
      </c>
      <c r="C115" s="58">
        <v>45356.916666666664</v>
      </c>
      <c r="D115" t="s">
        <v>110</v>
      </c>
      <c r="E115" t="s">
        <v>415</v>
      </c>
      <c r="F115" t="s">
        <v>353</v>
      </c>
      <c r="G115" t="s">
        <v>1016</v>
      </c>
      <c r="H115" t="s">
        <v>13</v>
      </c>
      <c r="I115" t="s">
        <v>27</v>
      </c>
      <c r="J115" t="s">
        <v>432</v>
      </c>
      <c r="K115" s="3" t="s">
        <v>53</v>
      </c>
      <c r="L115" s="3" t="s">
        <v>52</v>
      </c>
      <c r="M115" s="3" t="s">
        <v>934</v>
      </c>
      <c r="N115" s="3" t="s">
        <v>935</v>
      </c>
      <c r="O115" s="3" t="s">
        <v>1029</v>
      </c>
      <c r="P115" s="57" t="str">
        <f t="shared" si="1"/>
        <v>Spotlight DC</v>
      </c>
      <c r="Q115" s="57" t="str">
        <f>VLOOKUP(C115,'FIN CAL LOOKUP'!A:J,7,1)</f>
        <v>MAR, FY24</v>
      </c>
      <c r="R115" s="57" t="str">
        <f>VLOOKUP(C115,'FIN CAL LOOKUP'!A:J,10,1)</f>
        <v>Q3, FY24</v>
      </c>
    </row>
    <row r="116" spans="1:18" x14ac:dyDescent="0.25">
      <c r="A116" t="s">
        <v>368</v>
      </c>
      <c r="B116" s="58">
        <v>45370.751388888886</v>
      </c>
      <c r="C116" s="58">
        <v>45369.923611111109</v>
      </c>
      <c r="D116" t="s">
        <v>110</v>
      </c>
      <c r="E116" t="s">
        <v>415</v>
      </c>
      <c r="F116" t="s">
        <v>353</v>
      </c>
      <c r="G116" t="s">
        <v>1017</v>
      </c>
      <c r="H116" t="s">
        <v>13</v>
      </c>
      <c r="I116" t="s">
        <v>14</v>
      </c>
      <c r="J116" t="s">
        <v>433</v>
      </c>
      <c r="K116" s="3" t="s">
        <v>875</v>
      </c>
      <c r="L116" s="3" t="s">
        <v>866</v>
      </c>
      <c r="M116" s="3" t="s">
        <v>914</v>
      </c>
      <c r="N116" s="3" t="s">
        <v>936</v>
      </c>
      <c r="O116" s="3" t="s">
        <v>257</v>
      </c>
      <c r="P116" s="57" t="str">
        <f t="shared" si="1"/>
        <v>Spotlight DC</v>
      </c>
      <c r="Q116" s="57" t="str">
        <f>VLOOKUP(C116,'FIN CAL LOOKUP'!A:J,7,1)</f>
        <v>MAR, FY24</v>
      </c>
      <c r="R116" s="57" t="str">
        <f>VLOOKUP(C116,'FIN CAL LOOKUP'!A:J,10,1)</f>
        <v>Q3, FY24</v>
      </c>
    </row>
    <row r="117" spans="1:18" x14ac:dyDescent="0.25">
      <c r="A117" t="s">
        <v>369</v>
      </c>
      <c r="B117" s="58">
        <v>45394.636805555558</v>
      </c>
      <c r="C117" s="58">
        <v>45393.788194444445</v>
      </c>
      <c r="D117" t="s">
        <v>73</v>
      </c>
      <c r="E117" t="s">
        <v>415</v>
      </c>
      <c r="F117" t="s">
        <v>353</v>
      </c>
      <c r="H117" t="s">
        <v>9</v>
      </c>
      <c r="J117" t="s">
        <v>434</v>
      </c>
      <c r="K117" s="3" t="s">
        <v>1046</v>
      </c>
      <c r="L117" s="3" t="s">
        <v>1046</v>
      </c>
      <c r="M117" s="3" t="s">
        <v>1046</v>
      </c>
      <c r="N117" s="3" t="s">
        <v>1046</v>
      </c>
      <c r="P117" s="57" t="str">
        <f t="shared" si="1"/>
        <v>Spotlight DC</v>
      </c>
      <c r="Q117" s="57" t="str">
        <f>VLOOKUP(C117,'FIN CAL LOOKUP'!A:J,7,1)</f>
        <v>APR, FY24</v>
      </c>
      <c r="R117" s="57" t="str">
        <f>VLOOKUP(C117,'FIN CAL LOOKUP'!A:J,10,1)</f>
        <v>Q4, FY24</v>
      </c>
    </row>
    <row r="118" spans="1:18" x14ac:dyDescent="0.25">
      <c r="A118" t="s">
        <v>370</v>
      </c>
      <c r="B118" s="58">
        <v>45401.587500000001</v>
      </c>
      <c r="C118" s="58">
        <v>45400.361111111109</v>
      </c>
      <c r="D118" t="s">
        <v>25</v>
      </c>
      <c r="E118" t="s">
        <v>82</v>
      </c>
      <c r="F118" t="s">
        <v>353</v>
      </c>
      <c r="H118" t="s">
        <v>18</v>
      </c>
      <c r="J118" t="s">
        <v>435</v>
      </c>
      <c r="K118" s="3" t="s">
        <v>937</v>
      </c>
      <c r="L118" s="3" t="s">
        <v>865</v>
      </c>
      <c r="N118" s="3" t="s">
        <v>1053</v>
      </c>
      <c r="P118" s="57" t="str">
        <f t="shared" si="1"/>
        <v>Harris Scarfe DC</v>
      </c>
      <c r="Q118" s="57" t="str">
        <f>VLOOKUP(C118,'FIN CAL LOOKUP'!A:J,7,1)</f>
        <v>APR, FY24</v>
      </c>
      <c r="R118" s="57" t="str">
        <f>VLOOKUP(C118,'FIN CAL LOOKUP'!A:J,10,1)</f>
        <v>Q4, FY24</v>
      </c>
    </row>
    <row r="119" spans="1:18" x14ac:dyDescent="0.25">
      <c r="A119" t="s">
        <v>371</v>
      </c>
      <c r="B119" s="58">
        <v>45401.792361111111</v>
      </c>
      <c r="C119" s="58">
        <v>45401.369444444441</v>
      </c>
      <c r="D119" t="s">
        <v>417</v>
      </c>
      <c r="E119" t="s">
        <v>415</v>
      </c>
      <c r="F119" t="s">
        <v>353</v>
      </c>
      <c r="H119" t="s">
        <v>9</v>
      </c>
      <c r="J119" t="s">
        <v>436</v>
      </c>
      <c r="K119" s="3" t="s">
        <v>1046</v>
      </c>
      <c r="L119" s="3" t="s">
        <v>1046</v>
      </c>
      <c r="M119" s="3" t="s">
        <v>1046</v>
      </c>
      <c r="N119" s="3" t="s">
        <v>1046</v>
      </c>
      <c r="P119" s="57" t="str">
        <f t="shared" si="1"/>
        <v>Spotlight DC</v>
      </c>
      <c r="Q119" s="57" t="str">
        <f>VLOOKUP(C119,'FIN CAL LOOKUP'!A:J,7,1)</f>
        <v>APR, FY24</v>
      </c>
      <c r="R119" s="57" t="str">
        <f>VLOOKUP(C119,'FIN CAL LOOKUP'!A:J,10,1)</f>
        <v>Q4, FY24</v>
      </c>
    </row>
    <row r="120" spans="1:18" x14ac:dyDescent="0.25">
      <c r="A120" t="s">
        <v>372</v>
      </c>
      <c r="B120" s="58">
        <v>45404.44027777778</v>
      </c>
      <c r="C120" s="58">
        <v>45404.423611111109</v>
      </c>
      <c r="D120" t="s">
        <v>25</v>
      </c>
      <c r="E120" t="s">
        <v>82</v>
      </c>
      <c r="F120" t="s">
        <v>353</v>
      </c>
      <c r="G120" t="s">
        <v>1018</v>
      </c>
      <c r="H120" t="s">
        <v>13</v>
      </c>
      <c r="I120" t="s">
        <v>27</v>
      </c>
      <c r="J120" t="s">
        <v>437</v>
      </c>
      <c r="K120" s="3" t="s">
        <v>865</v>
      </c>
      <c r="L120" s="3" t="s">
        <v>860</v>
      </c>
      <c r="M120" s="3" t="s">
        <v>890</v>
      </c>
      <c r="N120" s="3" t="s">
        <v>938</v>
      </c>
      <c r="O120" s="3" t="s">
        <v>1029</v>
      </c>
      <c r="P120" s="57" t="str">
        <f t="shared" si="1"/>
        <v>Harris Scarfe DC</v>
      </c>
      <c r="Q120" s="57" t="str">
        <f>VLOOKUP(C120,'FIN CAL LOOKUP'!A:J,7,1)</f>
        <v>MAY, FY24</v>
      </c>
      <c r="R120" s="57" t="str">
        <f>VLOOKUP(C120,'FIN CAL LOOKUP'!A:J,10,1)</f>
        <v>Q4, FY24</v>
      </c>
    </row>
    <row r="121" spans="1:18" x14ac:dyDescent="0.25">
      <c r="A121" t="s">
        <v>373</v>
      </c>
      <c r="B121" s="58">
        <v>45405.609722222223</v>
      </c>
      <c r="C121" s="58">
        <v>45405.586805555555</v>
      </c>
      <c r="D121" t="s">
        <v>25</v>
      </c>
      <c r="E121" t="s">
        <v>82</v>
      </c>
      <c r="F121" t="s">
        <v>353</v>
      </c>
      <c r="G121" t="s">
        <v>25</v>
      </c>
      <c r="H121" t="s">
        <v>18</v>
      </c>
      <c r="I121" t="s">
        <v>27</v>
      </c>
      <c r="J121" t="s">
        <v>438</v>
      </c>
      <c r="K121" s="3" t="s">
        <v>875</v>
      </c>
      <c r="L121" s="3" t="s">
        <v>939</v>
      </c>
      <c r="M121" s="3" t="s">
        <v>940</v>
      </c>
      <c r="N121" s="3" t="s">
        <v>941</v>
      </c>
      <c r="P121" s="57" t="str">
        <f t="shared" si="1"/>
        <v>Harris Scarfe DC</v>
      </c>
      <c r="Q121" s="57" t="str">
        <f>VLOOKUP(C121,'FIN CAL LOOKUP'!A:J,7,1)</f>
        <v>MAY, FY24</v>
      </c>
      <c r="R121" s="57" t="str">
        <f>VLOOKUP(C121,'FIN CAL LOOKUP'!A:J,10,1)</f>
        <v>Q4, FY24</v>
      </c>
    </row>
    <row r="122" spans="1:18" x14ac:dyDescent="0.25">
      <c r="A122" t="s">
        <v>374</v>
      </c>
      <c r="B122" s="58">
        <v>45406.634722222225</v>
      </c>
      <c r="C122" s="58">
        <v>45406.583333333336</v>
      </c>
      <c r="D122" t="s">
        <v>82</v>
      </c>
      <c r="E122" t="s">
        <v>415</v>
      </c>
      <c r="F122" t="s">
        <v>353</v>
      </c>
      <c r="H122" t="s">
        <v>18</v>
      </c>
      <c r="J122" t="s">
        <v>439</v>
      </c>
      <c r="K122" s="3" t="s">
        <v>1046</v>
      </c>
      <c r="L122" s="3" t="s">
        <v>1046</v>
      </c>
      <c r="M122" s="3" t="s">
        <v>1046</v>
      </c>
      <c r="N122" s="3" t="s">
        <v>1046</v>
      </c>
      <c r="P122" s="57" t="str">
        <f t="shared" si="1"/>
        <v>Spotlight DC</v>
      </c>
      <c r="Q122" s="57" t="str">
        <f>VLOOKUP(C122,'FIN CAL LOOKUP'!A:J,7,1)</f>
        <v>MAY, FY24</v>
      </c>
      <c r="R122" s="57" t="str">
        <f>VLOOKUP(C122,'FIN CAL LOOKUP'!A:J,10,1)</f>
        <v>Q4, FY24</v>
      </c>
    </row>
    <row r="123" spans="1:18" x14ac:dyDescent="0.25">
      <c r="A123" t="s">
        <v>375</v>
      </c>
      <c r="B123" s="58">
        <v>45412.338888888888</v>
      </c>
      <c r="C123" s="58">
        <v>45411.291666666664</v>
      </c>
      <c r="D123" t="s">
        <v>47</v>
      </c>
      <c r="E123" t="s">
        <v>415</v>
      </c>
      <c r="F123" t="s">
        <v>353</v>
      </c>
      <c r="G123" t="s">
        <v>1019</v>
      </c>
      <c r="H123" t="s">
        <v>13</v>
      </c>
      <c r="I123" t="s">
        <v>14</v>
      </c>
      <c r="J123" t="s">
        <v>440</v>
      </c>
      <c r="K123" s="3" t="s">
        <v>942</v>
      </c>
      <c r="L123" s="3" t="s">
        <v>860</v>
      </c>
      <c r="M123" s="3" t="s">
        <v>879</v>
      </c>
      <c r="N123" s="3" t="s">
        <v>943</v>
      </c>
      <c r="O123" s="3" t="s">
        <v>257</v>
      </c>
      <c r="P123" s="57" t="str">
        <f t="shared" si="1"/>
        <v>Spotlight DC</v>
      </c>
      <c r="Q123" s="57" t="str">
        <f>VLOOKUP(C123,'FIN CAL LOOKUP'!A:J,7,1)</f>
        <v>MAY, FY24</v>
      </c>
      <c r="R123" s="57" t="str">
        <f>VLOOKUP(C123,'FIN CAL LOOKUP'!A:J,10,1)</f>
        <v>Q4, FY24</v>
      </c>
    </row>
    <row r="124" spans="1:18" x14ac:dyDescent="0.25">
      <c r="A124" t="s">
        <v>376</v>
      </c>
      <c r="B124" s="58">
        <v>45413.496527777781</v>
      </c>
      <c r="C124" s="58">
        <v>45412.4375</v>
      </c>
      <c r="D124" t="s">
        <v>25</v>
      </c>
      <c r="E124" t="s">
        <v>82</v>
      </c>
      <c r="F124" t="s">
        <v>353</v>
      </c>
      <c r="G124" t="s">
        <v>25</v>
      </c>
      <c r="H124" t="s">
        <v>13</v>
      </c>
      <c r="J124" t="s">
        <v>441</v>
      </c>
      <c r="K124" s="3" t="s">
        <v>871</v>
      </c>
      <c r="L124" s="3" t="s">
        <v>860</v>
      </c>
      <c r="M124" s="3" t="s">
        <v>861</v>
      </c>
      <c r="N124" s="3" t="s">
        <v>944</v>
      </c>
      <c r="O124" s="3" t="s">
        <v>1029</v>
      </c>
      <c r="P124" s="57" t="str">
        <f t="shared" si="1"/>
        <v>Harris Scarfe DC</v>
      </c>
      <c r="Q124" s="57" t="str">
        <f>VLOOKUP(C124,'FIN CAL LOOKUP'!A:J,7,1)</f>
        <v>MAY, FY24</v>
      </c>
      <c r="R124" s="57" t="str">
        <f>VLOOKUP(C124,'FIN CAL LOOKUP'!A:J,10,1)</f>
        <v>Q4, FY24</v>
      </c>
    </row>
    <row r="125" spans="1:18" x14ac:dyDescent="0.25">
      <c r="A125" t="s">
        <v>16</v>
      </c>
      <c r="B125" s="58">
        <v>45413.630555555559</v>
      </c>
      <c r="C125" s="58">
        <v>45412.861111111109</v>
      </c>
      <c r="D125" t="s">
        <v>17</v>
      </c>
      <c r="E125" t="s">
        <v>415</v>
      </c>
      <c r="F125" t="s">
        <v>12</v>
      </c>
      <c r="H125" t="s">
        <v>18</v>
      </c>
      <c r="J125" t="s">
        <v>19</v>
      </c>
      <c r="K125" s="3" t="s">
        <v>875</v>
      </c>
      <c r="L125" s="3" t="s">
        <v>865</v>
      </c>
      <c r="N125" s="3" t="s">
        <v>1048</v>
      </c>
      <c r="P125" s="57" t="str">
        <f t="shared" si="1"/>
        <v>Spotlight DC</v>
      </c>
      <c r="Q125" s="57" t="str">
        <f>VLOOKUP(C125,'FIN CAL LOOKUP'!A:J,7,1)</f>
        <v>MAY, FY24</v>
      </c>
      <c r="R125" s="57" t="str">
        <f>VLOOKUP(C125,'FIN CAL LOOKUP'!A:J,10,1)</f>
        <v>Q4, FY24</v>
      </c>
    </row>
    <row r="126" spans="1:18" x14ac:dyDescent="0.25">
      <c r="A126" t="s">
        <v>377</v>
      </c>
      <c r="B126" s="58">
        <v>45419.470138888886</v>
      </c>
      <c r="C126" s="58">
        <v>45419.259027777778</v>
      </c>
      <c r="D126" t="s">
        <v>44</v>
      </c>
      <c r="E126" t="s">
        <v>415</v>
      </c>
      <c r="F126" t="s">
        <v>353</v>
      </c>
      <c r="H126" t="s">
        <v>18</v>
      </c>
      <c r="J126" t="s">
        <v>442</v>
      </c>
      <c r="K126" s="3" t="s">
        <v>871</v>
      </c>
      <c r="L126" s="3" t="s">
        <v>865</v>
      </c>
      <c r="N126" s="3" t="s">
        <v>1054</v>
      </c>
      <c r="P126" s="57" t="str">
        <f t="shared" si="1"/>
        <v>Spotlight DC</v>
      </c>
      <c r="Q126" s="57" t="str">
        <f>VLOOKUP(C126,'FIN CAL LOOKUP'!A:J,7,1)</f>
        <v>MAY, FY24</v>
      </c>
      <c r="R126" s="57" t="str">
        <f>VLOOKUP(C126,'FIN CAL LOOKUP'!A:J,10,1)</f>
        <v>Q4, FY24</v>
      </c>
    </row>
    <row r="127" spans="1:18" x14ac:dyDescent="0.25">
      <c r="A127" t="s">
        <v>378</v>
      </c>
      <c r="B127" s="58">
        <v>45422.354166666664</v>
      </c>
      <c r="C127" s="58">
        <v>45422.333333333336</v>
      </c>
      <c r="D127" t="s">
        <v>44</v>
      </c>
      <c r="E127" t="s">
        <v>415</v>
      </c>
      <c r="F127" t="s">
        <v>353</v>
      </c>
      <c r="H127" t="s">
        <v>18</v>
      </c>
      <c r="J127" t="s">
        <v>443</v>
      </c>
      <c r="K127" s="3" t="s">
        <v>901</v>
      </c>
      <c r="L127" s="3" t="s">
        <v>866</v>
      </c>
      <c r="M127" s="3" t="s">
        <v>902</v>
      </c>
      <c r="N127" s="3" t="s">
        <v>945</v>
      </c>
      <c r="P127" s="57" t="str">
        <f t="shared" si="1"/>
        <v>Spotlight DC</v>
      </c>
      <c r="Q127" s="57" t="str">
        <f>VLOOKUP(C127,'FIN CAL LOOKUP'!A:J,7,1)</f>
        <v>MAY, FY24</v>
      </c>
      <c r="R127" s="57" t="str">
        <f>VLOOKUP(C127,'FIN CAL LOOKUP'!A:J,10,1)</f>
        <v>Q4, FY24</v>
      </c>
    </row>
    <row r="128" spans="1:18" x14ac:dyDescent="0.25">
      <c r="A128" t="s">
        <v>20</v>
      </c>
      <c r="B128" s="58">
        <v>45429.850694444445</v>
      </c>
      <c r="C128" s="58">
        <v>45429.614583333336</v>
      </c>
      <c r="D128" t="s">
        <v>17</v>
      </c>
      <c r="E128" t="s">
        <v>415</v>
      </c>
      <c r="F128" t="s">
        <v>12</v>
      </c>
      <c r="H128" t="s">
        <v>18</v>
      </c>
      <c r="J128" t="s">
        <v>21</v>
      </c>
      <c r="K128" s="3" t="s">
        <v>859</v>
      </c>
      <c r="L128" s="3" t="s">
        <v>865</v>
      </c>
      <c r="N128" s="3" t="s">
        <v>1055</v>
      </c>
      <c r="P128" s="57" t="str">
        <f t="shared" si="1"/>
        <v>Spotlight DC</v>
      </c>
      <c r="Q128" s="57" t="str">
        <f>VLOOKUP(C128,'FIN CAL LOOKUP'!A:J,7,1)</f>
        <v>MAY, FY24</v>
      </c>
      <c r="R128" s="57" t="str">
        <f>VLOOKUP(C128,'FIN CAL LOOKUP'!A:J,10,1)</f>
        <v>Q4, FY24</v>
      </c>
    </row>
    <row r="129" spans="1:18" x14ac:dyDescent="0.25">
      <c r="A129" t="s">
        <v>379</v>
      </c>
      <c r="B129" s="58">
        <v>45432.408333333333</v>
      </c>
      <c r="C129" s="58">
        <v>45432.398611111108</v>
      </c>
      <c r="D129" t="s">
        <v>41</v>
      </c>
      <c r="E129" t="s">
        <v>414</v>
      </c>
      <c r="F129" t="s">
        <v>353</v>
      </c>
      <c r="G129" t="s">
        <v>1020</v>
      </c>
      <c r="H129" t="s">
        <v>13</v>
      </c>
      <c r="J129" t="s">
        <v>444</v>
      </c>
      <c r="K129" s="3" t="s">
        <v>946</v>
      </c>
      <c r="L129" s="3" t="s">
        <v>866</v>
      </c>
      <c r="M129" s="3" t="s">
        <v>947</v>
      </c>
      <c r="N129" s="3" t="s">
        <v>948</v>
      </c>
      <c r="O129" s="3" t="s">
        <v>1071</v>
      </c>
      <c r="P129" s="57" t="str">
        <f t="shared" si="1"/>
        <v>Anaconda DC</v>
      </c>
      <c r="Q129" s="57" t="str">
        <f>VLOOKUP(C129,'FIN CAL LOOKUP'!A:J,7,1)</f>
        <v>MAY, FY24</v>
      </c>
      <c r="R129" s="57" t="str">
        <f>VLOOKUP(C129,'FIN CAL LOOKUP'!A:J,10,1)</f>
        <v>Q4, FY24</v>
      </c>
    </row>
    <row r="130" spans="1:18" x14ac:dyDescent="0.25">
      <c r="A130" t="s">
        <v>380</v>
      </c>
      <c r="B130" s="58">
        <v>45436.595138888886</v>
      </c>
      <c r="C130" s="58">
        <v>45436.527777777781</v>
      </c>
      <c r="D130" t="s">
        <v>25</v>
      </c>
      <c r="E130" t="s">
        <v>82</v>
      </c>
      <c r="F130" t="s">
        <v>353</v>
      </c>
      <c r="H130" t="s">
        <v>18</v>
      </c>
      <c r="J130" t="s">
        <v>445</v>
      </c>
      <c r="K130" s="3" t="s">
        <v>865</v>
      </c>
      <c r="L130" s="3" t="s">
        <v>865</v>
      </c>
      <c r="N130" s="3" t="s">
        <v>1053</v>
      </c>
      <c r="P130" s="57" t="str">
        <f t="shared" si="1"/>
        <v>Harris Scarfe DC</v>
      </c>
      <c r="Q130" s="57" t="str">
        <f>VLOOKUP(C130,'FIN CAL LOOKUP'!A:J,7,1)</f>
        <v>MAY, FY24</v>
      </c>
      <c r="R130" s="57" t="str">
        <f>VLOOKUP(C130,'FIN CAL LOOKUP'!A:J,10,1)</f>
        <v>Q4, FY24</v>
      </c>
    </row>
    <row r="131" spans="1:18" x14ac:dyDescent="0.25">
      <c r="A131" t="s">
        <v>22</v>
      </c>
      <c r="B131" s="58">
        <v>45441.712500000001</v>
      </c>
      <c r="C131" s="58">
        <v>45441.458333333336</v>
      </c>
      <c r="D131" t="s">
        <v>17</v>
      </c>
      <c r="E131" t="s">
        <v>415</v>
      </c>
      <c r="F131" t="s">
        <v>12</v>
      </c>
      <c r="H131" t="s">
        <v>18</v>
      </c>
      <c r="J131" t="s">
        <v>23</v>
      </c>
      <c r="K131" s="3" t="s">
        <v>949</v>
      </c>
      <c r="L131" s="3" t="s">
        <v>865</v>
      </c>
      <c r="N131" s="3" t="s">
        <v>1055</v>
      </c>
      <c r="P131" s="57" t="str">
        <f t="shared" ref="P131:P194" si="2">IF(OR(F131="HS2057 SUNSHINE DC",F131="S812  Harris Scarfe DC",F131="S813 HS Dark Store",E131="MICHELLE SLOVIK",E131="BREA ROLLINSON",E131="LJUBICA MITRESKA"),"Harris Scarfe DC",IF(OR(F131="S810 Anaconda DC",E131="THOMAS WILLIAMS"),"Anaconda DC",IF(F131="S811 Spotlight DC","Spotlight DC","Spotlight DC")))</f>
        <v>Spotlight DC</v>
      </c>
      <c r="Q131" s="57" t="str">
        <f>VLOOKUP(C131,'FIN CAL LOOKUP'!A:J,7,1)</f>
        <v>JUN, FY24</v>
      </c>
      <c r="R131" s="57" t="str">
        <f>VLOOKUP(C131,'FIN CAL LOOKUP'!A:J,10,1)</f>
        <v>Q4, FY24</v>
      </c>
    </row>
    <row r="132" spans="1:18" x14ac:dyDescent="0.25">
      <c r="A132" t="s">
        <v>24</v>
      </c>
      <c r="B132" s="58">
        <v>45443.537499999999</v>
      </c>
      <c r="C132" s="58">
        <v>45443.458333333336</v>
      </c>
      <c r="D132" t="s">
        <v>25</v>
      </c>
      <c r="E132" t="s">
        <v>82</v>
      </c>
      <c r="F132" t="s">
        <v>26</v>
      </c>
      <c r="G132" t="s">
        <v>1021</v>
      </c>
      <c r="H132" t="s">
        <v>13</v>
      </c>
      <c r="I132" t="s">
        <v>27</v>
      </c>
      <c r="J132" t="s">
        <v>28</v>
      </c>
      <c r="K132" s="3" t="s">
        <v>875</v>
      </c>
      <c r="L132" s="3" t="s">
        <v>866</v>
      </c>
      <c r="M132" s="3" t="s">
        <v>879</v>
      </c>
      <c r="N132" s="3" t="s">
        <v>913</v>
      </c>
      <c r="O132" s="3" t="s">
        <v>257</v>
      </c>
      <c r="P132" s="57" t="str">
        <f t="shared" si="2"/>
        <v>Harris Scarfe DC</v>
      </c>
      <c r="Q132" s="57" t="str">
        <f>VLOOKUP(C132,'FIN CAL LOOKUP'!A:J,7,1)</f>
        <v>JUN, FY24</v>
      </c>
      <c r="R132" s="57" t="str">
        <f>VLOOKUP(C132,'FIN CAL LOOKUP'!A:J,10,1)</f>
        <v>Q4, FY24</v>
      </c>
    </row>
    <row r="133" spans="1:18" x14ac:dyDescent="0.25">
      <c r="A133" t="s">
        <v>29</v>
      </c>
      <c r="B133" s="58">
        <v>45443.650694444441</v>
      </c>
      <c r="C133" s="58">
        <v>45443.291666666664</v>
      </c>
      <c r="D133" t="s">
        <v>17</v>
      </c>
      <c r="E133" t="s">
        <v>415</v>
      </c>
      <c r="F133" t="s">
        <v>12</v>
      </c>
      <c r="H133" t="s">
        <v>18</v>
      </c>
      <c r="J133" t="s">
        <v>30</v>
      </c>
      <c r="K133" s="3" t="s">
        <v>871</v>
      </c>
      <c r="L133" s="3" t="s">
        <v>865</v>
      </c>
      <c r="M133" s="3" t="s">
        <v>950</v>
      </c>
      <c r="N133" s="3" t="s">
        <v>951</v>
      </c>
      <c r="P133" s="57" t="str">
        <f t="shared" si="2"/>
        <v>Spotlight DC</v>
      </c>
      <c r="Q133" s="57" t="str">
        <f>VLOOKUP(C133,'FIN CAL LOOKUP'!A:J,7,1)</f>
        <v>JUN, FY24</v>
      </c>
      <c r="R133" s="57" t="str">
        <f>VLOOKUP(C133,'FIN CAL LOOKUP'!A:J,10,1)</f>
        <v>Q4, FY24</v>
      </c>
    </row>
    <row r="134" spans="1:18" x14ac:dyDescent="0.25">
      <c r="A134" t="s">
        <v>31</v>
      </c>
      <c r="B134" s="58">
        <v>45447.869444444441</v>
      </c>
      <c r="C134" s="58">
        <v>45447.635416666664</v>
      </c>
      <c r="D134" t="s">
        <v>17</v>
      </c>
      <c r="E134" t="s">
        <v>415</v>
      </c>
      <c r="F134" t="s">
        <v>12</v>
      </c>
      <c r="H134" t="s">
        <v>18</v>
      </c>
      <c r="J134" t="s">
        <v>32</v>
      </c>
      <c r="K134" s="3" t="s">
        <v>865</v>
      </c>
      <c r="L134" s="3" t="s">
        <v>865</v>
      </c>
      <c r="N134" s="3" t="s">
        <v>1055</v>
      </c>
      <c r="P134" s="57" t="str">
        <f t="shared" si="2"/>
        <v>Spotlight DC</v>
      </c>
      <c r="Q134" s="57" t="str">
        <f>VLOOKUP(C134,'FIN CAL LOOKUP'!A:J,7,1)</f>
        <v>JUN, FY24</v>
      </c>
      <c r="R134" s="57" t="str">
        <f>VLOOKUP(C134,'FIN CAL LOOKUP'!A:J,10,1)</f>
        <v>Q4, FY24</v>
      </c>
    </row>
    <row r="135" spans="1:18" x14ac:dyDescent="0.25">
      <c r="A135" t="s">
        <v>33</v>
      </c>
      <c r="B135" s="58">
        <v>45456.585416666669</v>
      </c>
      <c r="C135" s="58">
        <v>45455.447916666664</v>
      </c>
      <c r="D135" t="s">
        <v>34</v>
      </c>
      <c r="E135" t="s">
        <v>414</v>
      </c>
      <c r="F135" t="s">
        <v>35</v>
      </c>
      <c r="G135" t="s">
        <v>1022</v>
      </c>
      <c r="H135" t="s">
        <v>13</v>
      </c>
      <c r="I135" t="s">
        <v>36</v>
      </c>
      <c r="J135" t="s">
        <v>37</v>
      </c>
      <c r="K135" s="3" t="s">
        <v>952</v>
      </c>
      <c r="L135" s="3" t="s">
        <v>866</v>
      </c>
      <c r="M135" s="3" t="s">
        <v>867</v>
      </c>
      <c r="N135" s="3" t="s">
        <v>953</v>
      </c>
      <c r="O135" s="3" t="s">
        <v>1029</v>
      </c>
      <c r="P135" s="57" t="str">
        <f t="shared" si="2"/>
        <v>Anaconda DC</v>
      </c>
      <c r="Q135" s="57" t="str">
        <f>VLOOKUP(C135,'FIN CAL LOOKUP'!A:J,7,1)</f>
        <v>JUN, FY24</v>
      </c>
      <c r="R135" s="57" t="str">
        <f>VLOOKUP(C135,'FIN CAL LOOKUP'!A:J,10,1)</f>
        <v>Q4, FY24</v>
      </c>
    </row>
    <row r="136" spans="1:18" x14ac:dyDescent="0.25">
      <c r="A136" t="s">
        <v>381</v>
      </c>
      <c r="B136" s="58">
        <v>45461.589583333334</v>
      </c>
      <c r="C136" s="58">
        <v>45461.572916666664</v>
      </c>
      <c r="D136" t="s">
        <v>82</v>
      </c>
      <c r="E136" t="s">
        <v>415</v>
      </c>
      <c r="F136" t="s">
        <v>353</v>
      </c>
      <c r="H136" t="s">
        <v>9</v>
      </c>
      <c r="J136" t="s">
        <v>446</v>
      </c>
      <c r="K136" s="3" t="s">
        <v>1046</v>
      </c>
      <c r="L136" s="3" t="s">
        <v>1046</v>
      </c>
      <c r="M136" s="3" t="s">
        <v>1046</v>
      </c>
      <c r="N136" s="3" t="s">
        <v>1046</v>
      </c>
      <c r="P136" s="57" t="str">
        <f t="shared" si="2"/>
        <v>Spotlight DC</v>
      </c>
      <c r="Q136" s="57" t="str">
        <f>VLOOKUP(C136,'FIN CAL LOOKUP'!A:J,7,1)</f>
        <v>JUN, FY24</v>
      </c>
      <c r="R136" s="57" t="str">
        <f>VLOOKUP(C136,'FIN CAL LOOKUP'!A:J,10,1)</f>
        <v>Q4, FY24</v>
      </c>
    </row>
    <row r="137" spans="1:18" x14ac:dyDescent="0.25">
      <c r="A137" t="s">
        <v>382</v>
      </c>
      <c r="B137" s="58">
        <v>45463.67291666667</v>
      </c>
      <c r="C137" s="58">
        <v>45463.451388888891</v>
      </c>
      <c r="D137" t="s">
        <v>82</v>
      </c>
      <c r="E137" t="s">
        <v>415</v>
      </c>
      <c r="F137" t="s">
        <v>353</v>
      </c>
      <c r="H137" t="s">
        <v>9</v>
      </c>
      <c r="J137" t="s">
        <v>447</v>
      </c>
      <c r="K137" s="3" t="s">
        <v>1046</v>
      </c>
      <c r="L137" s="3" t="s">
        <v>1046</v>
      </c>
      <c r="M137" s="3" t="s">
        <v>1046</v>
      </c>
      <c r="N137" s="3" t="s">
        <v>1046</v>
      </c>
      <c r="P137" s="57" t="str">
        <f t="shared" si="2"/>
        <v>Spotlight DC</v>
      </c>
      <c r="Q137" s="57" t="str">
        <f>VLOOKUP(C137,'FIN CAL LOOKUP'!A:J,7,1)</f>
        <v>JUN, FY24</v>
      </c>
      <c r="R137" s="57" t="str">
        <f>VLOOKUP(C137,'FIN CAL LOOKUP'!A:J,10,1)</f>
        <v>Q4, FY24</v>
      </c>
    </row>
    <row r="138" spans="1:18" x14ac:dyDescent="0.25">
      <c r="A138" t="s">
        <v>38</v>
      </c>
      <c r="B138" s="58">
        <v>45470.834722222222</v>
      </c>
      <c r="C138" s="58">
        <v>45469.479166666664</v>
      </c>
      <c r="D138" t="s">
        <v>17</v>
      </c>
      <c r="E138" t="s">
        <v>415</v>
      </c>
      <c r="F138" t="s">
        <v>12</v>
      </c>
      <c r="H138" t="s">
        <v>18</v>
      </c>
      <c r="J138" t="s">
        <v>39</v>
      </c>
      <c r="K138" s="3" t="s">
        <v>865</v>
      </c>
      <c r="L138" s="3" t="s">
        <v>865</v>
      </c>
      <c r="N138" s="3" t="s">
        <v>1055</v>
      </c>
      <c r="P138" s="57" t="str">
        <f t="shared" si="2"/>
        <v>Spotlight DC</v>
      </c>
      <c r="Q138" s="57" t="str">
        <f>VLOOKUP(C138,'FIN CAL LOOKUP'!A:J,7,1)</f>
        <v>JUN, FY24</v>
      </c>
      <c r="R138" s="57" t="str">
        <f>VLOOKUP(C138,'FIN CAL LOOKUP'!A:J,10,1)</f>
        <v>Q4, FY24</v>
      </c>
    </row>
    <row r="139" spans="1:18" x14ac:dyDescent="0.25">
      <c r="A139" t="s">
        <v>40</v>
      </c>
      <c r="B139" s="58">
        <v>45477.321527777778</v>
      </c>
      <c r="C139" s="58">
        <v>45476.265972222223</v>
      </c>
      <c r="D139" t="s">
        <v>41</v>
      </c>
      <c r="E139" t="s">
        <v>414</v>
      </c>
      <c r="F139" t="s">
        <v>35</v>
      </c>
      <c r="H139" t="s">
        <v>9</v>
      </c>
      <c r="J139" t="s">
        <v>42</v>
      </c>
      <c r="K139" s="3" t="s">
        <v>1046</v>
      </c>
      <c r="L139" s="3" t="s">
        <v>1046</v>
      </c>
      <c r="M139" s="3" t="s">
        <v>1046</v>
      </c>
      <c r="N139" s="3" t="s">
        <v>1046</v>
      </c>
      <c r="P139" s="57" t="str">
        <f t="shared" si="2"/>
        <v>Anaconda DC</v>
      </c>
      <c r="Q139" s="57" t="str">
        <f>VLOOKUP(C139,'FIN CAL LOOKUP'!A:J,7,1)</f>
        <v>JUL, FY25</v>
      </c>
      <c r="R139" s="57" t="str">
        <f>VLOOKUP(C139,'FIN CAL LOOKUP'!A:J,10,1)</f>
        <v>Q1, FY25</v>
      </c>
    </row>
    <row r="140" spans="1:18" x14ac:dyDescent="0.25">
      <c r="A140" t="s">
        <v>43</v>
      </c>
      <c r="B140" s="58">
        <v>45491.546527777777</v>
      </c>
      <c r="C140" s="58">
        <v>45491.475694444445</v>
      </c>
      <c r="D140" t="s">
        <v>44</v>
      </c>
      <c r="E140" t="s">
        <v>415</v>
      </c>
      <c r="F140" t="s">
        <v>12</v>
      </c>
      <c r="H140" t="s">
        <v>18</v>
      </c>
      <c r="J140" t="s">
        <v>45</v>
      </c>
      <c r="K140" s="3" t="s">
        <v>871</v>
      </c>
      <c r="L140" s="3" t="s">
        <v>866</v>
      </c>
      <c r="M140" s="3" t="s">
        <v>886</v>
      </c>
      <c r="N140" s="3" t="s">
        <v>954</v>
      </c>
      <c r="P140" s="57" t="str">
        <f t="shared" si="2"/>
        <v>Spotlight DC</v>
      </c>
      <c r="Q140" s="57" t="str">
        <f>VLOOKUP(C140,'FIN CAL LOOKUP'!A:J,7,1)</f>
        <v>JUL, FY25</v>
      </c>
      <c r="R140" s="57" t="str">
        <f>VLOOKUP(C140,'FIN CAL LOOKUP'!A:J,10,1)</f>
        <v>Q1, FY25</v>
      </c>
    </row>
    <row r="141" spans="1:18" x14ac:dyDescent="0.25">
      <c r="A141" t="s">
        <v>46</v>
      </c>
      <c r="B141" s="58">
        <v>45492.546527777777</v>
      </c>
      <c r="C141" s="58">
        <v>45492.5</v>
      </c>
      <c r="D141" t="s">
        <v>47</v>
      </c>
      <c r="E141" t="s">
        <v>415</v>
      </c>
      <c r="F141" t="s">
        <v>12</v>
      </c>
      <c r="H141" t="s">
        <v>18</v>
      </c>
      <c r="J141" t="s">
        <v>48</v>
      </c>
      <c r="K141" s="3" t="s">
        <v>53</v>
      </c>
      <c r="L141" s="3" t="s">
        <v>52</v>
      </c>
      <c r="M141" s="3" t="s">
        <v>940</v>
      </c>
      <c r="N141" s="3" t="s">
        <v>955</v>
      </c>
      <c r="P141" s="57" t="str">
        <f t="shared" si="2"/>
        <v>Spotlight DC</v>
      </c>
      <c r="Q141" s="57" t="str">
        <f>VLOOKUP(C141,'FIN CAL LOOKUP'!A:J,7,1)</f>
        <v>JUL, FY25</v>
      </c>
      <c r="R141" s="57" t="str">
        <f>VLOOKUP(C141,'FIN CAL LOOKUP'!A:J,10,1)</f>
        <v>Q1, FY25</v>
      </c>
    </row>
    <row r="142" spans="1:18" x14ac:dyDescent="0.25">
      <c r="A142" t="s">
        <v>49</v>
      </c>
      <c r="B142" s="58">
        <v>45503.432638888888</v>
      </c>
      <c r="C142" s="58">
        <v>45503.422222222223</v>
      </c>
      <c r="D142" t="s">
        <v>50</v>
      </c>
      <c r="E142" t="s">
        <v>414</v>
      </c>
      <c r="F142" t="s">
        <v>51</v>
      </c>
      <c r="G142" t="s">
        <v>1000</v>
      </c>
      <c r="H142" t="s">
        <v>13</v>
      </c>
      <c r="I142" t="s">
        <v>27</v>
      </c>
      <c r="J142" t="s">
        <v>54</v>
      </c>
      <c r="K142" s="3" t="s">
        <v>53</v>
      </c>
      <c r="L142" s="3" t="s">
        <v>52</v>
      </c>
      <c r="M142" s="3" t="s">
        <v>861</v>
      </c>
      <c r="N142" s="3" t="s">
        <v>956</v>
      </c>
      <c r="O142" s="3" t="s">
        <v>257</v>
      </c>
      <c r="P142" s="57" t="str">
        <f t="shared" si="2"/>
        <v>Harris Scarfe DC</v>
      </c>
      <c r="Q142" s="57" t="str">
        <f>VLOOKUP(C142,'FIN CAL LOOKUP'!A:J,7,1)</f>
        <v>AUG, FY25</v>
      </c>
      <c r="R142" s="57" t="str">
        <f>VLOOKUP(C142,'FIN CAL LOOKUP'!A:J,10,1)</f>
        <v>Q1, FY25</v>
      </c>
    </row>
    <row r="143" spans="1:18" x14ac:dyDescent="0.25">
      <c r="A143" t="s">
        <v>55</v>
      </c>
      <c r="B143" s="58">
        <v>45504.290972222225</v>
      </c>
      <c r="C143" s="58">
        <v>45503.4375</v>
      </c>
      <c r="D143" t="s">
        <v>44</v>
      </c>
      <c r="E143" t="s">
        <v>415</v>
      </c>
      <c r="F143" t="s">
        <v>12</v>
      </c>
      <c r="G143" t="s">
        <v>1023</v>
      </c>
      <c r="H143" t="s">
        <v>13</v>
      </c>
      <c r="J143" t="s">
        <v>56</v>
      </c>
      <c r="K143" s="3" t="s">
        <v>901</v>
      </c>
      <c r="L143" s="3" t="s">
        <v>866</v>
      </c>
      <c r="M143" s="3" t="s">
        <v>957</v>
      </c>
      <c r="N143" s="3" t="s">
        <v>958</v>
      </c>
      <c r="O143" s="3" t="s">
        <v>1029</v>
      </c>
      <c r="P143" s="57" t="str">
        <f t="shared" si="2"/>
        <v>Spotlight DC</v>
      </c>
      <c r="Q143" s="57" t="str">
        <f>VLOOKUP(C143,'FIN CAL LOOKUP'!A:J,7,1)</f>
        <v>AUG, FY25</v>
      </c>
      <c r="R143" s="57" t="str">
        <f>VLOOKUP(C143,'FIN CAL LOOKUP'!A:J,10,1)</f>
        <v>Q1, FY25</v>
      </c>
    </row>
    <row r="144" spans="1:18" x14ac:dyDescent="0.25">
      <c r="A144" t="s">
        <v>57</v>
      </c>
      <c r="B144" s="58">
        <v>45504.320138888892</v>
      </c>
      <c r="C144" s="58">
        <v>45495.48541666667</v>
      </c>
      <c r="D144" t="s">
        <v>44</v>
      </c>
      <c r="E144" t="s">
        <v>415</v>
      </c>
      <c r="F144" t="s">
        <v>12</v>
      </c>
      <c r="H144" t="s">
        <v>18</v>
      </c>
      <c r="J144" t="s">
        <v>58</v>
      </c>
      <c r="K144" s="3" t="s">
        <v>901</v>
      </c>
      <c r="L144" s="3" t="s">
        <v>865</v>
      </c>
      <c r="N144" s="3" t="s">
        <v>1056</v>
      </c>
      <c r="P144" s="57" t="str">
        <f t="shared" si="2"/>
        <v>Spotlight DC</v>
      </c>
      <c r="Q144" s="57" t="str">
        <f>VLOOKUP(C144,'FIN CAL LOOKUP'!A:J,7,1)</f>
        <v>JUL, FY25</v>
      </c>
      <c r="R144" s="57" t="str">
        <f>VLOOKUP(C144,'FIN CAL LOOKUP'!A:J,10,1)</f>
        <v>Q1, FY25</v>
      </c>
    </row>
    <row r="145" spans="1:18" x14ac:dyDescent="0.25">
      <c r="A145" t="s">
        <v>59</v>
      </c>
      <c r="B145" s="58">
        <v>45506.611111111109</v>
      </c>
      <c r="C145" s="58">
        <v>45506.594444444447</v>
      </c>
      <c r="D145" t="s">
        <v>25</v>
      </c>
      <c r="E145" t="s">
        <v>82</v>
      </c>
      <c r="F145" t="s">
        <v>26</v>
      </c>
      <c r="H145" t="s">
        <v>18</v>
      </c>
      <c r="J145" t="s">
        <v>60</v>
      </c>
      <c r="K145" s="3" t="s">
        <v>53</v>
      </c>
      <c r="L145" s="3" t="s">
        <v>866</v>
      </c>
      <c r="M145" s="3" t="s">
        <v>886</v>
      </c>
      <c r="N145" s="3" t="s">
        <v>959</v>
      </c>
      <c r="P145" s="57" t="str">
        <f t="shared" si="2"/>
        <v>Harris Scarfe DC</v>
      </c>
      <c r="Q145" s="57" t="str">
        <f>VLOOKUP(C145,'FIN CAL LOOKUP'!A:J,7,1)</f>
        <v>AUG, FY25</v>
      </c>
      <c r="R145" s="57" t="str">
        <f>VLOOKUP(C145,'FIN CAL LOOKUP'!A:J,10,1)</f>
        <v>Q1, FY25</v>
      </c>
    </row>
    <row r="146" spans="1:18" x14ac:dyDescent="0.25">
      <c r="A146" t="s">
        <v>61</v>
      </c>
      <c r="B146" s="58">
        <v>45509.443055555559</v>
      </c>
      <c r="C146" s="58">
        <v>45489.521527777775</v>
      </c>
      <c r="D146" t="s">
        <v>62</v>
      </c>
      <c r="E146" t="s">
        <v>415</v>
      </c>
      <c r="F146" t="s">
        <v>12</v>
      </c>
      <c r="G146" t="s">
        <v>1024</v>
      </c>
      <c r="H146" t="s">
        <v>13</v>
      </c>
      <c r="J146" t="s">
        <v>63</v>
      </c>
      <c r="K146" s="3" t="s">
        <v>875</v>
      </c>
      <c r="L146" s="3" t="s">
        <v>866</v>
      </c>
      <c r="M146" s="3" t="s">
        <v>892</v>
      </c>
      <c r="N146" s="3" t="s">
        <v>960</v>
      </c>
      <c r="O146" s="3" t="s">
        <v>1029</v>
      </c>
      <c r="P146" s="57" t="str">
        <f t="shared" si="2"/>
        <v>Spotlight DC</v>
      </c>
      <c r="Q146" s="57" t="str">
        <f>VLOOKUP(C146,'FIN CAL LOOKUP'!A:J,7,1)</f>
        <v>JUL, FY25</v>
      </c>
      <c r="R146" s="57" t="str">
        <f>VLOOKUP(C146,'FIN CAL LOOKUP'!A:J,10,1)</f>
        <v>Q1, FY25</v>
      </c>
    </row>
    <row r="147" spans="1:18" x14ac:dyDescent="0.25">
      <c r="A147" t="s">
        <v>64</v>
      </c>
      <c r="B147" s="58">
        <v>45511.438194444447</v>
      </c>
      <c r="C147" s="58">
        <v>45509.270833333336</v>
      </c>
      <c r="D147" t="s">
        <v>65</v>
      </c>
      <c r="E147" t="s">
        <v>415</v>
      </c>
      <c r="F147" t="s">
        <v>12</v>
      </c>
      <c r="H147" t="s">
        <v>18</v>
      </c>
      <c r="J147" t="s">
        <v>66</v>
      </c>
      <c r="K147" s="3" t="s">
        <v>875</v>
      </c>
      <c r="L147" s="3" t="s">
        <v>865</v>
      </c>
      <c r="N147" s="3" t="s">
        <v>1057</v>
      </c>
      <c r="P147" s="57" t="str">
        <f t="shared" si="2"/>
        <v>Spotlight DC</v>
      </c>
      <c r="Q147" s="57" t="str">
        <f>VLOOKUP(C147,'FIN CAL LOOKUP'!A:J,7,1)</f>
        <v>AUG, FY25</v>
      </c>
      <c r="R147" s="57" t="str">
        <f>VLOOKUP(C147,'FIN CAL LOOKUP'!A:J,10,1)</f>
        <v>Q1, FY25</v>
      </c>
    </row>
    <row r="148" spans="1:18" x14ac:dyDescent="0.25">
      <c r="A148" t="s">
        <v>67</v>
      </c>
      <c r="B148" s="58">
        <v>45520.296527777777</v>
      </c>
      <c r="C148" s="58">
        <v>45520.243055555555</v>
      </c>
      <c r="D148" t="s">
        <v>65</v>
      </c>
      <c r="E148" t="s">
        <v>415</v>
      </c>
      <c r="F148" t="s">
        <v>12</v>
      </c>
      <c r="H148" t="s">
        <v>18</v>
      </c>
      <c r="J148" t="s">
        <v>68</v>
      </c>
      <c r="K148" s="3" t="s">
        <v>865</v>
      </c>
      <c r="L148" s="3" t="s">
        <v>865</v>
      </c>
      <c r="N148" s="3" t="s">
        <v>1058</v>
      </c>
      <c r="P148" s="57" t="str">
        <f t="shared" si="2"/>
        <v>Spotlight DC</v>
      </c>
      <c r="Q148" s="57" t="str">
        <f>VLOOKUP(C148,'FIN CAL LOOKUP'!A:J,7,1)</f>
        <v>AUG, FY25</v>
      </c>
      <c r="R148" s="57" t="str">
        <f>VLOOKUP(C148,'FIN CAL LOOKUP'!A:J,10,1)</f>
        <v>Q1, FY25</v>
      </c>
    </row>
    <row r="149" spans="1:18" x14ac:dyDescent="0.25">
      <c r="A149" t="s">
        <v>69</v>
      </c>
      <c r="B149" s="58">
        <v>45523.654166666667</v>
      </c>
      <c r="C149" s="58">
        <v>45520.474999999999</v>
      </c>
      <c r="D149" t="s">
        <v>70</v>
      </c>
      <c r="E149" t="s">
        <v>448</v>
      </c>
      <c r="F149" t="s">
        <v>12</v>
      </c>
      <c r="H149" t="s">
        <v>9</v>
      </c>
      <c r="J149" t="s">
        <v>71</v>
      </c>
      <c r="K149" s="3" t="s">
        <v>1046</v>
      </c>
      <c r="L149" s="3" t="s">
        <v>1046</v>
      </c>
      <c r="M149" s="3" t="s">
        <v>1046</v>
      </c>
      <c r="N149" s="3" t="s">
        <v>1046</v>
      </c>
      <c r="P149" s="57" t="str">
        <f t="shared" si="2"/>
        <v>Spotlight DC</v>
      </c>
      <c r="Q149" s="57" t="str">
        <f>VLOOKUP(C149,'FIN CAL LOOKUP'!A:J,7,1)</f>
        <v>AUG, FY25</v>
      </c>
      <c r="R149" s="57" t="str">
        <f>VLOOKUP(C149,'FIN CAL LOOKUP'!A:J,10,1)</f>
        <v>Q1, FY25</v>
      </c>
    </row>
    <row r="150" spans="1:18" x14ac:dyDescent="0.25">
      <c r="A150" t="s">
        <v>72</v>
      </c>
      <c r="B150" s="58">
        <v>45523.831250000003</v>
      </c>
      <c r="C150" s="58">
        <v>45519.819444444445</v>
      </c>
      <c r="D150" t="s">
        <v>73</v>
      </c>
      <c r="E150" t="s">
        <v>415</v>
      </c>
      <c r="F150" t="s">
        <v>12</v>
      </c>
      <c r="H150" t="s">
        <v>18</v>
      </c>
      <c r="J150" t="s">
        <v>74</v>
      </c>
      <c r="K150" s="3" t="s">
        <v>901</v>
      </c>
      <c r="L150" s="3" t="s">
        <v>866</v>
      </c>
      <c r="M150" s="3" t="s">
        <v>902</v>
      </c>
      <c r="N150" s="3" t="s">
        <v>961</v>
      </c>
      <c r="P150" s="57" t="str">
        <f t="shared" si="2"/>
        <v>Spotlight DC</v>
      </c>
      <c r="Q150" s="57" t="str">
        <f>VLOOKUP(C150,'FIN CAL LOOKUP'!A:J,7,1)</f>
        <v>AUG, FY25</v>
      </c>
      <c r="R150" s="57" t="str">
        <f>VLOOKUP(C150,'FIN CAL LOOKUP'!A:J,10,1)</f>
        <v>Q1, FY25</v>
      </c>
    </row>
    <row r="151" spans="1:18" x14ac:dyDescent="0.25">
      <c r="A151" t="s">
        <v>75</v>
      </c>
      <c r="B151" s="58">
        <v>45524.425694444442</v>
      </c>
      <c r="C151" s="58">
        <v>45524.422222222223</v>
      </c>
      <c r="D151" t="s">
        <v>65</v>
      </c>
      <c r="E151" t="s">
        <v>415</v>
      </c>
      <c r="F151" t="s">
        <v>12</v>
      </c>
      <c r="H151" t="s">
        <v>9</v>
      </c>
      <c r="J151" t="s">
        <v>76</v>
      </c>
      <c r="K151" s="3" t="s">
        <v>1046</v>
      </c>
      <c r="L151" s="3" t="s">
        <v>1046</v>
      </c>
      <c r="M151" s="3" t="s">
        <v>1046</v>
      </c>
      <c r="N151" s="3" t="s">
        <v>1046</v>
      </c>
      <c r="P151" s="57" t="str">
        <f t="shared" si="2"/>
        <v>Spotlight DC</v>
      </c>
      <c r="Q151" s="57" t="str">
        <f>VLOOKUP(C151,'FIN CAL LOOKUP'!A:J,7,1)</f>
        <v>AUG, FY25</v>
      </c>
      <c r="R151" s="57" t="str">
        <f>VLOOKUP(C151,'FIN CAL LOOKUP'!A:J,10,1)</f>
        <v>Q1, FY25</v>
      </c>
    </row>
    <row r="152" spans="1:18" x14ac:dyDescent="0.25">
      <c r="A152" t="s">
        <v>77</v>
      </c>
      <c r="B152" s="58">
        <v>45524.57708333333</v>
      </c>
      <c r="C152" s="58">
        <v>45520.5</v>
      </c>
      <c r="D152" t="s">
        <v>47</v>
      </c>
      <c r="E152" t="s">
        <v>415</v>
      </c>
      <c r="F152" t="s">
        <v>12</v>
      </c>
      <c r="H152" t="s">
        <v>18</v>
      </c>
      <c r="J152" t="s">
        <v>78</v>
      </c>
      <c r="K152" s="3" t="s">
        <v>53</v>
      </c>
      <c r="L152" s="3" t="s">
        <v>52</v>
      </c>
      <c r="M152" s="3" t="s">
        <v>962</v>
      </c>
      <c r="N152" s="3" t="s">
        <v>955</v>
      </c>
      <c r="P152" s="57" t="str">
        <f t="shared" si="2"/>
        <v>Spotlight DC</v>
      </c>
      <c r="Q152" s="57" t="str">
        <f>VLOOKUP(C152,'FIN CAL LOOKUP'!A:J,7,1)</f>
        <v>AUG, FY25</v>
      </c>
      <c r="R152" s="57" t="str">
        <f>VLOOKUP(C152,'FIN CAL LOOKUP'!A:J,10,1)</f>
        <v>Q1, FY25</v>
      </c>
    </row>
    <row r="153" spans="1:18" x14ac:dyDescent="0.25">
      <c r="A153" t="s">
        <v>79</v>
      </c>
      <c r="B153" s="58">
        <v>45525.35833333333</v>
      </c>
      <c r="C153" s="58">
        <v>45525.356249999997</v>
      </c>
      <c r="D153" t="s">
        <v>65</v>
      </c>
      <c r="E153" t="s">
        <v>415</v>
      </c>
      <c r="F153" t="s">
        <v>12</v>
      </c>
      <c r="H153" t="s">
        <v>9</v>
      </c>
      <c r="J153" t="s">
        <v>80</v>
      </c>
      <c r="K153" s="3" t="s">
        <v>1046</v>
      </c>
      <c r="L153" s="3" t="s">
        <v>1046</v>
      </c>
      <c r="M153" s="3" t="s">
        <v>1046</v>
      </c>
      <c r="N153" s="3" t="s">
        <v>1046</v>
      </c>
      <c r="P153" s="57" t="str">
        <f t="shared" si="2"/>
        <v>Spotlight DC</v>
      </c>
      <c r="Q153" s="57" t="str">
        <f>VLOOKUP(C153,'FIN CAL LOOKUP'!A:J,7,1)</f>
        <v>AUG, FY25</v>
      </c>
      <c r="R153" s="57" t="str">
        <f>VLOOKUP(C153,'FIN CAL LOOKUP'!A:J,10,1)</f>
        <v>Q1, FY25</v>
      </c>
    </row>
    <row r="154" spans="1:18" x14ac:dyDescent="0.25">
      <c r="A154" t="s">
        <v>81</v>
      </c>
      <c r="B154" s="58">
        <v>45525.594444444447</v>
      </c>
      <c r="C154" s="58">
        <v>45525.416666666664</v>
      </c>
      <c r="D154" t="s">
        <v>82</v>
      </c>
      <c r="E154" t="s">
        <v>415</v>
      </c>
      <c r="F154" t="s">
        <v>8</v>
      </c>
      <c r="H154" t="s">
        <v>9</v>
      </c>
      <c r="J154" t="s">
        <v>83</v>
      </c>
      <c r="K154" s="3" t="s">
        <v>1046</v>
      </c>
      <c r="L154" s="3" t="s">
        <v>1046</v>
      </c>
      <c r="M154" s="3" t="s">
        <v>1046</v>
      </c>
      <c r="N154" s="3" t="s">
        <v>1046</v>
      </c>
      <c r="P154" s="57" t="str">
        <f t="shared" si="2"/>
        <v>Harris Scarfe DC</v>
      </c>
      <c r="Q154" s="57" t="str">
        <f>VLOOKUP(C154,'FIN CAL LOOKUP'!A:J,7,1)</f>
        <v>AUG, FY25</v>
      </c>
      <c r="R154" s="57" t="str">
        <f>VLOOKUP(C154,'FIN CAL LOOKUP'!A:J,10,1)</f>
        <v>Q1, FY25</v>
      </c>
    </row>
    <row r="155" spans="1:18" x14ac:dyDescent="0.25">
      <c r="A155" t="s">
        <v>84</v>
      </c>
      <c r="B155" s="58">
        <v>45525.768750000003</v>
      </c>
      <c r="C155" s="58">
        <v>45524.75</v>
      </c>
      <c r="D155" t="s">
        <v>17</v>
      </c>
      <c r="E155" t="s">
        <v>415</v>
      </c>
      <c r="F155" t="s">
        <v>12</v>
      </c>
      <c r="H155" t="s">
        <v>18</v>
      </c>
      <c r="J155" t="s">
        <v>85</v>
      </c>
      <c r="K155" s="3" t="s">
        <v>865</v>
      </c>
      <c r="L155" s="3" t="s">
        <v>865</v>
      </c>
      <c r="N155" s="3" t="s">
        <v>1055</v>
      </c>
      <c r="P155" s="57" t="str">
        <f t="shared" si="2"/>
        <v>Spotlight DC</v>
      </c>
      <c r="Q155" s="57" t="str">
        <f>VLOOKUP(C155,'FIN CAL LOOKUP'!A:J,7,1)</f>
        <v>AUG, FY25</v>
      </c>
      <c r="R155" s="57" t="str">
        <f>VLOOKUP(C155,'FIN CAL LOOKUP'!A:J,10,1)</f>
        <v>Q1, FY25</v>
      </c>
    </row>
    <row r="156" spans="1:18" x14ac:dyDescent="0.25">
      <c r="A156" t="s">
        <v>86</v>
      </c>
      <c r="B156" s="58">
        <v>45525.881944444445</v>
      </c>
      <c r="C156" s="58">
        <v>45525.854166666664</v>
      </c>
      <c r="D156" t="s">
        <v>17</v>
      </c>
      <c r="E156" t="s">
        <v>415</v>
      </c>
      <c r="F156" t="s">
        <v>12</v>
      </c>
      <c r="H156" t="s">
        <v>18</v>
      </c>
      <c r="J156" t="s">
        <v>87</v>
      </c>
      <c r="K156" s="3" t="s">
        <v>865</v>
      </c>
      <c r="L156" s="3" t="s">
        <v>865</v>
      </c>
      <c r="N156" s="3" t="s">
        <v>1055</v>
      </c>
      <c r="P156" s="57" t="str">
        <f t="shared" si="2"/>
        <v>Spotlight DC</v>
      </c>
      <c r="Q156" s="57" t="str">
        <f>VLOOKUP(C156,'FIN CAL LOOKUP'!A:J,7,1)</f>
        <v>AUG, FY25</v>
      </c>
      <c r="R156" s="57" t="str">
        <f>VLOOKUP(C156,'FIN CAL LOOKUP'!A:J,10,1)</f>
        <v>Q1, FY25</v>
      </c>
    </row>
    <row r="157" spans="1:18" x14ac:dyDescent="0.25">
      <c r="A157" t="s">
        <v>383</v>
      </c>
      <c r="B157" s="58">
        <v>45526.42291666667</v>
      </c>
      <c r="C157" s="58">
        <v>45524.5</v>
      </c>
      <c r="D157" t="s">
        <v>449</v>
      </c>
      <c r="E157" t="s">
        <v>450</v>
      </c>
      <c r="F157" t="s">
        <v>353</v>
      </c>
      <c r="H157" t="s">
        <v>9</v>
      </c>
      <c r="J157" t="s">
        <v>451</v>
      </c>
      <c r="K157" s="3" t="s">
        <v>1046</v>
      </c>
      <c r="L157" s="3" t="s">
        <v>1046</v>
      </c>
      <c r="M157" s="3" t="s">
        <v>1046</v>
      </c>
      <c r="N157" s="3" t="s">
        <v>1046</v>
      </c>
      <c r="P157" s="57" t="str">
        <f t="shared" si="2"/>
        <v>Spotlight DC</v>
      </c>
      <c r="Q157" s="57" t="str">
        <f>VLOOKUP(C157,'FIN CAL LOOKUP'!A:J,7,1)</f>
        <v>AUG, FY25</v>
      </c>
      <c r="R157" s="57" t="str">
        <f>VLOOKUP(C157,'FIN CAL LOOKUP'!A:J,10,1)</f>
        <v>Q1, FY25</v>
      </c>
    </row>
    <row r="158" spans="1:18" x14ac:dyDescent="0.25">
      <c r="A158" t="s">
        <v>384</v>
      </c>
      <c r="B158" s="58">
        <v>45531.477777777778</v>
      </c>
      <c r="C158" s="58">
        <v>45531.454861111109</v>
      </c>
      <c r="D158" t="s">
        <v>449</v>
      </c>
      <c r="E158" t="s">
        <v>450</v>
      </c>
      <c r="F158" t="s">
        <v>353</v>
      </c>
      <c r="H158" t="s">
        <v>9</v>
      </c>
      <c r="J158" t="s">
        <v>452</v>
      </c>
      <c r="K158" s="3" t="s">
        <v>1046</v>
      </c>
      <c r="L158" s="3" t="s">
        <v>1046</v>
      </c>
      <c r="M158" s="3" t="s">
        <v>1046</v>
      </c>
      <c r="N158" s="3" t="s">
        <v>1046</v>
      </c>
      <c r="P158" s="57" t="str">
        <f t="shared" si="2"/>
        <v>Spotlight DC</v>
      </c>
      <c r="Q158" s="57" t="str">
        <f>VLOOKUP(C158,'FIN CAL LOOKUP'!A:J,7,1)</f>
        <v>AUG, FY25</v>
      </c>
      <c r="R158" s="57" t="str">
        <f>VLOOKUP(C158,'FIN CAL LOOKUP'!A:J,10,1)</f>
        <v>Q1, FY25</v>
      </c>
    </row>
    <row r="159" spans="1:18" x14ac:dyDescent="0.25">
      <c r="A159" t="s">
        <v>88</v>
      </c>
      <c r="B159" s="58">
        <v>45534.444444444445</v>
      </c>
      <c r="C159" s="58">
        <v>45532.583333333336</v>
      </c>
      <c r="D159" t="s">
        <v>41</v>
      </c>
      <c r="E159" t="s">
        <v>414</v>
      </c>
      <c r="F159" t="s">
        <v>35</v>
      </c>
      <c r="H159" t="s">
        <v>9</v>
      </c>
      <c r="J159" t="s">
        <v>89</v>
      </c>
      <c r="K159" s="3" t="s">
        <v>1046</v>
      </c>
      <c r="L159" s="3" t="s">
        <v>1046</v>
      </c>
      <c r="M159" s="3" t="s">
        <v>1046</v>
      </c>
      <c r="N159" s="3" t="s">
        <v>1046</v>
      </c>
      <c r="P159" s="57" t="str">
        <f t="shared" si="2"/>
        <v>Anaconda DC</v>
      </c>
      <c r="Q159" s="57" t="str">
        <f>VLOOKUP(C159,'FIN CAL LOOKUP'!A:J,7,1)</f>
        <v>AUG, FY25</v>
      </c>
      <c r="R159" s="57" t="str">
        <f>VLOOKUP(C159,'FIN CAL LOOKUP'!A:J,10,1)</f>
        <v>Q1, FY25</v>
      </c>
    </row>
    <row r="160" spans="1:18" x14ac:dyDescent="0.25">
      <c r="A160" t="s">
        <v>90</v>
      </c>
      <c r="B160" s="58">
        <v>45546.445138888892</v>
      </c>
      <c r="C160" s="58">
        <v>45546.434027777781</v>
      </c>
      <c r="D160" t="s">
        <v>44</v>
      </c>
      <c r="E160" t="s">
        <v>415</v>
      </c>
      <c r="F160" t="s">
        <v>12</v>
      </c>
      <c r="G160" t="s">
        <v>1025</v>
      </c>
      <c r="H160" t="s">
        <v>13</v>
      </c>
      <c r="J160" t="s">
        <v>91</v>
      </c>
      <c r="K160" s="3" t="s">
        <v>901</v>
      </c>
      <c r="L160" s="3" t="s">
        <v>866</v>
      </c>
      <c r="M160" s="3" t="s">
        <v>914</v>
      </c>
      <c r="N160" s="3" t="s">
        <v>963</v>
      </c>
      <c r="O160" s="3" t="s">
        <v>257</v>
      </c>
      <c r="P160" s="57" t="str">
        <f t="shared" si="2"/>
        <v>Spotlight DC</v>
      </c>
      <c r="Q160" s="57" t="str">
        <f>VLOOKUP(C160,'FIN CAL LOOKUP'!A:J,7,1)</f>
        <v>SEP, FY25</v>
      </c>
      <c r="R160" s="57" t="str">
        <f>VLOOKUP(C160,'FIN CAL LOOKUP'!A:J,10,1)</f>
        <v>Q1, FY25</v>
      </c>
    </row>
    <row r="161" spans="1:18" x14ac:dyDescent="0.25">
      <c r="A161" t="s">
        <v>92</v>
      </c>
      <c r="B161" s="58">
        <v>45548.556944444441</v>
      </c>
      <c r="C161" s="58">
        <v>45548.4375</v>
      </c>
      <c r="D161" t="s">
        <v>34</v>
      </c>
      <c r="E161" t="s">
        <v>414</v>
      </c>
      <c r="F161" t="s">
        <v>35</v>
      </c>
      <c r="H161" t="s">
        <v>18</v>
      </c>
      <c r="J161" t="s">
        <v>93</v>
      </c>
      <c r="K161" s="3" t="s">
        <v>865</v>
      </c>
      <c r="L161" s="3" t="s">
        <v>964</v>
      </c>
      <c r="N161" s="3" t="s">
        <v>1057</v>
      </c>
      <c r="P161" s="57" t="str">
        <f t="shared" si="2"/>
        <v>Anaconda DC</v>
      </c>
      <c r="Q161" s="57" t="str">
        <f>VLOOKUP(C161,'FIN CAL LOOKUP'!A:J,7,1)</f>
        <v>SEP, FY25</v>
      </c>
      <c r="R161" s="57" t="str">
        <f>VLOOKUP(C161,'FIN CAL LOOKUP'!A:J,10,1)</f>
        <v>Q1, FY25</v>
      </c>
    </row>
    <row r="162" spans="1:18" x14ac:dyDescent="0.25">
      <c r="A162" t="s">
        <v>94</v>
      </c>
      <c r="B162" s="58">
        <v>45572.568749999999</v>
      </c>
      <c r="C162" s="58">
        <v>45568.416666666664</v>
      </c>
      <c r="D162" t="s">
        <v>47</v>
      </c>
      <c r="E162" t="s">
        <v>415</v>
      </c>
      <c r="F162" t="s">
        <v>12</v>
      </c>
      <c r="H162" t="s">
        <v>18</v>
      </c>
      <c r="J162" t="s">
        <v>95</v>
      </c>
      <c r="K162" s="3" t="s">
        <v>875</v>
      </c>
      <c r="L162" s="3" t="s">
        <v>52</v>
      </c>
      <c r="M162" s="3" t="s">
        <v>920</v>
      </c>
      <c r="N162" s="3" t="s">
        <v>965</v>
      </c>
      <c r="P162" s="57" t="str">
        <f t="shared" si="2"/>
        <v>Spotlight DC</v>
      </c>
      <c r="Q162" s="57" t="str">
        <f>VLOOKUP(C162,'FIN CAL LOOKUP'!A:J,7,1)</f>
        <v>OCT, FY25</v>
      </c>
      <c r="R162" s="57" t="str">
        <f>VLOOKUP(C162,'FIN CAL LOOKUP'!A:J,10,1)</f>
        <v>Q2, FY25</v>
      </c>
    </row>
    <row r="163" spans="1:18" x14ac:dyDescent="0.25">
      <c r="A163" t="s">
        <v>96</v>
      </c>
      <c r="B163" s="58">
        <v>45581.7</v>
      </c>
      <c r="C163" s="58">
        <v>45580.69027777778</v>
      </c>
      <c r="D163" t="s">
        <v>17</v>
      </c>
      <c r="E163" t="s">
        <v>415</v>
      </c>
      <c r="F163" t="s">
        <v>12</v>
      </c>
      <c r="H163" t="s">
        <v>18</v>
      </c>
      <c r="J163" t="s">
        <v>97</v>
      </c>
      <c r="K163" s="3" t="s">
        <v>875</v>
      </c>
      <c r="L163" s="3" t="s">
        <v>865</v>
      </c>
      <c r="N163" s="3" t="s">
        <v>1055</v>
      </c>
      <c r="P163" s="57" t="str">
        <f t="shared" si="2"/>
        <v>Spotlight DC</v>
      </c>
      <c r="Q163" s="57" t="str">
        <f>VLOOKUP(C163,'FIN CAL LOOKUP'!A:J,7,1)</f>
        <v>OCT, FY25</v>
      </c>
      <c r="R163" s="57" t="str">
        <f>VLOOKUP(C163,'FIN CAL LOOKUP'!A:J,10,1)</f>
        <v>Q2, FY25</v>
      </c>
    </row>
    <row r="164" spans="1:18" x14ac:dyDescent="0.25">
      <c r="A164" t="s">
        <v>99</v>
      </c>
      <c r="B164" s="58">
        <v>45583.439583333333</v>
      </c>
      <c r="C164" s="58">
        <v>45582.563194444447</v>
      </c>
      <c r="D164" t="s">
        <v>98</v>
      </c>
      <c r="E164" t="s">
        <v>414</v>
      </c>
      <c r="F164" t="s">
        <v>35</v>
      </c>
      <c r="H164" t="s">
        <v>18</v>
      </c>
      <c r="J164" t="s">
        <v>100</v>
      </c>
      <c r="K164" s="3" t="s">
        <v>865</v>
      </c>
      <c r="L164" s="3" t="s">
        <v>865</v>
      </c>
      <c r="N164" s="3" t="s">
        <v>1059</v>
      </c>
      <c r="P164" s="57" t="str">
        <f t="shared" si="2"/>
        <v>Anaconda DC</v>
      </c>
      <c r="Q164" s="57" t="str">
        <f>VLOOKUP(C164,'FIN CAL LOOKUP'!A:J,7,1)</f>
        <v>OCT, FY25</v>
      </c>
      <c r="R164" s="57" t="str">
        <f>VLOOKUP(C164,'FIN CAL LOOKUP'!A:J,10,1)</f>
        <v>Q2, FY25</v>
      </c>
    </row>
    <row r="165" spans="1:18" x14ac:dyDescent="0.25">
      <c r="A165" t="s">
        <v>101</v>
      </c>
      <c r="B165" s="58">
        <v>45586.568055555559</v>
      </c>
      <c r="C165" s="58">
        <v>45586.555555555555</v>
      </c>
      <c r="D165" t="s">
        <v>44</v>
      </c>
      <c r="E165" t="s">
        <v>415</v>
      </c>
      <c r="F165" t="s">
        <v>12</v>
      </c>
      <c r="H165" t="s">
        <v>18</v>
      </c>
      <c r="J165" t="s">
        <v>102</v>
      </c>
      <c r="K165" s="3" t="s">
        <v>871</v>
      </c>
      <c r="L165" s="3" t="s">
        <v>866</v>
      </c>
      <c r="M165" s="3" t="s">
        <v>904</v>
      </c>
      <c r="N165" s="3" t="s">
        <v>966</v>
      </c>
      <c r="P165" s="57" t="str">
        <f t="shared" si="2"/>
        <v>Spotlight DC</v>
      </c>
      <c r="Q165" s="57" t="str">
        <f>VLOOKUP(C165,'FIN CAL LOOKUP'!A:J,7,1)</f>
        <v>OCT, FY25</v>
      </c>
      <c r="R165" s="57" t="str">
        <f>VLOOKUP(C165,'FIN CAL LOOKUP'!A:J,10,1)</f>
        <v>Q2, FY25</v>
      </c>
    </row>
    <row r="166" spans="1:18" x14ac:dyDescent="0.25">
      <c r="A166" t="s">
        <v>385</v>
      </c>
      <c r="B166" s="58">
        <v>45589.552083333336</v>
      </c>
      <c r="C166" s="58">
        <v>45589.496527777781</v>
      </c>
      <c r="D166" t="s">
        <v>82</v>
      </c>
      <c r="E166" t="s">
        <v>415</v>
      </c>
      <c r="F166" t="s">
        <v>353</v>
      </c>
      <c r="H166" t="s">
        <v>18</v>
      </c>
      <c r="J166" t="s">
        <v>453</v>
      </c>
      <c r="K166" s="3" t="s">
        <v>1046</v>
      </c>
      <c r="L166" s="3" t="s">
        <v>1046</v>
      </c>
      <c r="M166" s="3" t="s">
        <v>1046</v>
      </c>
      <c r="N166" s="3" t="s">
        <v>1046</v>
      </c>
      <c r="P166" s="57" t="str">
        <f t="shared" si="2"/>
        <v>Spotlight DC</v>
      </c>
      <c r="Q166" s="57" t="str">
        <f>VLOOKUP(C166,'FIN CAL LOOKUP'!A:J,7,1)</f>
        <v>OCT, FY25</v>
      </c>
      <c r="R166" s="57" t="str">
        <f>VLOOKUP(C166,'FIN CAL LOOKUP'!A:J,10,1)</f>
        <v>Q2, FY25</v>
      </c>
    </row>
    <row r="167" spans="1:18" x14ac:dyDescent="0.25">
      <c r="A167" t="s">
        <v>103</v>
      </c>
      <c r="B167" s="58">
        <v>45594.511111111111</v>
      </c>
      <c r="C167" s="58">
        <v>45593.354166666664</v>
      </c>
      <c r="D167" t="s">
        <v>41</v>
      </c>
      <c r="E167" t="s">
        <v>414</v>
      </c>
      <c r="F167" t="s">
        <v>35</v>
      </c>
      <c r="H167" t="s">
        <v>18</v>
      </c>
      <c r="J167" t="s">
        <v>104</v>
      </c>
      <c r="K167" s="3" t="s">
        <v>859</v>
      </c>
      <c r="L167" s="3" t="s">
        <v>866</v>
      </c>
      <c r="M167" s="3" t="s">
        <v>912</v>
      </c>
      <c r="N167" s="3" t="s">
        <v>967</v>
      </c>
      <c r="P167" s="57" t="str">
        <f t="shared" si="2"/>
        <v>Anaconda DC</v>
      </c>
      <c r="Q167" s="57" t="str">
        <f>VLOOKUP(C167,'FIN CAL LOOKUP'!A:J,7,1)</f>
        <v>NOV, FY25</v>
      </c>
      <c r="R167" s="57" t="str">
        <f>VLOOKUP(C167,'FIN CAL LOOKUP'!A:J,10,1)</f>
        <v>Q2, FY25</v>
      </c>
    </row>
    <row r="168" spans="1:18" x14ac:dyDescent="0.25">
      <c r="A168" t="s">
        <v>386</v>
      </c>
      <c r="B168" s="58">
        <v>45595.300694444442</v>
      </c>
      <c r="C168" s="58">
        <v>45590.479166666664</v>
      </c>
      <c r="D168" t="s">
        <v>449</v>
      </c>
      <c r="E168" t="s">
        <v>450</v>
      </c>
      <c r="F168" t="s">
        <v>353</v>
      </c>
      <c r="H168" t="s">
        <v>9</v>
      </c>
      <c r="J168" t="s">
        <v>454</v>
      </c>
      <c r="K168" s="3" t="s">
        <v>1046</v>
      </c>
      <c r="L168" s="3" t="s">
        <v>1046</v>
      </c>
      <c r="M168" s="3" t="s">
        <v>1046</v>
      </c>
      <c r="N168" s="3" t="s">
        <v>1046</v>
      </c>
      <c r="P168" s="57" t="str">
        <f t="shared" si="2"/>
        <v>Spotlight DC</v>
      </c>
      <c r="Q168" s="57" t="str">
        <f>VLOOKUP(C168,'FIN CAL LOOKUP'!A:J,7,1)</f>
        <v>OCT, FY25</v>
      </c>
      <c r="R168" s="57" t="str">
        <f>VLOOKUP(C168,'FIN CAL LOOKUP'!A:J,10,1)</f>
        <v>Q2, FY25</v>
      </c>
    </row>
    <row r="169" spans="1:18" x14ac:dyDescent="0.25">
      <c r="A169" t="s">
        <v>105</v>
      </c>
      <c r="B169" s="58">
        <v>45597.675000000003</v>
      </c>
      <c r="C169" s="58">
        <v>45597.5</v>
      </c>
      <c r="D169" t="s">
        <v>73</v>
      </c>
      <c r="E169" t="s">
        <v>415</v>
      </c>
      <c r="F169" t="s">
        <v>12</v>
      </c>
      <c r="H169" t="s">
        <v>9</v>
      </c>
      <c r="J169" t="s">
        <v>106</v>
      </c>
      <c r="K169" s="3" t="s">
        <v>1046</v>
      </c>
      <c r="L169" s="3" t="s">
        <v>1046</v>
      </c>
      <c r="M169" s="3" t="s">
        <v>1046</v>
      </c>
      <c r="N169" s="3" t="s">
        <v>1046</v>
      </c>
      <c r="P169" s="57" t="str">
        <f t="shared" si="2"/>
        <v>Spotlight DC</v>
      </c>
      <c r="Q169" s="57" t="str">
        <f>VLOOKUP(C169,'FIN CAL LOOKUP'!A:J,7,1)</f>
        <v>NOV, FY25</v>
      </c>
      <c r="R169" s="57" t="str">
        <f>VLOOKUP(C169,'FIN CAL LOOKUP'!A:J,10,1)</f>
        <v>Q2, FY25</v>
      </c>
    </row>
    <row r="170" spans="1:18" x14ac:dyDescent="0.25">
      <c r="A170" t="s">
        <v>107</v>
      </c>
      <c r="B170" s="58">
        <v>45597.677083333336</v>
      </c>
      <c r="C170" s="58">
        <v>45597.5</v>
      </c>
      <c r="D170" t="s">
        <v>73</v>
      </c>
      <c r="E170" t="s">
        <v>415</v>
      </c>
      <c r="F170" t="s">
        <v>12</v>
      </c>
      <c r="H170" t="s">
        <v>9</v>
      </c>
      <c r="J170" t="s">
        <v>108</v>
      </c>
      <c r="K170" s="3" t="s">
        <v>1046</v>
      </c>
      <c r="L170" s="3" t="s">
        <v>1046</v>
      </c>
      <c r="M170" s="3" t="s">
        <v>1046</v>
      </c>
      <c r="N170" s="3" t="s">
        <v>1046</v>
      </c>
      <c r="P170" s="57" t="str">
        <f t="shared" si="2"/>
        <v>Spotlight DC</v>
      </c>
      <c r="Q170" s="57" t="str">
        <f>VLOOKUP(C170,'FIN CAL LOOKUP'!A:J,7,1)</f>
        <v>NOV, FY25</v>
      </c>
      <c r="R170" s="57" t="str">
        <f>VLOOKUP(C170,'FIN CAL LOOKUP'!A:J,10,1)</f>
        <v>Q2, FY25</v>
      </c>
    </row>
    <row r="171" spans="1:18" x14ac:dyDescent="0.25">
      <c r="A171" t="s">
        <v>109</v>
      </c>
      <c r="B171" s="58">
        <v>45602.773611111108</v>
      </c>
      <c r="C171" s="58">
        <v>45595.756944444445</v>
      </c>
      <c r="D171" t="s">
        <v>110</v>
      </c>
      <c r="E171" t="s">
        <v>415</v>
      </c>
      <c r="F171" t="s">
        <v>12</v>
      </c>
      <c r="H171" t="s">
        <v>18</v>
      </c>
      <c r="J171" t="s">
        <v>111</v>
      </c>
      <c r="K171" s="3" t="s">
        <v>968</v>
      </c>
      <c r="L171" s="3" t="s">
        <v>866</v>
      </c>
      <c r="M171" s="3" t="s">
        <v>922</v>
      </c>
      <c r="N171" s="3" t="s">
        <v>969</v>
      </c>
      <c r="P171" s="57" t="str">
        <f t="shared" si="2"/>
        <v>Spotlight DC</v>
      </c>
      <c r="Q171" s="57" t="str">
        <f>VLOOKUP(C171,'FIN CAL LOOKUP'!A:J,7,1)</f>
        <v>NOV, FY25</v>
      </c>
      <c r="R171" s="57" t="str">
        <f>VLOOKUP(C171,'FIN CAL LOOKUP'!A:J,10,1)</f>
        <v>Q2, FY25</v>
      </c>
    </row>
    <row r="172" spans="1:18" x14ac:dyDescent="0.25">
      <c r="A172" t="s">
        <v>112</v>
      </c>
      <c r="B172" s="58">
        <v>45604.803472222222</v>
      </c>
      <c r="C172" s="58">
        <v>45604.784722222219</v>
      </c>
      <c r="D172" t="s">
        <v>110</v>
      </c>
      <c r="E172" t="s">
        <v>415</v>
      </c>
      <c r="F172" t="s">
        <v>12</v>
      </c>
      <c r="H172" t="s">
        <v>18</v>
      </c>
      <c r="J172" t="s">
        <v>113</v>
      </c>
      <c r="K172" s="3" t="s">
        <v>937</v>
      </c>
      <c r="L172" s="3" t="s">
        <v>865</v>
      </c>
      <c r="N172" s="3" t="s">
        <v>1060</v>
      </c>
      <c r="P172" s="57" t="str">
        <f t="shared" si="2"/>
        <v>Spotlight DC</v>
      </c>
      <c r="Q172" s="57" t="str">
        <f>VLOOKUP(C172,'FIN CAL LOOKUP'!A:J,7,1)</f>
        <v>NOV, FY25</v>
      </c>
      <c r="R172" s="57" t="str">
        <f>VLOOKUP(C172,'FIN CAL LOOKUP'!A:J,10,1)</f>
        <v>Q2, FY25</v>
      </c>
    </row>
    <row r="173" spans="1:18" x14ac:dyDescent="0.25">
      <c r="A173" t="s">
        <v>114</v>
      </c>
      <c r="B173" s="58">
        <v>45608.270138888889</v>
      </c>
      <c r="C173" s="58">
        <v>45607.416666666664</v>
      </c>
      <c r="D173" t="s">
        <v>82</v>
      </c>
      <c r="E173" t="s">
        <v>415</v>
      </c>
      <c r="F173" t="s">
        <v>8</v>
      </c>
      <c r="H173" t="s">
        <v>9</v>
      </c>
      <c r="J173" t="s">
        <v>115</v>
      </c>
      <c r="K173" s="3" t="s">
        <v>1046</v>
      </c>
      <c r="L173" s="3" t="s">
        <v>1046</v>
      </c>
      <c r="M173" s="3" t="s">
        <v>1046</v>
      </c>
      <c r="N173" s="3" t="s">
        <v>1046</v>
      </c>
      <c r="P173" s="57" t="str">
        <f t="shared" si="2"/>
        <v>Harris Scarfe DC</v>
      </c>
      <c r="Q173" s="57" t="str">
        <f>VLOOKUP(C173,'FIN CAL LOOKUP'!A:J,7,1)</f>
        <v>NOV, FY25</v>
      </c>
      <c r="R173" s="57" t="str">
        <f>VLOOKUP(C173,'FIN CAL LOOKUP'!A:J,10,1)</f>
        <v>Q2, FY25</v>
      </c>
    </row>
    <row r="174" spans="1:18" x14ac:dyDescent="0.25">
      <c r="A174" t="s">
        <v>116</v>
      </c>
      <c r="B174" s="58">
        <v>45608.578472222223</v>
      </c>
      <c r="C174" s="58">
        <v>45597.563888888886</v>
      </c>
      <c r="D174" t="s">
        <v>47</v>
      </c>
      <c r="E174" t="s">
        <v>415</v>
      </c>
      <c r="F174" t="s">
        <v>12</v>
      </c>
      <c r="H174" t="s">
        <v>9</v>
      </c>
      <c r="J174" t="s">
        <v>117</v>
      </c>
      <c r="K174" s="3" t="s">
        <v>1046</v>
      </c>
      <c r="L174" s="3" t="s">
        <v>1046</v>
      </c>
      <c r="M174" s="3" t="s">
        <v>1046</v>
      </c>
      <c r="N174" s="3" t="s">
        <v>1046</v>
      </c>
      <c r="P174" s="57" t="str">
        <f t="shared" si="2"/>
        <v>Spotlight DC</v>
      </c>
      <c r="Q174" s="57" t="str">
        <f>VLOOKUP(C174,'FIN CAL LOOKUP'!A:J,7,1)</f>
        <v>NOV, FY25</v>
      </c>
      <c r="R174" s="57" t="str">
        <f>VLOOKUP(C174,'FIN CAL LOOKUP'!A:J,10,1)</f>
        <v>Q2, FY25</v>
      </c>
    </row>
    <row r="175" spans="1:18" x14ac:dyDescent="0.25">
      <c r="A175" t="s">
        <v>118</v>
      </c>
      <c r="B175" s="58">
        <v>45612.696527777778</v>
      </c>
      <c r="C175" s="58">
        <v>45612.527777777781</v>
      </c>
      <c r="D175" t="s">
        <v>73</v>
      </c>
      <c r="E175" t="s">
        <v>415</v>
      </c>
      <c r="F175" t="s">
        <v>12</v>
      </c>
      <c r="H175" t="s">
        <v>18</v>
      </c>
      <c r="J175" t="s">
        <v>119</v>
      </c>
      <c r="K175" s="3" t="s">
        <v>53</v>
      </c>
      <c r="L175" s="3" t="s">
        <v>866</v>
      </c>
      <c r="N175" s="3" t="s">
        <v>1061</v>
      </c>
      <c r="P175" s="57" t="str">
        <f t="shared" si="2"/>
        <v>Spotlight DC</v>
      </c>
      <c r="Q175" s="57" t="str">
        <f>VLOOKUP(C175,'FIN CAL LOOKUP'!A:J,7,1)</f>
        <v>NOV, FY25</v>
      </c>
      <c r="R175" s="57" t="str">
        <f>VLOOKUP(C175,'FIN CAL LOOKUP'!A:J,10,1)</f>
        <v>Q2, FY25</v>
      </c>
    </row>
    <row r="176" spans="1:18" x14ac:dyDescent="0.25">
      <c r="A176" t="s">
        <v>120</v>
      </c>
      <c r="B176" s="58">
        <v>45614.85</v>
      </c>
      <c r="C176" s="58">
        <v>45614.625</v>
      </c>
      <c r="D176" t="s">
        <v>17</v>
      </c>
      <c r="E176" t="s">
        <v>415</v>
      </c>
      <c r="F176" t="s">
        <v>12</v>
      </c>
      <c r="H176" t="s">
        <v>18</v>
      </c>
      <c r="J176" t="s">
        <v>121</v>
      </c>
      <c r="K176" s="3" t="s">
        <v>865</v>
      </c>
      <c r="L176" s="3" t="s">
        <v>865</v>
      </c>
      <c r="N176" s="3" t="s">
        <v>1055</v>
      </c>
      <c r="P176" s="57" t="str">
        <f t="shared" si="2"/>
        <v>Spotlight DC</v>
      </c>
      <c r="Q176" s="57" t="str">
        <f>VLOOKUP(C176,'FIN CAL LOOKUP'!A:J,7,1)</f>
        <v>NOV, FY25</v>
      </c>
      <c r="R176" s="57" t="str">
        <f>VLOOKUP(C176,'FIN CAL LOOKUP'!A:J,10,1)</f>
        <v>Q2, FY25</v>
      </c>
    </row>
    <row r="177" spans="1:18" x14ac:dyDescent="0.25">
      <c r="A177" t="s">
        <v>122</v>
      </c>
      <c r="B177" s="58">
        <v>45616.772916666669</v>
      </c>
      <c r="C177" s="58">
        <v>45616.711805555555</v>
      </c>
      <c r="D177" t="s">
        <v>123</v>
      </c>
      <c r="E177" t="s">
        <v>415</v>
      </c>
      <c r="F177" t="s">
        <v>35</v>
      </c>
      <c r="H177" t="s">
        <v>18</v>
      </c>
      <c r="J177" t="s">
        <v>124</v>
      </c>
      <c r="K177" s="3" t="s">
        <v>881</v>
      </c>
      <c r="L177" s="3" t="s">
        <v>866</v>
      </c>
      <c r="M177" s="3" t="s">
        <v>970</v>
      </c>
      <c r="N177" s="3" t="s">
        <v>971</v>
      </c>
      <c r="P177" s="57" t="str">
        <f t="shared" si="2"/>
        <v>Anaconda DC</v>
      </c>
      <c r="Q177" s="57" t="str">
        <f>VLOOKUP(C177,'FIN CAL LOOKUP'!A:J,7,1)</f>
        <v>NOV, FY25</v>
      </c>
      <c r="R177" s="57" t="str">
        <f>VLOOKUP(C177,'FIN CAL LOOKUP'!A:J,10,1)</f>
        <v>Q2, FY25</v>
      </c>
    </row>
    <row r="178" spans="1:18" x14ac:dyDescent="0.25">
      <c r="A178" t="s">
        <v>125</v>
      </c>
      <c r="B178" s="58">
        <v>45617.852777777778</v>
      </c>
      <c r="C178" s="58">
        <v>45616.75</v>
      </c>
      <c r="D178" t="s">
        <v>17</v>
      </c>
      <c r="E178" t="s">
        <v>415</v>
      </c>
      <c r="F178" t="s">
        <v>12</v>
      </c>
      <c r="H178" t="s">
        <v>18</v>
      </c>
      <c r="J178" t="s">
        <v>126</v>
      </c>
      <c r="K178" s="3" t="s">
        <v>865</v>
      </c>
      <c r="L178" s="3" t="s">
        <v>865</v>
      </c>
      <c r="N178" s="3" t="s">
        <v>1055</v>
      </c>
      <c r="P178" s="57" t="str">
        <f t="shared" si="2"/>
        <v>Spotlight DC</v>
      </c>
      <c r="Q178" s="57" t="str">
        <f>VLOOKUP(C178,'FIN CAL LOOKUP'!A:J,7,1)</f>
        <v>NOV, FY25</v>
      </c>
      <c r="R178" s="57" t="str">
        <f>VLOOKUP(C178,'FIN CAL LOOKUP'!A:J,10,1)</f>
        <v>Q2, FY25</v>
      </c>
    </row>
    <row r="179" spans="1:18" x14ac:dyDescent="0.25">
      <c r="A179" t="s">
        <v>127</v>
      </c>
      <c r="B179" s="58">
        <v>45618.568749999999</v>
      </c>
      <c r="C179" s="58">
        <v>45617.522222222222</v>
      </c>
      <c r="D179" t="s">
        <v>41</v>
      </c>
      <c r="E179" t="s">
        <v>414</v>
      </c>
      <c r="F179" t="s">
        <v>35</v>
      </c>
      <c r="H179" t="s">
        <v>9</v>
      </c>
      <c r="J179" t="s">
        <v>128</v>
      </c>
      <c r="K179" s="3" t="s">
        <v>1046</v>
      </c>
      <c r="L179" s="3" t="s">
        <v>1046</v>
      </c>
      <c r="M179" s="3" t="s">
        <v>1046</v>
      </c>
      <c r="N179" s="3" t="s">
        <v>1046</v>
      </c>
      <c r="P179" s="57" t="str">
        <f t="shared" si="2"/>
        <v>Anaconda DC</v>
      </c>
      <c r="Q179" s="57" t="str">
        <f>VLOOKUP(C179,'FIN CAL LOOKUP'!A:J,7,1)</f>
        <v>NOV, FY25</v>
      </c>
      <c r="R179" s="57" t="str">
        <f>VLOOKUP(C179,'FIN CAL LOOKUP'!A:J,10,1)</f>
        <v>Q2, FY25</v>
      </c>
    </row>
    <row r="180" spans="1:18" x14ac:dyDescent="0.25">
      <c r="A180" t="s">
        <v>129</v>
      </c>
      <c r="B180" s="58">
        <v>45618.606944444444</v>
      </c>
      <c r="C180" s="58">
        <v>45618.416666666664</v>
      </c>
      <c r="D180" t="s">
        <v>82</v>
      </c>
      <c r="E180" t="s">
        <v>415</v>
      </c>
      <c r="F180" t="s">
        <v>8</v>
      </c>
      <c r="H180" t="s">
        <v>9</v>
      </c>
      <c r="J180" t="s">
        <v>130</v>
      </c>
      <c r="K180" s="3" t="s">
        <v>1046</v>
      </c>
      <c r="L180" s="3" t="s">
        <v>1046</v>
      </c>
      <c r="M180" s="3" t="s">
        <v>1046</v>
      </c>
      <c r="N180" s="3" t="s">
        <v>1046</v>
      </c>
      <c r="P180" s="57" t="str">
        <f t="shared" si="2"/>
        <v>Harris Scarfe DC</v>
      </c>
      <c r="Q180" s="57" t="str">
        <f>VLOOKUP(C180,'FIN CAL LOOKUP'!A:J,7,1)</f>
        <v>NOV, FY25</v>
      </c>
      <c r="R180" s="57" t="str">
        <f>VLOOKUP(C180,'FIN CAL LOOKUP'!A:J,10,1)</f>
        <v>Q2, FY25</v>
      </c>
    </row>
    <row r="181" spans="1:18" x14ac:dyDescent="0.25">
      <c r="A181" t="s">
        <v>387</v>
      </c>
      <c r="B181" s="58">
        <v>45629.397916666669</v>
      </c>
      <c r="C181" s="58">
        <v>45629.302083333336</v>
      </c>
      <c r="D181" t="s">
        <v>449</v>
      </c>
      <c r="E181" t="s">
        <v>450</v>
      </c>
      <c r="F181" t="s">
        <v>353</v>
      </c>
      <c r="H181" t="s">
        <v>18</v>
      </c>
      <c r="J181" t="s">
        <v>455</v>
      </c>
      <c r="K181" s="3" t="s">
        <v>972</v>
      </c>
      <c r="L181" s="3" t="s">
        <v>865</v>
      </c>
      <c r="N181" s="3" t="s">
        <v>1062</v>
      </c>
      <c r="P181" s="57" t="str">
        <f t="shared" si="2"/>
        <v>Spotlight DC</v>
      </c>
      <c r="Q181" s="57" t="str">
        <f>VLOOKUP(C181,'FIN CAL LOOKUP'!A:J,7,1)</f>
        <v>DEC, FY25</v>
      </c>
      <c r="R181" s="57" t="str">
        <f>VLOOKUP(C181,'FIN CAL LOOKUP'!A:J,10,1)</f>
        <v>Q2, FY25</v>
      </c>
    </row>
    <row r="182" spans="1:18" x14ac:dyDescent="0.25">
      <c r="A182" t="s">
        <v>131</v>
      </c>
      <c r="B182" s="58">
        <v>45630.569444444445</v>
      </c>
      <c r="C182" s="58">
        <v>45630.561805555553</v>
      </c>
      <c r="D182" t="s">
        <v>25</v>
      </c>
      <c r="E182" t="s">
        <v>82</v>
      </c>
      <c r="F182" t="s">
        <v>26</v>
      </c>
      <c r="H182" t="s">
        <v>18</v>
      </c>
      <c r="J182" t="s">
        <v>132</v>
      </c>
      <c r="K182" s="3" t="s">
        <v>937</v>
      </c>
      <c r="L182" s="3" t="s">
        <v>865</v>
      </c>
      <c r="N182" s="3" t="s">
        <v>1062</v>
      </c>
      <c r="P182" s="57" t="str">
        <f t="shared" si="2"/>
        <v>Harris Scarfe DC</v>
      </c>
      <c r="Q182" s="57" t="str">
        <f>VLOOKUP(C182,'FIN CAL LOOKUP'!A:J,7,1)</f>
        <v>DEC, FY25</v>
      </c>
      <c r="R182" s="57" t="str">
        <f>VLOOKUP(C182,'FIN CAL LOOKUP'!A:J,10,1)</f>
        <v>Q2, FY25</v>
      </c>
    </row>
    <row r="183" spans="1:18" x14ac:dyDescent="0.25">
      <c r="A183" t="s">
        <v>133</v>
      </c>
      <c r="B183" s="58">
        <v>45636.513194444444</v>
      </c>
      <c r="C183" s="58">
        <v>45631.465277777781</v>
      </c>
      <c r="D183" t="s">
        <v>82</v>
      </c>
      <c r="E183" t="s">
        <v>415</v>
      </c>
      <c r="F183" t="s">
        <v>8</v>
      </c>
      <c r="H183" t="s">
        <v>18</v>
      </c>
      <c r="J183" t="s">
        <v>134</v>
      </c>
      <c r="K183" s="3" t="s">
        <v>875</v>
      </c>
      <c r="L183" s="3" t="s">
        <v>866</v>
      </c>
      <c r="M183" s="3" t="s">
        <v>940</v>
      </c>
      <c r="N183" s="3" t="s">
        <v>973</v>
      </c>
      <c r="P183" s="57" t="str">
        <f t="shared" si="2"/>
        <v>Harris Scarfe DC</v>
      </c>
      <c r="Q183" s="57" t="str">
        <f>VLOOKUP(C183,'FIN CAL LOOKUP'!A:J,7,1)</f>
        <v>DEC, FY25</v>
      </c>
      <c r="R183" s="57" t="str">
        <f>VLOOKUP(C183,'FIN CAL LOOKUP'!A:J,10,1)</f>
        <v>Q2, FY25</v>
      </c>
    </row>
    <row r="184" spans="1:18" x14ac:dyDescent="0.25">
      <c r="A184" t="s">
        <v>135</v>
      </c>
      <c r="B184" s="58">
        <v>45636.561805555553</v>
      </c>
      <c r="C184" s="58">
        <v>45631.470833333333</v>
      </c>
      <c r="D184" t="s">
        <v>82</v>
      </c>
      <c r="E184" t="s">
        <v>415</v>
      </c>
      <c r="F184" t="s">
        <v>8</v>
      </c>
      <c r="H184" t="s">
        <v>18</v>
      </c>
      <c r="J184" t="s">
        <v>136</v>
      </c>
      <c r="K184" s="3" t="s">
        <v>859</v>
      </c>
      <c r="L184" s="3" t="s">
        <v>860</v>
      </c>
      <c r="M184" s="3" t="s">
        <v>940</v>
      </c>
      <c r="N184" s="3" t="s">
        <v>973</v>
      </c>
      <c r="P184" s="57" t="str">
        <f t="shared" si="2"/>
        <v>Harris Scarfe DC</v>
      </c>
      <c r="Q184" s="57" t="str">
        <f>VLOOKUP(C184,'FIN CAL LOOKUP'!A:J,7,1)</f>
        <v>DEC, FY25</v>
      </c>
      <c r="R184" s="57" t="str">
        <f>VLOOKUP(C184,'FIN CAL LOOKUP'!A:J,10,1)</f>
        <v>Q2, FY25</v>
      </c>
    </row>
    <row r="185" spans="1:18" x14ac:dyDescent="0.25">
      <c r="A185" t="s">
        <v>137</v>
      </c>
      <c r="B185" s="58">
        <v>45638.492361111108</v>
      </c>
      <c r="C185" s="58">
        <v>45637.3125</v>
      </c>
      <c r="D185" t="s">
        <v>47</v>
      </c>
      <c r="E185" t="s">
        <v>415</v>
      </c>
      <c r="F185" t="s">
        <v>12</v>
      </c>
      <c r="H185" t="s">
        <v>18</v>
      </c>
      <c r="J185" t="s">
        <v>138</v>
      </c>
      <c r="K185" s="3" t="s">
        <v>53</v>
      </c>
      <c r="L185" s="3" t="s">
        <v>52</v>
      </c>
      <c r="M185" s="3" t="s">
        <v>888</v>
      </c>
      <c r="N185" s="3" t="s">
        <v>974</v>
      </c>
      <c r="P185" s="57" t="str">
        <f t="shared" si="2"/>
        <v>Spotlight DC</v>
      </c>
      <c r="Q185" s="57" t="str">
        <f>VLOOKUP(C185,'FIN CAL LOOKUP'!A:J,7,1)</f>
        <v>DEC, FY25</v>
      </c>
      <c r="R185" s="57" t="str">
        <f>VLOOKUP(C185,'FIN CAL LOOKUP'!A:J,10,1)</f>
        <v>Q2, FY25</v>
      </c>
    </row>
    <row r="186" spans="1:18" x14ac:dyDescent="0.25">
      <c r="A186" t="s">
        <v>139</v>
      </c>
      <c r="B186" s="58">
        <v>45638.665277777778</v>
      </c>
      <c r="C186" s="58">
        <v>45636.802083333336</v>
      </c>
      <c r="D186" t="s">
        <v>73</v>
      </c>
      <c r="E186" t="s">
        <v>415</v>
      </c>
      <c r="F186" t="s">
        <v>12</v>
      </c>
      <c r="H186" t="s">
        <v>18</v>
      </c>
      <c r="J186" t="s">
        <v>140</v>
      </c>
      <c r="K186" s="3" t="s">
        <v>1046</v>
      </c>
      <c r="L186" s="3" t="s">
        <v>1046</v>
      </c>
      <c r="M186" s="3" t="s">
        <v>1046</v>
      </c>
      <c r="N186" s="3" t="s">
        <v>1046</v>
      </c>
      <c r="P186" s="57" t="str">
        <f t="shared" si="2"/>
        <v>Spotlight DC</v>
      </c>
      <c r="Q186" s="57" t="str">
        <f>VLOOKUP(C186,'FIN CAL LOOKUP'!A:J,7,1)</f>
        <v>DEC, FY25</v>
      </c>
      <c r="R186" s="57" t="str">
        <f>VLOOKUP(C186,'FIN CAL LOOKUP'!A:J,10,1)</f>
        <v>Q2, FY25</v>
      </c>
    </row>
    <row r="187" spans="1:18" x14ac:dyDescent="0.25">
      <c r="A187" t="s">
        <v>141</v>
      </c>
      <c r="B187" s="58">
        <v>45643.323611111111</v>
      </c>
      <c r="C187" s="58">
        <v>45637.479166666664</v>
      </c>
      <c r="D187" t="s">
        <v>62</v>
      </c>
      <c r="E187" t="s">
        <v>415</v>
      </c>
      <c r="F187" t="s">
        <v>12</v>
      </c>
      <c r="G187" t="s">
        <v>62</v>
      </c>
      <c r="H187" t="s">
        <v>18</v>
      </c>
      <c r="I187" t="s">
        <v>27</v>
      </c>
      <c r="J187" t="s">
        <v>142</v>
      </c>
      <c r="K187" s="3" t="s">
        <v>881</v>
      </c>
      <c r="L187" s="3" t="s">
        <v>866</v>
      </c>
      <c r="M187" s="3" t="s">
        <v>975</v>
      </c>
      <c r="N187" s="3" t="s">
        <v>976</v>
      </c>
      <c r="P187" s="57" t="str">
        <f t="shared" si="2"/>
        <v>Spotlight DC</v>
      </c>
      <c r="Q187" s="57" t="str">
        <f>VLOOKUP(C187,'FIN CAL LOOKUP'!A:J,7,1)</f>
        <v>DEC, FY25</v>
      </c>
      <c r="R187" s="57" t="str">
        <f>VLOOKUP(C187,'FIN CAL LOOKUP'!A:J,10,1)</f>
        <v>Q2, FY25</v>
      </c>
    </row>
    <row r="188" spans="1:18" x14ac:dyDescent="0.25">
      <c r="A188" t="s">
        <v>388</v>
      </c>
      <c r="B188" s="58">
        <v>45643.540972222225</v>
      </c>
      <c r="C188" s="58">
        <v>45643.354166666664</v>
      </c>
      <c r="D188" t="s">
        <v>417</v>
      </c>
      <c r="E188" t="s">
        <v>415</v>
      </c>
      <c r="F188" t="s">
        <v>353</v>
      </c>
      <c r="G188" t="s">
        <v>463</v>
      </c>
      <c r="H188" t="s">
        <v>13</v>
      </c>
      <c r="I188" t="s">
        <v>27</v>
      </c>
      <c r="J188" t="s">
        <v>456</v>
      </c>
      <c r="K188" s="3" t="s">
        <v>881</v>
      </c>
      <c r="L188" s="3" t="s">
        <v>866</v>
      </c>
      <c r="M188" s="3" t="s">
        <v>977</v>
      </c>
      <c r="N188" s="3" t="s">
        <v>978</v>
      </c>
      <c r="O188" s="3" t="s">
        <v>1029</v>
      </c>
      <c r="P188" s="57" t="str">
        <f t="shared" si="2"/>
        <v>Spotlight DC</v>
      </c>
      <c r="Q188" s="57" t="str">
        <f>VLOOKUP(C188,'FIN CAL LOOKUP'!A:J,7,1)</f>
        <v>DEC, FY25</v>
      </c>
      <c r="R188" s="57" t="str">
        <f>VLOOKUP(C188,'FIN CAL LOOKUP'!A:J,10,1)</f>
        <v>Q2, FY25</v>
      </c>
    </row>
    <row r="189" spans="1:18" x14ac:dyDescent="0.25">
      <c r="A189" t="s">
        <v>389</v>
      </c>
      <c r="B189" s="58">
        <v>45645.535416666666</v>
      </c>
      <c r="C189" s="58">
        <v>45644.760416666664</v>
      </c>
      <c r="D189" t="s">
        <v>449</v>
      </c>
      <c r="E189" t="s">
        <v>450</v>
      </c>
      <c r="F189" t="s">
        <v>353</v>
      </c>
      <c r="H189" t="s">
        <v>18</v>
      </c>
      <c r="J189" t="s">
        <v>457</v>
      </c>
      <c r="K189" s="3" t="s">
        <v>979</v>
      </c>
      <c r="L189" s="3" t="s">
        <v>865</v>
      </c>
      <c r="M189" s="3" t="s">
        <v>980</v>
      </c>
      <c r="N189" s="3" t="s">
        <v>981</v>
      </c>
      <c r="P189" s="57" t="str">
        <f t="shared" si="2"/>
        <v>Spotlight DC</v>
      </c>
      <c r="Q189" s="57" t="str">
        <f>VLOOKUP(C189,'FIN CAL LOOKUP'!A:J,7,1)</f>
        <v>DEC, FY25</v>
      </c>
      <c r="R189" s="57" t="str">
        <f>VLOOKUP(C189,'FIN CAL LOOKUP'!A:J,10,1)</f>
        <v>Q2, FY25</v>
      </c>
    </row>
    <row r="190" spans="1:18" x14ac:dyDescent="0.25">
      <c r="A190" t="s">
        <v>390</v>
      </c>
      <c r="B190" s="58">
        <v>45646.43472222222</v>
      </c>
      <c r="C190" s="58">
        <v>45646.402777777781</v>
      </c>
      <c r="D190" t="s">
        <v>449</v>
      </c>
      <c r="E190" t="s">
        <v>450</v>
      </c>
      <c r="F190" t="s">
        <v>353</v>
      </c>
      <c r="H190" t="s">
        <v>18</v>
      </c>
      <c r="J190" t="s">
        <v>458</v>
      </c>
      <c r="K190" s="3" t="s">
        <v>875</v>
      </c>
      <c r="L190" s="3" t="s">
        <v>865</v>
      </c>
      <c r="N190" s="3" t="s">
        <v>1062</v>
      </c>
      <c r="P190" s="57" t="str">
        <f t="shared" si="2"/>
        <v>Spotlight DC</v>
      </c>
      <c r="Q190" s="57" t="str">
        <f>VLOOKUP(C190,'FIN CAL LOOKUP'!A:J,7,1)</f>
        <v>DEC, FY25</v>
      </c>
      <c r="R190" s="57" t="str">
        <f>VLOOKUP(C190,'FIN CAL LOOKUP'!A:J,10,1)</f>
        <v>Q2, FY25</v>
      </c>
    </row>
    <row r="191" spans="1:18" x14ac:dyDescent="0.25">
      <c r="A191" t="s">
        <v>143</v>
      </c>
      <c r="B191" s="58">
        <v>45660.386805555558</v>
      </c>
      <c r="C191" s="58">
        <v>45657.333333333336</v>
      </c>
      <c r="D191" t="s">
        <v>34</v>
      </c>
      <c r="E191" t="s">
        <v>414</v>
      </c>
      <c r="F191" t="s">
        <v>35</v>
      </c>
      <c r="H191" t="s">
        <v>18</v>
      </c>
      <c r="J191" t="s">
        <v>144</v>
      </c>
      <c r="K191" s="3" t="s">
        <v>982</v>
      </c>
      <c r="L191" s="3" t="s">
        <v>964</v>
      </c>
      <c r="N191" s="3" t="s">
        <v>1057</v>
      </c>
      <c r="P191" s="57" t="str">
        <f t="shared" si="2"/>
        <v>Anaconda DC</v>
      </c>
      <c r="Q191" s="57" t="str">
        <f>VLOOKUP(C191,'FIN CAL LOOKUP'!A:J,7,1)</f>
        <v>JAN, FY25</v>
      </c>
      <c r="R191" s="57" t="str">
        <f>VLOOKUP(C191,'FIN CAL LOOKUP'!A:J,10,1)</f>
        <v>Q3, FY25</v>
      </c>
    </row>
    <row r="192" spans="1:18" x14ac:dyDescent="0.25">
      <c r="A192" t="s">
        <v>145</v>
      </c>
      <c r="B192" s="58">
        <v>45664.811111111114</v>
      </c>
      <c r="C192" s="58">
        <v>45664.753472222219</v>
      </c>
      <c r="D192" t="s">
        <v>73</v>
      </c>
      <c r="E192" t="s">
        <v>415</v>
      </c>
      <c r="F192" t="s">
        <v>12</v>
      </c>
      <c r="H192" t="s">
        <v>18</v>
      </c>
      <c r="J192" t="s">
        <v>146</v>
      </c>
      <c r="K192" s="3" t="s">
        <v>875</v>
      </c>
      <c r="L192" s="3" t="s">
        <v>866</v>
      </c>
      <c r="M192" s="3" t="s">
        <v>886</v>
      </c>
      <c r="N192" s="3" t="s">
        <v>983</v>
      </c>
      <c r="P192" s="57" t="str">
        <f t="shared" si="2"/>
        <v>Spotlight DC</v>
      </c>
      <c r="Q192" s="57" t="str">
        <f>VLOOKUP(C192,'FIN CAL LOOKUP'!A:J,7,1)</f>
        <v>JAN, FY25</v>
      </c>
      <c r="R192" s="57" t="str">
        <f>VLOOKUP(C192,'FIN CAL LOOKUP'!A:J,10,1)</f>
        <v>Q3, FY25</v>
      </c>
    </row>
    <row r="193" spans="1:18" x14ac:dyDescent="0.25">
      <c r="A193" t="s">
        <v>391</v>
      </c>
      <c r="B193" s="58">
        <v>45671.390277777777</v>
      </c>
      <c r="C193" s="58">
        <v>45670.756944444445</v>
      </c>
      <c r="D193" t="s">
        <v>449</v>
      </c>
      <c r="E193" t="s">
        <v>450</v>
      </c>
      <c r="F193" t="s">
        <v>353</v>
      </c>
      <c r="H193" t="s">
        <v>18</v>
      </c>
      <c r="J193" t="s">
        <v>459</v>
      </c>
      <c r="K193" s="3" t="s">
        <v>875</v>
      </c>
      <c r="L193" s="3" t="s">
        <v>865</v>
      </c>
      <c r="N193" s="3" t="s">
        <v>1062</v>
      </c>
      <c r="P193" s="57" t="str">
        <f t="shared" si="2"/>
        <v>Spotlight DC</v>
      </c>
      <c r="Q193" s="57" t="str">
        <f>VLOOKUP(C193,'FIN CAL LOOKUP'!A:J,7,1)</f>
        <v>JAN, FY25</v>
      </c>
      <c r="R193" s="57" t="str">
        <f>VLOOKUP(C193,'FIN CAL LOOKUP'!A:J,10,1)</f>
        <v>Q3, FY25</v>
      </c>
    </row>
    <row r="194" spans="1:18" x14ac:dyDescent="0.25">
      <c r="A194" t="s">
        <v>147</v>
      </c>
      <c r="B194" s="58">
        <v>45672.331944444442</v>
      </c>
      <c r="C194" s="58">
        <v>45618.489583333336</v>
      </c>
      <c r="D194" t="s">
        <v>34</v>
      </c>
      <c r="E194" t="s">
        <v>414</v>
      </c>
      <c r="F194" t="s">
        <v>35</v>
      </c>
      <c r="H194" t="s">
        <v>18</v>
      </c>
      <c r="J194" t="s">
        <v>148</v>
      </c>
      <c r="K194" s="3" t="s">
        <v>979</v>
      </c>
      <c r="L194" s="3" t="s">
        <v>866</v>
      </c>
      <c r="M194" s="3" t="s">
        <v>909</v>
      </c>
      <c r="N194" s="3" t="s">
        <v>984</v>
      </c>
      <c r="P194" s="57" t="str">
        <f t="shared" si="2"/>
        <v>Anaconda DC</v>
      </c>
      <c r="Q194" s="57" t="str">
        <f>VLOOKUP(C194,'FIN CAL LOOKUP'!A:J,7,1)</f>
        <v>NOV, FY25</v>
      </c>
      <c r="R194" s="57" t="str">
        <f>VLOOKUP(C194,'FIN CAL LOOKUP'!A:J,10,1)</f>
        <v>Q2, FY25</v>
      </c>
    </row>
    <row r="195" spans="1:18" x14ac:dyDescent="0.25">
      <c r="A195" t="s">
        <v>149</v>
      </c>
      <c r="B195" s="58">
        <v>45672.643055555556</v>
      </c>
      <c r="C195" s="58">
        <v>45671.61041666667</v>
      </c>
      <c r="D195" t="s">
        <v>73</v>
      </c>
      <c r="E195" t="s">
        <v>415</v>
      </c>
      <c r="F195" t="s">
        <v>12</v>
      </c>
      <c r="H195" t="s">
        <v>18</v>
      </c>
      <c r="J195" t="s">
        <v>150</v>
      </c>
      <c r="K195" s="3" t="s">
        <v>865</v>
      </c>
      <c r="L195" s="3" t="s">
        <v>874</v>
      </c>
      <c r="N195" s="3" t="s">
        <v>1063</v>
      </c>
      <c r="P195" s="57" t="str">
        <f t="shared" ref="P195:P231" si="3">IF(OR(F195="HS2057 SUNSHINE DC",F195="S812  Harris Scarfe DC",F195="S813 HS Dark Store",E195="MICHELLE SLOVIK",E195="BREA ROLLINSON",E195="LJUBICA MITRESKA"),"Harris Scarfe DC",IF(OR(F195="S810 Anaconda DC",E195="THOMAS WILLIAMS"),"Anaconda DC",IF(F195="S811 Spotlight DC","Spotlight DC","Spotlight DC")))</f>
        <v>Spotlight DC</v>
      </c>
      <c r="Q195" s="57" t="str">
        <f>VLOOKUP(C195,'FIN CAL LOOKUP'!A:J,7,1)</f>
        <v>JAN, FY25</v>
      </c>
      <c r="R195" s="57" t="str">
        <f>VLOOKUP(C195,'FIN CAL LOOKUP'!A:J,10,1)</f>
        <v>Q3, FY25</v>
      </c>
    </row>
    <row r="196" spans="1:18" x14ac:dyDescent="0.25">
      <c r="A196" t="s">
        <v>392</v>
      </c>
      <c r="B196" s="58">
        <v>45673.793749999997</v>
      </c>
      <c r="C196" s="58">
        <v>45673.482638888891</v>
      </c>
      <c r="D196" t="s">
        <v>460</v>
      </c>
      <c r="E196" t="s">
        <v>450</v>
      </c>
      <c r="F196" t="s">
        <v>353</v>
      </c>
      <c r="H196" t="s">
        <v>9</v>
      </c>
      <c r="J196" t="s">
        <v>461</v>
      </c>
      <c r="K196" s="3" t="s">
        <v>1046</v>
      </c>
      <c r="L196" s="3" t="s">
        <v>1046</v>
      </c>
      <c r="M196" s="3" t="s">
        <v>1046</v>
      </c>
      <c r="N196" s="3" t="s">
        <v>1046</v>
      </c>
      <c r="P196" s="57" t="str">
        <f t="shared" si="3"/>
        <v>Spotlight DC</v>
      </c>
      <c r="Q196" s="57" t="str">
        <f>VLOOKUP(C196,'FIN CAL LOOKUP'!A:J,7,1)</f>
        <v>JAN, FY25</v>
      </c>
      <c r="R196" s="57" t="str">
        <f>VLOOKUP(C196,'FIN CAL LOOKUP'!A:J,10,1)</f>
        <v>Q3, FY25</v>
      </c>
    </row>
    <row r="197" spans="1:18" x14ac:dyDescent="0.25">
      <c r="A197" t="s">
        <v>151</v>
      </c>
      <c r="B197" s="58">
        <v>45679.529166666667</v>
      </c>
      <c r="C197" s="58">
        <v>45679.455555555556</v>
      </c>
      <c r="D197" t="s">
        <v>152</v>
      </c>
      <c r="E197" t="s">
        <v>415</v>
      </c>
      <c r="F197" t="s">
        <v>12</v>
      </c>
      <c r="H197" t="s">
        <v>9</v>
      </c>
      <c r="J197" t="s">
        <v>153</v>
      </c>
      <c r="K197" s="3" t="s">
        <v>1046</v>
      </c>
      <c r="L197" s="3" t="s">
        <v>1046</v>
      </c>
      <c r="M197" s="3" t="s">
        <v>1046</v>
      </c>
      <c r="N197" s="3" t="s">
        <v>1046</v>
      </c>
      <c r="P197" s="57" t="str">
        <f t="shared" si="3"/>
        <v>Spotlight DC</v>
      </c>
      <c r="Q197" s="57" t="str">
        <f>VLOOKUP(C197,'FIN CAL LOOKUP'!A:J,7,1)</f>
        <v>JAN, FY25</v>
      </c>
      <c r="R197" s="57" t="str">
        <f>VLOOKUP(C197,'FIN CAL LOOKUP'!A:J,10,1)</f>
        <v>Q3, FY25</v>
      </c>
    </row>
    <row r="198" spans="1:18" x14ac:dyDescent="0.25">
      <c r="A198" t="s">
        <v>154</v>
      </c>
      <c r="B198" s="58">
        <v>45679.542361111111</v>
      </c>
      <c r="C198" s="58">
        <v>45679.490972222222</v>
      </c>
      <c r="D198" t="s">
        <v>152</v>
      </c>
      <c r="E198" t="s">
        <v>415</v>
      </c>
      <c r="F198" t="s">
        <v>12</v>
      </c>
      <c r="H198" t="s">
        <v>9</v>
      </c>
      <c r="J198" t="s">
        <v>155</v>
      </c>
      <c r="K198" s="3" t="s">
        <v>1046</v>
      </c>
      <c r="L198" s="3" t="s">
        <v>1046</v>
      </c>
      <c r="M198" s="3" t="s">
        <v>1046</v>
      </c>
      <c r="N198" s="3" t="s">
        <v>1046</v>
      </c>
      <c r="P198" s="57" t="str">
        <f t="shared" si="3"/>
        <v>Spotlight DC</v>
      </c>
      <c r="Q198" s="57" t="str">
        <f>VLOOKUP(C198,'FIN CAL LOOKUP'!A:J,7,1)</f>
        <v>JAN, FY25</v>
      </c>
      <c r="R198" s="57" t="str">
        <f>VLOOKUP(C198,'FIN CAL LOOKUP'!A:J,10,1)</f>
        <v>Q3, FY25</v>
      </c>
    </row>
    <row r="199" spans="1:18" x14ac:dyDescent="0.25">
      <c r="A199" t="s">
        <v>156</v>
      </c>
      <c r="B199" s="58">
        <v>45679.590277777781</v>
      </c>
      <c r="C199" s="58">
        <v>45670.472222222219</v>
      </c>
      <c r="D199" t="s">
        <v>152</v>
      </c>
      <c r="E199" t="s">
        <v>415</v>
      </c>
      <c r="F199" t="s">
        <v>12</v>
      </c>
      <c r="G199" t="s">
        <v>1019</v>
      </c>
      <c r="H199" t="s">
        <v>13</v>
      </c>
      <c r="I199" t="s">
        <v>36</v>
      </c>
      <c r="J199" t="s">
        <v>157</v>
      </c>
      <c r="K199" s="3" t="s">
        <v>901</v>
      </c>
      <c r="L199" s="3" t="s">
        <v>52</v>
      </c>
      <c r="M199" s="3" t="s">
        <v>914</v>
      </c>
      <c r="N199" s="3" t="s">
        <v>985</v>
      </c>
      <c r="O199" s="3" t="s">
        <v>1029</v>
      </c>
      <c r="P199" s="57" t="str">
        <f t="shared" si="3"/>
        <v>Spotlight DC</v>
      </c>
      <c r="Q199" s="57" t="str">
        <f>VLOOKUP(C199,'FIN CAL LOOKUP'!A:J,7,1)</f>
        <v>JAN, FY25</v>
      </c>
      <c r="R199" s="57" t="str">
        <f>VLOOKUP(C199,'FIN CAL LOOKUP'!A:J,10,1)</f>
        <v>Q3, FY25</v>
      </c>
    </row>
    <row r="200" spans="1:18" x14ac:dyDescent="0.25">
      <c r="A200" t="s">
        <v>158</v>
      </c>
      <c r="B200" s="58">
        <v>45680.43472222222</v>
      </c>
      <c r="C200" s="58">
        <v>45667.576388888891</v>
      </c>
      <c r="D200" t="s">
        <v>98</v>
      </c>
      <c r="E200" t="s">
        <v>414</v>
      </c>
      <c r="F200" t="s">
        <v>35</v>
      </c>
      <c r="H200" t="s">
        <v>9</v>
      </c>
      <c r="J200" t="s">
        <v>159</v>
      </c>
      <c r="K200" s="3" t="s">
        <v>1046</v>
      </c>
      <c r="L200" s="3" t="s">
        <v>1046</v>
      </c>
      <c r="M200" s="3" t="s">
        <v>1046</v>
      </c>
      <c r="N200" s="3" t="s">
        <v>1046</v>
      </c>
      <c r="P200" s="57" t="str">
        <f t="shared" si="3"/>
        <v>Anaconda DC</v>
      </c>
      <c r="Q200" s="57" t="str">
        <f>VLOOKUP(C200,'FIN CAL LOOKUP'!A:J,7,1)</f>
        <v>JAN, FY25</v>
      </c>
      <c r="R200" s="57" t="str">
        <f>VLOOKUP(C200,'FIN CAL LOOKUP'!A:J,10,1)</f>
        <v>Q3, FY25</v>
      </c>
    </row>
    <row r="201" spans="1:18" x14ac:dyDescent="0.25">
      <c r="A201" t="s">
        <v>160</v>
      </c>
      <c r="B201" s="58">
        <v>45687.477083333331</v>
      </c>
      <c r="C201" s="58">
        <v>45687.291666666664</v>
      </c>
      <c r="D201" t="s">
        <v>34</v>
      </c>
      <c r="E201" t="s">
        <v>414</v>
      </c>
      <c r="F201" t="s">
        <v>35</v>
      </c>
      <c r="H201" t="s">
        <v>18</v>
      </c>
      <c r="J201" t="s">
        <v>161</v>
      </c>
      <c r="K201" s="3" t="s">
        <v>875</v>
      </c>
      <c r="L201" s="3" t="s">
        <v>860</v>
      </c>
      <c r="M201" s="3" t="s">
        <v>912</v>
      </c>
      <c r="N201" s="3" t="s">
        <v>986</v>
      </c>
      <c r="P201" s="57" t="str">
        <f t="shared" si="3"/>
        <v>Anaconda DC</v>
      </c>
      <c r="Q201" s="57" t="str">
        <f>VLOOKUP(C201,'FIN CAL LOOKUP'!A:J,7,1)</f>
        <v>FEB, FY25</v>
      </c>
      <c r="R201" s="57" t="str">
        <f>VLOOKUP(C201,'FIN CAL LOOKUP'!A:J,10,1)</f>
        <v>Q3, FY25</v>
      </c>
    </row>
    <row r="202" spans="1:18" x14ac:dyDescent="0.25">
      <c r="A202" t="s">
        <v>162</v>
      </c>
      <c r="B202" s="58">
        <v>45700.275694444441</v>
      </c>
      <c r="C202" s="58">
        <v>45699.577777777777</v>
      </c>
      <c r="D202" t="s">
        <v>50</v>
      </c>
      <c r="E202" t="s">
        <v>414</v>
      </c>
      <c r="F202" t="s">
        <v>51</v>
      </c>
      <c r="H202" t="s">
        <v>9</v>
      </c>
      <c r="J202" t="s">
        <v>163</v>
      </c>
      <c r="K202" s="3" t="s">
        <v>1046</v>
      </c>
      <c r="L202" s="3" t="s">
        <v>1046</v>
      </c>
      <c r="M202" s="3" t="s">
        <v>1046</v>
      </c>
      <c r="N202" s="3" t="s">
        <v>1046</v>
      </c>
      <c r="P202" s="57" t="str">
        <f t="shared" si="3"/>
        <v>Harris Scarfe DC</v>
      </c>
      <c r="Q202" s="57" t="str">
        <f>VLOOKUP(C202,'FIN CAL LOOKUP'!A:J,7,1)</f>
        <v>FEB, FY25</v>
      </c>
      <c r="R202" s="57" t="str">
        <f>VLOOKUP(C202,'FIN CAL LOOKUP'!A:J,10,1)</f>
        <v>Q3, FY25</v>
      </c>
    </row>
    <row r="203" spans="1:18" x14ac:dyDescent="0.25">
      <c r="A203" t="s">
        <v>393</v>
      </c>
      <c r="B203" s="58">
        <v>45700.617361111108</v>
      </c>
      <c r="C203" s="58">
        <v>45699.833333333336</v>
      </c>
      <c r="D203" t="s">
        <v>460</v>
      </c>
      <c r="E203" t="s">
        <v>450</v>
      </c>
      <c r="F203" t="s">
        <v>353</v>
      </c>
      <c r="H203" t="s">
        <v>18</v>
      </c>
      <c r="J203" t="s">
        <v>462</v>
      </c>
      <c r="K203" s="3" t="s">
        <v>865</v>
      </c>
      <c r="L203" s="3" t="s">
        <v>865</v>
      </c>
      <c r="N203" s="3" t="s">
        <v>1056</v>
      </c>
      <c r="P203" s="57" t="str">
        <f t="shared" si="3"/>
        <v>Spotlight DC</v>
      </c>
      <c r="Q203" s="57" t="str">
        <f>VLOOKUP(C203,'FIN CAL LOOKUP'!A:J,7,1)</f>
        <v>FEB, FY25</v>
      </c>
      <c r="R203" s="57" t="str">
        <f>VLOOKUP(C203,'FIN CAL LOOKUP'!A:J,10,1)</f>
        <v>Q3, FY25</v>
      </c>
    </row>
    <row r="204" spans="1:18" x14ac:dyDescent="0.25">
      <c r="A204" t="s">
        <v>164</v>
      </c>
      <c r="B204" s="58">
        <v>45701.45</v>
      </c>
      <c r="C204" s="58">
        <v>45701.4375</v>
      </c>
      <c r="D204" t="s">
        <v>25</v>
      </c>
      <c r="E204" t="s">
        <v>82</v>
      </c>
      <c r="F204" t="s">
        <v>26</v>
      </c>
      <c r="H204" t="s">
        <v>18</v>
      </c>
      <c r="J204" t="s">
        <v>165</v>
      </c>
      <c r="K204" s="3" t="s">
        <v>937</v>
      </c>
      <c r="L204" s="3" t="s">
        <v>865</v>
      </c>
      <c r="N204" s="3" t="s">
        <v>1062</v>
      </c>
      <c r="P204" s="57" t="str">
        <f t="shared" si="3"/>
        <v>Harris Scarfe DC</v>
      </c>
      <c r="Q204" s="57" t="str">
        <f>VLOOKUP(C204,'FIN CAL LOOKUP'!A:J,7,1)</f>
        <v>FEB, FY25</v>
      </c>
      <c r="R204" s="57" t="str">
        <f>VLOOKUP(C204,'FIN CAL LOOKUP'!A:J,10,1)</f>
        <v>Q3, FY25</v>
      </c>
    </row>
    <row r="205" spans="1:18" x14ac:dyDescent="0.25">
      <c r="A205" t="s">
        <v>394</v>
      </c>
      <c r="B205" s="58">
        <v>45702.592361111114</v>
      </c>
      <c r="C205" s="58">
        <v>45702.333333333336</v>
      </c>
      <c r="D205" t="s">
        <v>47</v>
      </c>
      <c r="E205" t="s">
        <v>463</v>
      </c>
      <c r="F205" t="s">
        <v>353</v>
      </c>
      <c r="H205" t="s">
        <v>9</v>
      </c>
      <c r="J205" t="s">
        <v>464</v>
      </c>
      <c r="K205" s="3" t="s">
        <v>1046</v>
      </c>
      <c r="L205" s="3" t="s">
        <v>1046</v>
      </c>
      <c r="M205" s="3" t="s">
        <v>1046</v>
      </c>
      <c r="N205" s="3" t="s">
        <v>1046</v>
      </c>
      <c r="P205" s="57" t="str">
        <f t="shared" si="3"/>
        <v>Spotlight DC</v>
      </c>
      <c r="Q205" s="57" t="str">
        <f>VLOOKUP(C205,'FIN CAL LOOKUP'!A:J,7,1)</f>
        <v>FEB, FY25</v>
      </c>
      <c r="R205" s="57" t="str">
        <f>VLOOKUP(C205,'FIN CAL LOOKUP'!A:J,10,1)</f>
        <v>Q3, FY25</v>
      </c>
    </row>
    <row r="206" spans="1:18" x14ac:dyDescent="0.25">
      <c r="A206" t="s">
        <v>395</v>
      </c>
      <c r="B206" s="58">
        <v>45715.387499999997</v>
      </c>
      <c r="C206" s="58">
        <v>45714.326388888891</v>
      </c>
      <c r="D206" t="s">
        <v>449</v>
      </c>
      <c r="E206" t="s">
        <v>450</v>
      </c>
      <c r="F206" t="s">
        <v>353</v>
      </c>
      <c r="H206" t="s">
        <v>9</v>
      </c>
      <c r="J206" t="s">
        <v>465</v>
      </c>
      <c r="K206" s="3" t="s">
        <v>1046</v>
      </c>
      <c r="L206" s="3" t="s">
        <v>1046</v>
      </c>
      <c r="M206" s="3" t="s">
        <v>1046</v>
      </c>
      <c r="N206" s="3" t="s">
        <v>1046</v>
      </c>
      <c r="P206" s="57" t="str">
        <f t="shared" si="3"/>
        <v>Spotlight DC</v>
      </c>
      <c r="Q206" s="57" t="str">
        <f>VLOOKUP(C206,'FIN CAL LOOKUP'!A:J,7,1)</f>
        <v>FEB, FY25</v>
      </c>
      <c r="R206" s="57" t="str">
        <f>VLOOKUP(C206,'FIN CAL LOOKUP'!A:J,10,1)</f>
        <v>Q3, FY25</v>
      </c>
    </row>
    <row r="207" spans="1:18" x14ac:dyDescent="0.25">
      <c r="A207" t="s">
        <v>396</v>
      </c>
      <c r="B207" s="58">
        <v>45715.393750000003</v>
      </c>
      <c r="C207" s="58">
        <v>45715.361111111109</v>
      </c>
      <c r="D207" t="s">
        <v>449</v>
      </c>
      <c r="E207" t="s">
        <v>450</v>
      </c>
      <c r="F207" t="s">
        <v>353</v>
      </c>
      <c r="H207" t="s">
        <v>9</v>
      </c>
      <c r="J207" t="s">
        <v>466</v>
      </c>
      <c r="K207" s="3" t="s">
        <v>1046</v>
      </c>
      <c r="L207" s="3" t="s">
        <v>1046</v>
      </c>
      <c r="M207" s="3" t="s">
        <v>1046</v>
      </c>
      <c r="N207" s="3" t="s">
        <v>1046</v>
      </c>
      <c r="P207" s="57" t="str">
        <f t="shared" si="3"/>
        <v>Spotlight DC</v>
      </c>
      <c r="Q207" s="57" t="str">
        <f>VLOOKUP(C207,'FIN CAL LOOKUP'!A:J,7,1)</f>
        <v>FEB, FY25</v>
      </c>
      <c r="R207" s="57" t="str">
        <f>VLOOKUP(C207,'FIN CAL LOOKUP'!A:J,10,1)</f>
        <v>Q3, FY25</v>
      </c>
    </row>
    <row r="208" spans="1:18" x14ac:dyDescent="0.25">
      <c r="A208" t="s">
        <v>397</v>
      </c>
      <c r="B208" s="58">
        <v>45715.566666666666</v>
      </c>
      <c r="C208" s="58">
        <v>45715.510416666664</v>
      </c>
      <c r="D208" t="s">
        <v>82</v>
      </c>
      <c r="E208" t="s">
        <v>415</v>
      </c>
      <c r="F208" t="s">
        <v>353</v>
      </c>
      <c r="H208" t="s">
        <v>18</v>
      </c>
      <c r="J208" t="s">
        <v>467</v>
      </c>
      <c r="K208" s="3" t="s">
        <v>1046</v>
      </c>
      <c r="L208" s="3" t="s">
        <v>1046</v>
      </c>
      <c r="M208" s="3" t="s">
        <v>1046</v>
      </c>
      <c r="N208" s="3" t="s">
        <v>1046</v>
      </c>
      <c r="P208" s="57" t="str">
        <f t="shared" si="3"/>
        <v>Spotlight DC</v>
      </c>
      <c r="Q208" s="57" t="str">
        <f>VLOOKUP(C208,'FIN CAL LOOKUP'!A:J,7,1)</f>
        <v>FEB, FY25</v>
      </c>
      <c r="R208" s="57" t="str">
        <f>VLOOKUP(C208,'FIN CAL LOOKUP'!A:J,10,1)</f>
        <v>Q3, FY25</v>
      </c>
    </row>
    <row r="209" spans="1:18" x14ac:dyDescent="0.25">
      <c r="A209" t="s">
        <v>398</v>
      </c>
      <c r="B209" s="58">
        <v>45722.574999999997</v>
      </c>
      <c r="C209" s="58">
        <v>45722.440972222219</v>
      </c>
      <c r="D209" t="s">
        <v>449</v>
      </c>
      <c r="E209" t="s">
        <v>450</v>
      </c>
      <c r="F209" t="s">
        <v>353</v>
      </c>
      <c r="H209" t="s">
        <v>18</v>
      </c>
      <c r="J209" t="s">
        <v>468</v>
      </c>
      <c r="K209" s="3" t="s">
        <v>949</v>
      </c>
      <c r="L209" s="3" t="s">
        <v>865</v>
      </c>
      <c r="M209" s="3" t="s">
        <v>987</v>
      </c>
      <c r="N209" s="3" t="s">
        <v>988</v>
      </c>
      <c r="P209" s="57" t="str">
        <f t="shared" si="3"/>
        <v>Spotlight DC</v>
      </c>
      <c r="Q209" s="57" t="str">
        <f>VLOOKUP(C209,'FIN CAL LOOKUP'!A:J,7,1)</f>
        <v>MAR, FY25</v>
      </c>
      <c r="R209" s="57" t="str">
        <f>VLOOKUP(C209,'FIN CAL LOOKUP'!A:J,10,1)</f>
        <v>Q3, FY25</v>
      </c>
    </row>
    <row r="210" spans="1:18" x14ac:dyDescent="0.25">
      <c r="A210" t="s">
        <v>399</v>
      </c>
      <c r="B210" s="58">
        <v>45729.566666666666</v>
      </c>
      <c r="C210" s="58">
        <v>45728.458333333336</v>
      </c>
      <c r="D210" t="s">
        <v>449</v>
      </c>
      <c r="E210" t="s">
        <v>450</v>
      </c>
      <c r="F210" t="s">
        <v>353</v>
      </c>
      <c r="H210" t="s">
        <v>18</v>
      </c>
      <c r="J210" t="s">
        <v>469</v>
      </c>
      <c r="K210" s="3" t="s">
        <v>871</v>
      </c>
      <c r="L210" s="3" t="s">
        <v>866</v>
      </c>
      <c r="M210" s="3" t="s">
        <v>989</v>
      </c>
      <c r="N210" s="3" t="s">
        <v>990</v>
      </c>
      <c r="P210" s="57" t="str">
        <f t="shared" si="3"/>
        <v>Spotlight DC</v>
      </c>
      <c r="Q210" s="57" t="str">
        <f>VLOOKUP(C210,'FIN CAL LOOKUP'!A:J,7,1)</f>
        <v>MAR, FY25</v>
      </c>
      <c r="R210" s="57" t="str">
        <f>VLOOKUP(C210,'FIN CAL LOOKUP'!A:J,10,1)</f>
        <v>Q3, FY25</v>
      </c>
    </row>
    <row r="211" spans="1:18" x14ac:dyDescent="0.25">
      <c r="A211" t="s">
        <v>400</v>
      </c>
      <c r="B211" s="58">
        <v>45733.529166666667</v>
      </c>
      <c r="C211" s="58">
        <v>45727.451388888891</v>
      </c>
      <c r="D211" t="s">
        <v>47</v>
      </c>
      <c r="E211" t="s">
        <v>463</v>
      </c>
      <c r="F211" t="s">
        <v>353</v>
      </c>
      <c r="H211" t="s">
        <v>18</v>
      </c>
      <c r="J211" t="s">
        <v>470</v>
      </c>
      <c r="K211" s="3" t="s">
        <v>53</v>
      </c>
      <c r="L211" s="3" t="s">
        <v>52</v>
      </c>
      <c r="M211" s="3" t="s">
        <v>888</v>
      </c>
      <c r="N211" s="3" t="s">
        <v>991</v>
      </c>
      <c r="P211" s="57" t="str">
        <f t="shared" si="3"/>
        <v>Spotlight DC</v>
      </c>
      <c r="Q211" s="57" t="str">
        <f>VLOOKUP(C211,'FIN CAL LOOKUP'!A:J,7,1)</f>
        <v>MAR, FY25</v>
      </c>
      <c r="R211" s="57" t="str">
        <f>VLOOKUP(C211,'FIN CAL LOOKUP'!A:J,10,1)</f>
        <v>Q3, FY25</v>
      </c>
    </row>
    <row r="212" spans="1:18" x14ac:dyDescent="0.25">
      <c r="A212" t="s">
        <v>166</v>
      </c>
      <c r="B212" s="58">
        <v>45735.433333333334</v>
      </c>
      <c r="C212" s="58">
        <v>45735.364583333336</v>
      </c>
      <c r="D212" t="s">
        <v>82</v>
      </c>
      <c r="E212" t="s">
        <v>415</v>
      </c>
      <c r="F212" t="s">
        <v>8</v>
      </c>
      <c r="H212" t="s">
        <v>18</v>
      </c>
      <c r="J212" t="s">
        <v>167</v>
      </c>
      <c r="K212" s="3" t="s">
        <v>865</v>
      </c>
      <c r="L212" s="3" t="s">
        <v>865</v>
      </c>
      <c r="M212" s="3" t="s">
        <v>904</v>
      </c>
      <c r="N212" s="3" t="s">
        <v>992</v>
      </c>
      <c r="P212" s="57" t="str">
        <f t="shared" si="3"/>
        <v>Harris Scarfe DC</v>
      </c>
      <c r="Q212" s="57" t="str">
        <f>VLOOKUP(C212,'FIN CAL LOOKUP'!A:J,7,1)</f>
        <v>MAR, FY25</v>
      </c>
      <c r="R212" s="57" t="str">
        <f>VLOOKUP(C212,'FIN CAL LOOKUP'!A:J,10,1)</f>
        <v>Q3, FY25</v>
      </c>
    </row>
    <row r="213" spans="1:18" x14ac:dyDescent="0.25">
      <c r="A213" t="s">
        <v>401</v>
      </c>
      <c r="B213" s="58">
        <v>45735.470833333333</v>
      </c>
      <c r="C213" s="58">
        <v>45735.451388888891</v>
      </c>
      <c r="D213" t="s">
        <v>449</v>
      </c>
      <c r="E213" t="s">
        <v>450</v>
      </c>
      <c r="F213" t="s">
        <v>353</v>
      </c>
      <c r="H213" t="s">
        <v>18</v>
      </c>
      <c r="J213" t="s">
        <v>471</v>
      </c>
      <c r="K213" s="3" t="s">
        <v>993</v>
      </c>
      <c r="L213" s="3" t="s">
        <v>865</v>
      </c>
      <c r="N213" s="3" t="s">
        <v>1064</v>
      </c>
      <c r="P213" s="57" t="str">
        <f t="shared" si="3"/>
        <v>Spotlight DC</v>
      </c>
      <c r="Q213" s="57" t="str">
        <f>VLOOKUP(C213,'FIN CAL LOOKUP'!A:J,7,1)</f>
        <v>MAR, FY25</v>
      </c>
      <c r="R213" s="57" t="str">
        <f>VLOOKUP(C213,'FIN CAL LOOKUP'!A:J,10,1)</f>
        <v>Q3, FY25</v>
      </c>
    </row>
    <row r="214" spans="1:18" x14ac:dyDescent="0.25">
      <c r="A214" t="s">
        <v>168</v>
      </c>
      <c r="B214" s="58">
        <v>45735.491666666669</v>
      </c>
      <c r="C214" s="58">
        <v>45723.395833333336</v>
      </c>
      <c r="D214" t="s">
        <v>82</v>
      </c>
      <c r="E214" t="s">
        <v>415</v>
      </c>
      <c r="F214" t="s">
        <v>8</v>
      </c>
      <c r="H214" t="s">
        <v>18</v>
      </c>
      <c r="J214" t="s">
        <v>169</v>
      </c>
      <c r="K214" s="3" t="s">
        <v>865</v>
      </c>
      <c r="L214" s="3" t="s">
        <v>865</v>
      </c>
      <c r="N214" s="3" t="s">
        <v>1065</v>
      </c>
      <c r="P214" s="57" t="str">
        <f t="shared" si="3"/>
        <v>Harris Scarfe DC</v>
      </c>
      <c r="Q214" s="57" t="str">
        <f>VLOOKUP(C214,'FIN CAL LOOKUP'!A:J,7,1)</f>
        <v>MAR, FY25</v>
      </c>
      <c r="R214" s="57" t="str">
        <f>VLOOKUP(C214,'FIN CAL LOOKUP'!A:J,10,1)</f>
        <v>Q3, FY25</v>
      </c>
    </row>
    <row r="215" spans="1:18" x14ac:dyDescent="0.25">
      <c r="A215" t="s">
        <v>402</v>
      </c>
      <c r="B215" s="58">
        <v>45736.477083333331</v>
      </c>
      <c r="C215" s="58">
        <v>45735.347222222219</v>
      </c>
      <c r="D215" t="s">
        <v>449</v>
      </c>
      <c r="E215" t="s">
        <v>450</v>
      </c>
      <c r="F215" t="s">
        <v>353</v>
      </c>
      <c r="H215" t="s">
        <v>18</v>
      </c>
      <c r="J215" t="s">
        <v>472</v>
      </c>
      <c r="K215" s="3" t="s">
        <v>1046</v>
      </c>
      <c r="L215" s="3" t="s">
        <v>1046</v>
      </c>
      <c r="M215" s="3" t="s">
        <v>1046</v>
      </c>
      <c r="N215" s="3" t="s">
        <v>1046</v>
      </c>
      <c r="P215" s="57" t="str">
        <f t="shared" si="3"/>
        <v>Spotlight DC</v>
      </c>
      <c r="Q215" s="57" t="str">
        <f>VLOOKUP(C215,'FIN CAL LOOKUP'!A:J,7,1)</f>
        <v>MAR, FY25</v>
      </c>
      <c r="R215" s="57" t="str">
        <f>VLOOKUP(C215,'FIN CAL LOOKUP'!A:J,10,1)</f>
        <v>Q3, FY25</v>
      </c>
    </row>
    <row r="216" spans="1:18" x14ac:dyDescent="0.25">
      <c r="A216" t="s">
        <v>403</v>
      </c>
      <c r="B216" s="58">
        <v>45742.620138888888</v>
      </c>
      <c r="C216" s="58">
        <v>45741.368055555555</v>
      </c>
      <c r="D216" t="s">
        <v>449</v>
      </c>
      <c r="E216" t="s">
        <v>450</v>
      </c>
      <c r="F216" t="s">
        <v>353</v>
      </c>
      <c r="H216" t="s">
        <v>9</v>
      </c>
      <c r="J216" t="s">
        <v>473</v>
      </c>
      <c r="K216" s="3" t="s">
        <v>1046</v>
      </c>
      <c r="L216" s="3" t="s">
        <v>1046</v>
      </c>
      <c r="M216" s="3" t="s">
        <v>1046</v>
      </c>
      <c r="N216" s="3" t="s">
        <v>1046</v>
      </c>
      <c r="P216" s="57" t="str">
        <f t="shared" si="3"/>
        <v>Spotlight DC</v>
      </c>
      <c r="Q216" s="57" t="str">
        <f>VLOOKUP(C216,'FIN CAL LOOKUP'!A:J,7,1)</f>
        <v>MAR, FY25</v>
      </c>
      <c r="R216" s="57" t="str">
        <f>VLOOKUP(C216,'FIN CAL LOOKUP'!A:J,10,1)</f>
        <v>Q3, FY25</v>
      </c>
    </row>
    <row r="217" spans="1:18" x14ac:dyDescent="0.25">
      <c r="A217" t="s">
        <v>404</v>
      </c>
      <c r="B217" s="58">
        <v>45747.487500000003</v>
      </c>
      <c r="C217" s="58">
        <v>45735.364583333336</v>
      </c>
      <c r="D217" t="s">
        <v>82</v>
      </c>
      <c r="E217" t="s">
        <v>415</v>
      </c>
      <c r="F217" t="s">
        <v>8</v>
      </c>
      <c r="H217" t="s">
        <v>18</v>
      </c>
      <c r="J217" t="s">
        <v>474</v>
      </c>
      <c r="K217" s="3" t="s">
        <v>865</v>
      </c>
      <c r="L217" s="3" t="s">
        <v>865</v>
      </c>
      <c r="M217" s="3" t="s">
        <v>904</v>
      </c>
      <c r="N217" s="3" t="s">
        <v>992</v>
      </c>
      <c r="P217" s="57" t="str">
        <f t="shared" si="3"/>
        <v>Harris Scarfe DC</v>
      </c>
      <c r="Q217" s="57" t="str">
        <f>VLOOKUP(C217,'FIN CAL LOOKUP'!A:J,7,1)</f>
        <v>MAR, FY25</v>
      </c>
      <c r="R217" s="57" t="str">
        <f>VLOOKUP(C217,'FIN CAL LOOKUP'!A:J,10,1)</f>
        <v>Q3, FY25</v>
      </c>
    </row>
    <row r="218" spans="1:18" x14ac:dyDescent="0.25">
      <c r="A218" t="s">
        <v>405</v>
      </c>
      <c r="B218" s="58">
        <v>45755.436805555553</v>
      </c>
      <c r="C218" s="58">
        <v>45754.347222222219</v>
      </c>
      <c r="D218" t="s">
        <v>449</v>
      </c>
      <c r="E218" t="s">
        <v>450</v>
      </c>
      <c r="F218" t="s">
        <v>353</v>
      </c>
      <c r="H218" t="s">
        <v>9</v>
      </c>
      <c r="J218" t="s">
        <v>475</v>
      </c>
      <c r="K218" s="3" t="s">
        <v>1046</v>
      </c>
      <c r="L218" s="3" t="s">
        <v>1046</v>
      </c>
      <c r="M218" s="3" t="s">
        <v>1046</v>
      </c>
      <c r="N218" s="3" t="s">
        <v>1046</v>
      </c>
      <c r="P218" s="57" t="str">
        <f t="shared" si="3"/>
        <v>Spotlight DC</v>
      </c>
      <c r="Q218" s="57" t="str">
        <f>VLOOKUP(C218,'FIN CAL LOOKUP'!A:J,7,1)</f>
        <v>APR, FY25</v>
      </c>
      <c r="R218" s="57" t="str">
        <f>VLOOKUP(C218,'FIN CAL LOOKUP'!A:J,10,1)</f>
        <v>Q4, FY25</v>
      </c>
    </row>
    <row r="219" spans="1:18" x14ac:dyDescent="0.25">
      <c r="A219" t="s">
        <v>406</v>
      </c>
      <c r="B219" s="58">
        <v>45757.607638888891</v>
      </c>
      <c r="C219" s="58">
        <v>45756.385416666664</v>
      </c>
      <c r="D219" t="s">
        <v>476</v>
      </c>
      <c r="E219" t="s">
        <v>450</v>
      </c>
      <c r="F219" t="s">
        <v>353</v>
      </c>
      <c r="H219" t="s">
        <v>9</v>
      </c>
      <c r="J219" t="s">
        <v>477</v>
      </c>
      <c r="K219" s="3" t="s">
        <v>1046</v>
      </c>
      <c r="L219" s="3" t="s">
        <v>1046</v>
      </c>
      <c r="M219" s="3" t="s">
        <v>1046</v>
      </c>
      <c r="N219" s="3" t="s">
        <v>1046</v>
      </c>
      <c r="P219" s="57" t="str">
        <f t="shared" si="3"/>
        <v>Spotlight DC</v>
      </c>
      <c r="Q219" s="57" t="str">
        <f>VLOOKUP(C219,'FIN CAL LOOKUP'!A:J,7,1)</f>
        <v>APR, FY25</v>
      </c>
      <c r="R219" s="57" t="str">
        <f>VLOOKUP(C219,'FIN CAL LOOKUP'!A:J,10,1)</f>
        <v>Q4, FY25</v>
      </c>
    </row>
    <row r="220" spans="1:18" x14ac:dyDescent="0.25">
      <c r="A220" t="s">
        <v>407</v>
      </c>
      <c r="B220" s="58">
        <v>45757.629861111112</v>
      </c>
      <c r="C220" s="58">
        <v>45757.576388888891</v>
      </c>
      <c r="D220" t="s">
        <v>25</v>
      </c>
      <c r="E220" t="s">
        <v>82</v>
      </c>
      <c r="F220" t="s">
        <v>26</v>
      </c>
      <c r="H220" t="s">
        <v>9</v>
      </c>
      <c r="J220" t="s">
        <v>478</v>
      </c>
      <c r="K220" s="3" t="s">
        <v>1046</v>
      </c>
      <c r="L220" s="3" t="s">
        <v>1046</v>
      </c>
      <c r="M220" s="3" t="s">
        <v>1046</v>
      </c>
      <c r="N220" s="3" t="s">
        <v>1046</v>
      </c>
      <c r="P220" s="57" t="str">
        <f t="shared" si="3"/>
        <v>Harris Scarfe DC</v>
      </c>
      <c r="Q220" s="57" t="str">
        <f>VLOOKUP(C220,'FIN CAL LOOKUP'!A:J,7,1)</f>
        <v>APR, FY25</v>
      </c>
      <c r="R220" s="57" t="str">
        <f>VLOOKUP(C220,'FIN CAL LOOKUP'!A:J,10,1)</f>
        <v>Q4, FY25</v>
      </c>
    </row>
    <row r="221" spans="1:18" x14ac:dyDescent="0.25">
      <c r="A221" t="s">
        <v>408</v>
      </c>
      <c r="B221" s="58">
        <v>45757.72152777778</v>
      </c>
      <c r="C221" s="58">
        <v>45757.666666666664</v>
      </c>
      <c r="D221" t="s">
        <v>73</v>
      </c>
      <c r="E221" t="s">
        <v>463</v>
      </c>
      <c r="F221" t="s">
        <v>12</v>
      </c>
      <c r="H221" t="s">
        <v>9</v>
      </c>
      <c r="J221" t="s">
        <v>479</v>
      </c>
      <c r="K221" s="3" t="s">
        <v>1046</v>
      </c>
      <c r="L221" s="3" t="s">
        <v>1046</v>
      </c>
      <c r="M221" s="3" t="s">
        <v>1046</v>
      </c>
      <c r="N221" s="3" t="s">
        <v>1046</v>
      </c>
      <c r="P221" s="57" t="str">
        <f t="shared" si="3"/>
        <v>Spotlight DC</v>
      </c>
      <c r="Q221" s="57" t="str">
        <f>VLOOKUP(C221,'FIN CAL LOOKUP'!A:J,7,1)</f>
        <v>APR, FY25</v>
      </c>
      <c r="R221" s="57" t="str">
        <f>VLOOKUP(C221,'FIN CAL LOOKUP'!A:J,10,1)</f>
        <v>Q4, FY25</v>
      </c>
    </row>
    <row r="222" spans="1:18" x14ac:dyDescent="0.25">
      <c r="A222" t="s">
        <v>409</v>
      </c>
      <c r="B222" s="58">
        <v>45757.864583333336</v>
      </c>
      <c r="C222" s="58">
        <v>45757.805555555555</v>
      </c>
      <c r="D222" t="s">
        <v>110</v>
      </c>
      <c r="E222" t="s">
        <v>463</v>
      </c>
      <c r="F222" t="s">
        <v>12</v>
      </c>
      <c r="G222" t="s">
        <v>1026</v>
      </c>
      <c r="H222" t="s">
        <v>13</v>
      </c>
      <c r="I222" t="s">
        <v>14</v>
      </c>
      <c r="J222" t="s">
        <v>480</v>
      </c>
      <c r="K222" s="3" t="s">
        <v>53</v>
      </c>
      <c r="L222" s="3" t="s">
        <v>52</v>
      </c>
      <c r="M222" s="3" t="s">
        <v>994</v>
      </c>
      <c r="N222" s="3" t="s">
        <v>995</v>
      </c>
      <c r="O222" s="3" t="s">
        <v>257</v>
      </c>
      <c r="P222" s="57" t="str">
        <f t="shared" si="3"/>
        <v>Spotlight DC</v>
      </c>
      <c r="Q222" s="57" t="str">
        <f>VLOOKUP(C222,'FIN CAL LOOKUP'!A:J,7,1)</f>
        <v>APR, FY25</v>
      </c>
      <c r="R222" s="57" t="str">
        <f>VLOOKUP(C222,'FIN CAL LOOKUP'!A:J,10,1)</f>
        <v>Q4, FY25</v>
      </c>
    </row>
    <row r="223" spans="1:18" x14ac:dyDescent="0.25">
      <c r="A223" t="s">
        <v>410</v>
      </c>
      <c r="B223" s="58">
        <v>45758.623611111114</v>
      </c>
      <c r="C223" s="58">
        <v>45758.467361111114</v>
      </c>
      <c r="D223" t="s">
        <v>47</v>
      </c>
      <c r="E223" t="s">
        <v>463</v>
      </c>
      <c r="F223" t="s">
        <v>353</v>
      </c>
      <c r="H223" t="s">
        <v>9</v>
      </c>
      <c r="J223" t="s">
        <v>481</v>
      </c>
      <c r="K223" s="3" t="s">
        <v>1046</v>
      </c>
      <c r="L223" s="3" t="s">
        <v>1046</v>
      </c>
      <c r="M223" s="3" t="s">
        <v>1046</v>
      </c>
      <c r="N223" s="3" t="s">
        <v>1046</v>
      </c>
      <c r="P223" s="57" t="str">
        <f t="shared" si="3"/>
        <v>Spotlight DC</v>
      </c>
      <c r="Q223" s="57" t="str">
        <f>VLOOKUP(C223,'FIN CAL LOOKUP'!A:J,7,1)</f>
        <v>APR, FY25</v>
      </c>
      <c r="R223" s="57" t="str">
        <f>VLOOKUP(C223,'FIN CAL LOOKUP'!A:J,10,1)</f>
        <v>Q4, FY25</v>
      </c>
    </row>
    <row r="224" spans="1:18" x14ac:dyDescent="0.25">
      <c r="A224" t="s">
        <v>856</v>
      </c>
      <c r="B224" s="58">
        <v>45777.447222222225</v>
      </c>
      <c r="C224" s="58">
        <v>45764.404166666667</v>
      </c>
      <c r="D224" t="s">
        <v>857</v>
      </c>
      <c r="E224" t="s">
        <v>448</v>
      </c>
      <c r="F224" t="s">
        <v>51</v>
      </c>
      <c r="G224" t="s">
        <v>1027</v>
      </c>
      <c r="H224" t="s">
        <v>13</v>
      </c>
      <c r="I224" t="s">
        <v>36</v>
      </c>
      <c r="J224" t="s">
        <v>858</v>
      </c>
      <c r="K224" s="3" t="s">
        <v>865</v>
      </c>
      <c r="L224" s="3" t="s">
        <v>865</v>
      </c>
      <c r="M224" s="3" t="s">
        <v>867</v>
      </c>
      <c r="N224" s="3" t="s">
        <v>996</v>
      </c>
      <c r="O224" s="3" t="s">
        <v>257</v>
      </c>
      <c r="P224" s="57" t="str">
        <f t="shared" si="3"/>
        <v>Harris Scarfe DC</v>
      </c>
      <c r="Q224" s="57" t="str">
        <f>VLOOKUP(C224,'FIN CAL LOOKUP'!A:J,7,1)</f>
        <v>APR, FY25</v>
      </c>
      <c r="R224" s="57" t="str">
        <f>VLOOKUP(C224,'FIN CAL LOOKUP'!A:J,10,1)</f>
        <v>Q4, FY25</v>
      </c>
    </row>
    <row r="225" spans="1:18" x14ac:dyDescent="0.25">
      <c r="A225" t="s">
        <v>1031</v>
      </c>
      <c r="B225" s="58">
        <v>45785.342361111114</v>
      </c>
      <c r="C225" s="58">
        <v>45784.142361111109</v>
      </c>
      <c r="D225" t="s">
        <v>449</v>
      </c>
      <c r="E225" t="s">
        <v>450</v>
      </c>
      <c r="F225" t="s">
        <v>353</v>
      </c>
      <c r="H225" t="s">
        <v>9</v>
      </c>
      <c r="J225" t="s">
        <v>1032</v>
      </c>
      <c r="K225" s="3" t="s">
        <v>1046</v>
      </c>
      <c r="L225" s="3" t="s">
        <v>1046</v>
      </c>
      <c r="M225" s="3" t="s">
        <v>1046</v>
      </c>
      <c r="N225" s="3" t="s">
        <v>1046</v>
      </c>
      <c r="P225" s="57" t="str">
        <f t="shared" si="3"/>
        <v>Spotlight DC</v>
      </c>
      <c r="Q225" s="57" t="str">
        <f>VLOOKUP(C225,'FIN CAL LOOKUP'!A:J,7,1)</f>
        <v>MAY, FY25</v>
      </c>
      <c r="R225" s="57" t="str">
        <f>VLOOKUP(C225,'FIN CAL LOOKUP'!A:J,10,1)</f>
        <v>Q4, FY25</v>
      </c>
    </row>
    <row r="226" spans="1:18" x14ac:dyDescent="0.25">
      <c r="A226" t="s">
        <v>1033</v>
      </c>
      <c r="B226" s="58">
        <v>45790.602777777778</v>
      </c>
      <c r="C226" s="58">
        <v>45789.444444444445</v>
      </c>
      <c r="D226" t="s">
        <v>449</v>
      </c>
      <c r="E226" t="s">
        <v>450</v>
      </c>
      <c r="F226" t="s">
        <v>353</v>
      </c>
      <c r="H226" t="s">
        <v>9</v>
      </c>
      <c r="J226" t="s">
        <v>1034</v>
      </c>
      <c r="K226" s="3" t="s">
        <v>1046</v>
      </c>
      <c r="L226" s="3" t="s">
        <v>1046</v>
      </c>
      <c r="M226" s="3" t="s">
        <v>1046</v>
      </c>
      <c r="N226" s="3" t="s">
        <v>1046</v>
      </c>
      <c r="P226" s="57" t="str">
        <f t="shared" si="3"/>
        <v>Spotlight DC</v>
      </c>
      <c r="Q226" s="57" t="str">
        <f>VLOOKUP(C226,'FIN CAL LOOKUP'!A:J,7,1)</f>
        <v>MAY, FY25</v>
      </c>
      <c r="R226" s="57" t="str">
        <f>VLOOKUP(C226,'FIN CAL LOOKUP'!A:J,10,1)</f>
        <v>Q4, FY25</v>
      </c>
    </row>
    <row r="227" spans="1:18" x14ac:dyDescent="0.25">
      <c r="A227" t="s">
        <v>1035</v>
      </c>
      <c r="B227" s="58">
        <v>45793.470833333333</v>
      </c>
      <c r="C227" s="58">
        <v>45793.385416666664</v>
      </c>
      <c r="D227" t="s">
        <v>25</v>
      </c>
      <c r="E227" t="s">
        <v>82</v>
      </c>
      <c r="F227" t="s">
        <v>26</v>
      </c>
      <c r="G227" t="s">
        <v>1036</v>
      </c>
      <c r="H227" t="s">
        <v>13</v>
      </c>
      <c r="I227" t="s">
        <v>27</v>
      </c>
      <c r="J227" t="s">
        <v>1037</v>
      </c>
      <c r="K227" s="3" t="s">
        <v>875</v>
      </c>
      <c r="L227" s="3" t="s">
        <v>866</v>
      </c>
      <c r="M227" s="3" t="s">
        <v>869</v>
      </c>
      <c r="N227" s="3" t="s">
        <v>1066</v>
      </c>
      <c r="O227" s="3" t="s">
        <v>257</v>
      </c>
      <c r="P227" s="57" t="str">
        <f t="shared" si="3"/>
        <v>Harris Scarfe DC</v>
      </c>
      <c r="Q227" s="57" t="str">
        <f>VLOOKUP(C227,'FIN CAL LOOKUP'!A:J,7,1)</f>
        <v>MAY, FY25</v>
      </c>
      <c r="R227" s="57" t="str">
        <f>VLOOKUP(C227,'FIN CAL LOOKUP'!A:J,10,1)</f>
        <v>Q4, FY25</v>
      </c>
    </row>
    <row r="228" spans="1:18" x14ac:dyDescent="0.25">
      <c r="A228" t="s">
        <v>1038</v>
      </c>
      <c r="B228" s="58">
        <v>45796.375</v>
      </c>
      <c r="C228" s="58">
        <v>45793.479166666664</v>
      </c>
      <c r="D228" t="s">
        <v>98</v>
      </c>
      <c r="E228" t="s">
        <v>414</v>
      </c>
      <c r="F228" t="s">
        <v>35</v>
      </c>
      <c r="H228" t="s">
        <v>18</v>
      </c>
      <c r="J228" t="s">
        <v>1039</v>
      </c>
      <c r="K228" s="3" t="s">
        <v>1046</v>
      </c>
      <c r="L228" s="3" t="s">
        <v>1046</v>
      </c>
      <c r="M228" s="3" t="s">
        <v>1046</v>
      </c>
      <c r="N228" s="3" t="s">
        <v>1046</v>
      </c>
      <c r="P228" s="57" t="str">
        <f t="shared" si="3"/>
        <v>Anaconda DC</v>
      </c>
      <c r="Q228" s="57" t="str">
        <f>VLOOKUP(C228,'FIN CAL LOOKUP'!A:J,7,1)</f>
        <v>MAY, FY25</v>
      </c>
      <c r="R228" s="57" t="str">
        <f>VLOOKUP(C228,'FIN CAL LOOKUP'!A:J,10,1)</f>
        <v>Q4, FY25</v>
      </c>
    </row>
    <row r="229" spans="1:18" x14ac:dyDescent="0.25">
      <c r="A229" t="s">
        <v>1040</v>
      </c>
      <c r="B229" s="58">
        <v>45798.801388888889</v>
      </c>
      <c r="C229" s="58">
        <v>45798.625</v>
      </c>
      <c r="D229" t="s">
        <v>110</v>
      </c>
      <c r="E229" t="s">
        <v>463</v>
      </c>
      <c r="F229" t="s">
        <v>12</v>
      </c>
      <c r="G229" t="s">
        <v>1017</v>
      </c>
      <c r="H229" t="s">
        <v>13</v>
      </c>
      <c r="I229" t="s">
        <v>14</v>
      </c>
      <c r="J229" t="s">
        <v>1041</v>
      </c>
      <c r="K229" s="3" t="s">
        <v>901</v>
      </c>
      <c r="L229" s="3" t="s">
        <v>866</v>
      </c>
      <c r="M229" s="3" t="s">
        <v>863</v>
      </c>
      <c r="N229" s="3" t="s">
        <v>1067</v>
      </c>
      <c r="O229" s="3" t="s">
        <v>257</v>
      </c>
      <c r="P229" s="57" t="str">
        <f t="shared" si="3"/>
        <v>Spotlight DC</v>
      </c>
      <c r="Q229" s="57" t="str">
        <f>VLOOKUP(C229,'FIN CAL LOOKUP'!A:J,7,1)</f>
        <v>MAY, FY25</v>
      </c>
      <c r="R229" s="57" t="str">
        <f>VLOOKUP(C229,'FIN CAL LOOKUP'!A:J,10,1)</f>
        <v>Q4, FY25</v>
      </c>
    </row>
    <row r="230" spans="1:18" x14ac:dyDescent="0.25">
      <c r="A230" t="s">
        <v>1042</v>
      </c>
      <c r="B230" s="58">
        <v>45799.572916666664</v>
      </c>
      <c r="C230" s="58">
        <v>45799.319444444445</v>
      </c>
      <c r="D230" t="s">
        <v>62</v>
      </c>
      <c r="E230" t="s">
        <v>463</v>
      </c>
      <c r="F230" t="s">
        <v>12</v>
      </c>
      <c r="H230" t="s">
        <v>18</v>
      </c>
      <c r="J230" t="s">
        <v>1043</v>
      </c>
      <c r="K230" s="3" t="s">
        <v>901</v>
      </c>
      <c r="L230" s="3" t="s">
        <v>866</v>
      </c>
      <c r="M230" s="3" t="s">
        <v>912</v>
      </c>
      <c r="N230" s="3" t="s">
        <v>1068</v>
      </c>
      <c r="P230" s="57" t="str">
        <f t="shared" si="3"/>
        <v>Spotlight DC</v>
      </c>
      <c r="Q230" s="57" t="str">
        <f>VLOOKUP(C230,'FIN CAL LOOKUP'!A:J,7,1)</f>
        <v>MAY, FY25</v>
      </c>
      <c r="R230" s="57" t="str">
        <f>VLOOKUP(C230,'FIN CAL LOOKUP'!A:J,10,1)</f>
        <v>Q4, FY25</v>
      </c>
    </row>
    <row r="231" spans="1:18" x14ac:dyDescent="0.25">
      <c r="A231" t="s">
        <v>1044</v>
      </c>
      <c r="B231" s="58">
        <v>45803.521527777775</v>
      </c>
      <c r="C231" s="58">
        <v>45790.375</v>
      </c>
      <c r="D231" t="s">
        <v>25</v>
      </c>
      <c r="E231" t="s">
        <v>82</v>
      </c>
      <c r="F231" t="s">
        <v>26</v>
      </c>
      <c r="H231" t="s">
        <v>18</v>
      </c>
      <c r="J231" t="s">
        <v>1045</v>
      </c>
      <c r="K231" s="3" t="s">
        <v>865</v>
      </c>
      <c r="L231" s="3" t="s">
        <v>865</v>
      </c>
      <c r="N231" s="3" t="s">
        <v>1062</v>
      </c>
      <c r="P231" s="57" t="str">
        <f t="shared" si="3"/>
        <v>Harris Scarfe DC</v>
      </c>
      <c r="Q231" s="57" t="str">
        <f>VLOOKUP(C231,'FIN CAL LOOKUP'!A:J,7,1)</f>
        <v>MAY, FY25</v>
      </c>
      <c r="R231" s="57" t="str">
        <f>VLOOKUP(C231,'FIN CAL LOOKUP'!A:J,10,1)</f>
        <v>Q4, FY25</v>
      </c>
    </row>
  </sheetData>
  <autoFilter ref="A1:R231" xr:uid="{C3F06E94-5BF5-46F1-8B43-E4927CEB742D}"/>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AD7A2-50D8-4CC1-9B59-9079C028EC3D}">
  <sheetPr>
    <tabColor theme="9"/>
  </sheetPr>
  <dimension ref="A1:L99"/>
  <sheetViews>
    <sheetView workbookViewId="0">
      <selection activeCell="AG3" sqref="AG3"/>
    </sheetView>
  </sheetViews>
  <sheetFormatPr defaultRowHeight="15" x14ac:dyDescent="0.25"/>
  <cols>
    <col min="1" max="1" width="12.28515625" customWidth="1"/>
    <col min="2" max="2" width="15.42578125" style="1" customWidth="1"/>
    <col min="3" max="3" width="19.42578125" style="1" customWidth="1"/>
    <col min="4" max="5" width="23.42578125" customWidth="1"/>
    <col min="6" max="6" width="20.28515625" bestFit="1" customWidth="1"/>
    <col min="7" max="7" width="12.85546875" customWidth="1"/>
    <col min="8" max="8" width="8.85546875" customWidth="1"/>
    <col min="9" max="10" width="31.28515625" customWidth="1"/>
    <col min="11" max="11" width="11.28515625" customWidth="1"/>
    <col min="12" max="12" width="14.5703125" customWidth="1"/>
  </cols>
  <sheetData>
    <row r="1" spans="1:12" x14ac:dyDescent="0.25">
      <c r="A1" t="s">
        <v>0</v>
      </c>
      <c r="B1" s="1" t="s">
        <v>1</v>
      </c>
      <c r="C1" s="1" t="s">
        <v>292</v>
      </c>
      <c r="D1" t="s">
        <v>3</v>
      </c>
      <c r="E1" t="s">
        <v>411</v>
      </c>
      <c r="F1" t="s">
        <v>4</v>
      </c>
      <c r="G1" t="s">
        <v>293</v>
      </c>
      <c r="H1" t="s">
        <v>294</v>
      </c>
      <c r="I1" t="s">
        <v>295</v>
      </c>
      <c r="J1" s="57" t="s">
        <v>255</v>
      </c>
      <c r="K1" s="57" t="s">
        <v>254</v>
      </c>
      <c r="L1" s="57" t="s">
        <v>258</v>
      </c>
    </row>
    <row r="2" spans="1:12" x14ac:dyDescent="0.25">
      <c r="A2" t="s">
        <v>505</v>
      </c>
      <c r="B2" s="1">
        <v>44999.336805555555</v>
      </c>
      <c r="C2" s="1">
        <v>44994.586111111108</v>
      </c>
      <c r="D2" t="s">
        <v>413</v>
      </c>
      <c r="E2" t="s">
        <v>414</v>
      </c>
      <c r="F2" t="s">
        <v>353</v>
      </c>
      <c r="G2" t="s">
        <v>301</v>
      </c>
      <c r="H2" t="s">
        <v>302</v>
      </c>
      <c r="I2" t="s">
        <v>506</v>
      </c>
      <c r="J2" s="57" t="str">
        <f>IF(OR(F2="HS2057 SUNSHINE DC",F2="S812  Harris Scarfe DC",F2="S813 HS Dark Store",E2="MICHELLE SLOVIK",E2="BREA ROLLINSON",E2="LJUBICA MITRESKA"),"Harris Scarfe DC",IF(OR(F2="S810 Anaconda DC",E2="THOMAS WILLIAMS"),"Anaconda DC",IF(F2="S811 Spotlight DC","Spotlight DC","Spotlight DC")))</f>
        <v>Anaconda DC</v>
      </c>
      <c r="K2" s="57" t="str">
        <f>VLOOKUP(C2,'FIN CAL LOOKUP'!A:J,7,1)</f>
        <v>MAR, FY23</v>
      </c>
      <c r="L2" s="57" t="str">
        <f>VLOOKUP(C2,'FIN CAL LOOKUP'!B:K,9,1)</f>
        <v>Q3, FY23</v>
      </c>
    </row>
    <row r="3" spans="1:12" x14ac:dyDescent="0.25">
      <c r="A3" t="s">
        <v>507</v>
      </c>
      <c r="B3" s="1">
        <v>44999.338888888888</v>
      </c>
      <c r="C3" s="1">
        <v>44992.337500000001</v>
      </c>
      <c r="D3" t="s">
        <v>413</v>
      </c>
      <c r="E3" t="s">
        <v>414</v>
      </c>
      <c r="F3" t="s">
        <v>353</v>
      </c>
      <c r="G3" t="s">
        <v>301</v>
      </c>
      <c r="H3" t="s">
        <v>302</v>
      </c>
      <c r="I3" t="s">
        <v>508</v>
      </c>
      <c r="J3" s="57" t="str">
        <f t="shared" ref="J3:J66" si="0">IF(OR(F3="HS2057 SUNSHINE DC",F3="S812  Harris Scarfe DC",F3="S813 HS Dark Store",E3="MICHELLE SLOVIK",E3="BREA ROLLINSON",E3="LJUBICA MITRESKA"),"Harris Scarfe DC",IF(OR(F3="S810 Anaconda DC",E3="THOMAS WILLIAMS"),"Anaconda DC",IF(F3="S811 Spotlight DC","Spotlight DC","Spotlight DC")))</f>
        <v>Anaconda DC</v>
      </c>
      <c r="K3" s="57" t="str">
        <f>VLOOKUP(C3,'FIN CAL LOOKUP'!A:J,7,1)</f>
        <v>MAR, FY23</v>
      </c>
      <c r="L3" s="57" t="str">
        <f>VLOOKUP(C3,'FIN CAL LOOKUP'!B:K,9,1)</f>
        <v>Q3, FY23</v>
      </c>
    </row>
    <row r="4" spans="1:12" x14ac:dyDescent="0.25">
      <c r="A4" t="s">
        <v>509</v>
      </c>
      <c r="B4" s="1">
        <v>44999.34375</v>
      </c>
      <c r="C4" s="1">
        <v>44994.592361111114</v>
      </c>
      <c r="D4" t="s">
        <v>413</v>
      </c>
      <c r="E4" t="s">
        <v>414</v>
      </c>
      <c r="F4" t="s">
        <v>353</v>
      </c>
      <c r="G4" t="s">
        <v>301</v>
      </c>
      <c r="H4" t="s">
        <v>302</v>
      </c>
      <c r="I4" t="s">
        <v>510</v>
      </c>
      <c r="J4" s="57" t="str">
        <f t="shared" si="0"/>
        <v>Anaconda DC</v>
      </c>
      <c r="K4" s="57" t="str">
        <f>VLOOKUP(C4,'FIN CAL LOOKUP'!A:J,7,1)</f>
        <v>MAR, FY23</v>
      </c>
      <c r="L4" s="57" t="str">
        <f>VLOOKUP(C4,'FIN CAL LOOKUP'!B:K,9,1)</f>
        <v>Q3, FY23</v>
      </c>
    </row>
    <row r="5" spans="1:12" x14ac:dyDescent="0.25">
      <c r="A5" t="s">
        <v>511</v>
      </c>
      <c r="B5" s="1">
        <v>45000.341666666667</v>
      </c>
      <c r="C5" s="1">
        <v>44999.340277777781</v>
      </c>
      <c r="D5" t="s">
        <v>413</v>
      </c>
      <c r="E5" t="s">
        <v>414</v>
      </c>
      <c r="F5" t="s">
        <v>353</v>
      </c>
      <c r="G5" t="s">
        <v>301</v>
      </c>
      <c r="H5" t="s">
        <v>302</v>
      </c>
      <c r="I5" t="s">
        <v>512</v>
      </c>
      <c r="J5" s="57" t="str">
        <f t="shared" si="0"/>
        <v>Anaconda DC</v>
      </c>
      <c r="K5" s="57" t="str">
        <f>VLOOKUP(C5,'FIN CAL LOOKUP'!A:J,7,1)</f>
        <v>MAR, FY23</v>
      </c>
      <c r="L5" s="57" t="str">
        <f>VLOOKUP(C5,'FIN CAL LOOKUP'!B:K,9,1)</f>
        <v>Q3, FY23</v>
      </c>
    </row>
    <row r="6" spans="1:12" x14ac:dyDescent="0.25">
      <c r="A6" t="s">
        <v>513</v>
      </c>
      <c r="B6" s="1">
        <v>45005.344444444447</v>
      </c>
      <c r="C6" s="1">
        <v>45002.354166666664</v>
      </c>
      <c r="D6" t="s">
        <v>413</v>
      </c>
      <c r="E6" t="s">
        <v>414</v>
      </c>
      <c r="F6" t="s">
        <v>353</v>
      </c>
      <c r="G6" t="s">
        <v>301</v>
      </c>
      <c r="H6" t="s">
        <v>302</v>
      </c>
      <c r="I6" t="s">
        <v>514</v>
      </c>
      <c r="J6" s="57" t="str">
        <f t="shared" si="0"/>
        <v>Anaconda DC</v>
      </c>
      <c r="K6" s="57" t="str">
        <f>VLOOKUP(C6,'FIN CAL LOOKUP'!A:J,7,1)</f>
        <v>MAR, FY23</v>
      </c>
      <c r="L6" s="57" t="str">
        <f>VLOOKUP(C6,'FIN CAL LOOKUP'!B:K,9,1)</f>
        <v>Q3, FY23</v>
      </c>
    </row>
    <row r="7" spans="1:12" x14ac:dyDescent="0.25">
      <c r="A7" t="s">
        <v>515</v>
      </c>
      <c r="B7" s="1">
        <v>45005.34652777778</v>
      </c>
      <c r="C7" s="1">
        <v>45001.486111111109</v>
      </c>
      <c r="D7" t="s">
        <v>413</v>
      </c>
      <c r="E7" t="s">
        <v>414</v>
      </c>
      <c r="F7" t="s">
        <v>353</v>
      </c>
      <c r="G7" t="s">
        <v>301</v>
      </c>
      <c r="H7" t="s">
        <v>302</v>
      </c>
      <c r="I7" t="s">
        <v>516</v>
      </c>
      <c r="J7" s="57" t="str">
        <f t="shared" si="0"/>
        <v>Anaconda DC</v>
      </c>
      <c r="K7" s="57" t="str">
        <f>VLOOKUP(C7,'FIN CAL LOOKUP'!A:J,7,1)</f>
        <v>MAR, FY23</v>
      </c>
      <c r="L7" s="57" t="str">
        <f>VLOOKUP(C7,'FIN CAL LOOKUP'!B:K,9,1)</f>
        <v>Q3, FY23</v>
      </c>
    </row>
    <row r="8" spans="1:12" x14ac:dyDescent="0.25">
      <c r="A8" t="s">
        <v>517</v>
      </c>
      <c r="B8" s="1">
        <v>45005.348611111112</v>
      </c>
      <c r="C8" s="1">
        <v>45000.34652777778</v>
      </c>
      <c r="D8" t="s">
        <v>413</v>
      </c>
      <c r="E8" t="s">
        <v>414</v>
      </c>
      <c r="F8" t="s">
        <v>353</v>
      </c>
      <c r="G8" t="s">
        <v>301</v>
      </c>
      <c r="H8" t="s">
        <v>302</v>
      </c>
      <c r="I8" t="s">
        <v>518</v>
      </c>
      <c r="J8" s="57" t="str">
        <f t="shared" si="0"/>
        <v>Anaconda DC</v>
      </c>
      <c r="K8" s="57" t="str">
        <f>VLOOKUP(C8,'FIN CAL LOOKUP'!A:J,7,1)</f>
        <v>MAR, FY23</v>
      </c>
      <c r="L8" s="57" t="str">
        <f>VLOOKUP(C8,'FIN CAL LOOKUP'!B:K,9,1)</f>
        <v>Q3, FY23</v>
      </c>
    </row>
    <row r="9" spans="1:12" x14ac:dyDescent="0.25">
      <c r="A9" t="s">
        <v>519</v>
      </c>
      <c r="B9" s="1">
        <v>45014.350694444445</v>
      </c>
      <c r="C9" s="1">
        <v>45002.349305555559</v>
      </c>
      <c r="D9" t="s">
        <v>413</v>
      </c>
      <c r="E9" t="s">
        <v>414</v>
      </c>
      <c r="F9" t="s">
        <v>353</v>
      </c>
      <c r="G9" t="s">
        <v>301</v>
      </c>
      <c r="H9" t="s">
        <v>302</v>
      </c>
      <c r="I9" t="s">
        <v>520</v>
      </c>
      <c r="J9" s="57" t="str">
        <f t="shared" si="0"/>
        <v>Anaconda DC</v>
      </c>
      <c r="K9" s="57" t="str">
        <f>VLOOKUP(C9,'FIN CAL LOOKUP'!A:J,7,1)</f>
        <v>MAR, FY23</v>
      </c>
      <c r="L9" s="57" t="str">
        <f>VLOOKUP(C9,'FIN CAL LOOKUP'!B:K,9,1)</f>
        <v>Q3, FY23</v>
      </c>
    </row>
    <row r="10" spans="1:12" x14ac:dyDescent="0.25">
      <c r="A10" t="s">
        <v>521</v>
      </c>
      <c r="B10" s="1">
        <v>45014.356944444444</v>
      </c>
      <c r="C10" s="1">
        <v>45009.46875</v>
      </c>
      <c r="D10" t="s">
        <v>413</v>
      </c>
      <c r="E10" t="s">
        <v>414</v>
      </c>
      <c r="F10" t="s">
        <v>353</v>
      </c>
      <c r="G10" t="s">
        <v>301</v>
      </c>
      <c r="H10" t="s">
        <v>302</v>
      </c>
      <c r="I10" t="s">
        <v>522</v>
      </c>
      <c r="J10" s="57" t="str">
        <f t="shared" si="0"/>
        <v>Anaconda DC</v>
      </c>
      <c r="K10" s="57" t="str">
        <f>VLOOKUP(C10,'FIN CAL LOOKUP'!A:J,7,1)</f>
        <v>MAR, FY23</v>
      </c>
      <c r="L10" s="57" t="str">
        <f>VLOOKUP(C10,'FIN CAL LOOKUP'!B:K,9,1)</f>
        <v>Q3, FY23</v>
      </c>
    </row>
    <row r="11" spans="1:12" x14ac:dyDescent="0.25">
      <c r="A11" t="s">
        <v>523</v>
      </c>
      <c r="B11" s="1">
        <v>45014.359027777777</v>
      </c>
      <c r="C11" s="1">
        <v>45009.523611111108</v>
      </c>
      <c r="D11" t="s">
        <v>413</v>
      </c>
      <c r="E11" t="s">
        <v>414</v>
      </c>
      <c r="F11" t="s">
        <v>353</v>
      </c>
      <c r="G11" t="s">
        <v>301</v>
      </c>
      <c r="H11" t="s">
        <v>302</v>
      </c>
      <c r="I11" t="s">
        <v>524</v>
      </c>
      <c r="J11" s="57" t="str">
        <f t="shared" si="0"/>
        <v>Anaconda DC</v>
      </c>
      <c r="K11" s="57" t="str">
        <f>VLOOKUP(C11,'FIN CAL LOOKUP'!A:J,7,1)</f>
        <v>MAR, FY23</v>
      </c>
      <c r="L11" s="57" t="str">
        <f>VLOOKUP(C11,'FIN CAL LOOKUP'!B:K,9,1)</f>
        <v>Q3, FY23</v>
      </c>
    </row>
    <row r="12" spans="1:12" x14ac:dyDescent="0.25">
      <c r="A12" t="s">
        <v>525</v>
      </c>
      <c r="B12" s="1">
        <v>45015.59375</v>
      </c>
      <c r="C12" s="1">
        <v>45001.375</v>
      </c>
      <c r="D12" t="s">
        <v>413</v>
      </c>
      <c r="E12" t="s">
        <v>414</v>
      </c>
      <c r="F12" t="s">
        <v>353</v>
      </c>
      <c r="G12" t="s">
        <v>301</v>
      </c>
      <c r="H12" t="s">
        <v>302</v>
      </c>
      <c r="I12" t="s">
        <v>526</v>
      </c>
      <c r="J12" s="57" t="str">
        <f t="shared" si="0"/>
        <v>Anaconda DC</v>
      </c>
      <c r="K12" s="57" t="str">
        <f>VLOOKUP(C12,'FIN CAL LOOKUP'!A:J,7,1)</f>
        <v>MAR, FY23</v>
      </c>
      <c r="L12" s="57" t="str">
        <f>VLOOKUP(C12,'FIN CAL LOOKUP'!B:K,9,1)</f>
        <v>Q3, FY23</v>
      </c>
    </row>
    <row r="13" spans="1:12" x14ac:dyDescent="0.25">
      <c r="A13" t="s">
        <v>527</v>
      </c>
      <c r="B13" s="1">
        <v>45015.595833333333</v>
      </c>
      <c r="C13" s="1">
        <v>44995.354166666664</v>
      </c>
      <c r="D13" t="s">
        <v>413</v>
      </c>
      <c r="E13" t="s">
        <v>414</v>
      </c>
      <c r="F13" t="s">
        <v>353</v>
      </c>
      <c r="G13" t="s">
        <v>301</v>
      </c>
      <c r="H13" t="s">
        <v>302</v>
      </c>
      <c r="I13" t="s">
        <v>528</v>
      </c>
      <c r="J13" s="57" t="str">
        <f t="shared" si="0"/>
        <v>Anaconda DC</v>
      </c>
      <c r="K13" s="57" t="str">
        <f>VLOOKUP(C13,'FIN CAL LOOKUP'!A:J,7,1)</f>
        <v>MAR, FY23</v>
      </c>
      <c r="L13" s="57" t="str">
        <f>VLOOKUP(C13,'FIN CAL LOOKUP'!B:K,9,1)</f>
        <v>Q3, FY23</v>
      </c>
    </row>
    <row r="14" spans="1:12" x14ac:dyDescent="0.25">
      <c r="A14" t="s">
        <v>529</v>
      </c>
      <c r="B14" s="1">
        <v>45015.599305555559</v>
      </c>
      <c r="C14" s="1">
        <v>45002.572916666664</v>
      </c>
      <c r="D14" t="s">
        <v>413</v>
      </c>
      <c r="E14" t="s">
        <v>414</v>
      </c>
      <c r="F14" t="s">
        <v>353</v>
      </c>
      <c r="G14" t="s">
        <v>301</v>
      </c>
      <c r="H14" t="s">
        <v>302</v>
      </c>
      <c r="I14" t="s">
        <v>530</v>
      </c>
      <c r="J14" s="57" t="str">
        <f t="shared" si="0"/>
        <v>Anaconda DC</v>
      </c>
      <c r="K14" s="57" t="str">
        <f>VLOOKUP(C14,'FIN CAL LOOKUP'!A:J,7,1)</f>
        <v>MAR, FY23</v>
      </c>
      <c r="L14" s="57" t="str">
        <f>VLOOKUP(C14,'FIN CAL LOOKUP'!B:K,9,1)</f>
        <v>Q3, FY23</v>
      </c>
    </row>
    <row r="15" spans="1:12" x14ac:dyDescent="0.25">
      <c r="A15" t="s">
        <v>531</v>
      </c>
      <c r="B15" s="1">
        <v>45021.329861111109</v>
      </c>
      <c r="C15" s="1">
        <v>45020.3125</v>
      </c>
      <c r="D15" t="s">
        <v>34</v>
      </c>
      <c r="E15" t="s">
        <v>415</v>
      </c>
      <c r="F15" t="s">
        <v>353</v>
      </c>
      <c r="G15" t="s">
        <v>301</v>
      </c>
      <c r="H15" t="s">
        <v>302</v>
      </c>
      <c r="I15" t="s">
        <v>532</v>
      </c>
      <c r="J15" s="57" t="str">
        <f t="shared" si="0"/>
        <v>Spotlight DC</v>
      </c>
      <c r="K15" s="57" t="str">
        <f>VLOOKUP(C15,'FIN CAL LOOKUP'!A:J,7,1)</f>
        <v>APR, FY23</v>
      </c>
      <c r="L15" s="57" t="str">
        <f>VLOOKUP(C15,'FIN CAL LOOKUP'!B:K,9,1)</f>
        <v>Q4, FY23</v>
      </c>
    </row>
    <row r="16" spans="1:12" x14ac:dyDescent="0.25">
      <c r="A16" t="s">
        <v>533</v>
      </c>
      <c r="B16" s="1">
        <v>45022.49722222222</v>
      </c>
      <c r="C16" s="1">
        <v>45022.333333333336</v>
      </c>
      <c r="D16" t="s">
        <v>44</v>
      </c>
      <c r="E16" t="s">
        <v>415</v>
      </c>
      <c r="F16" t="s">
        <v>353</v>
      </c>
      <c r="G16" t="s">
        <v>301</v>
      </c>
      <c r="H16" t="s">
        <v>302</v>
      </c>
      <c r="I16" t="s">
        <v>534</v>
      </c>
      <c r="J16" s="57" t="str">
        <f t="shared" si="0"/>
        <v>Spotlight DC</v>
      </c>
      <c r="K16" s="57" t="str">
        <f>VLOOKUP(C16,'FIN CAL LOOKUP'!A:J,7,1)</f>
        <v>APR, FY23</v>
      </c>
      <c r="L16" s="57" t="str">
        <f>VLOOKUP(C16,'FIN CAL LOOKUP'!B:K,9,1)</f>
        <v>Q4, FY23</v>
      </c>
    </row>
    <row r="17" spans="1:12" x14ac:dyDescent="0.25">
      <c r="A17" t="s">
        <v>535</v>
      </c>
      <c r="B17" s="1">
        <v>45028.306944444441</v>
      </c>
      <c r="C17" s="1">
        <v>45027.552083333336</v>
      </c>
      <c r="D17" t="s">
        <v>418</v>
      </c>
      <c r="E17" t="s">
        <v>415</v>
      </c>
      <c r="F17" t="s">
        <v>353</v>
      </c>
      <c r="G17" t="s">
        <v>301</v>
      </c>
      <c r="H17" t="s">
        <v>298</v>
      </c>
      <c r="I17" t="s">
        <v>536</v>
      </c>
      <c r="J17" s="57" t="str">
        <f t="shared" si="0"/>
        <v>Spotlight DC</v>
      </c>
      <c r="K17" s="57" t="str">
        <f>VLOOKUP(C17,'FIN CAL LOOKUP'!A:J,7,1)</f>
        <v>APR, FY23</v>
      </c>
      <c r="L17" s="57" t="str">
        <f>VLOOKUP(C17,'FIN CAL LOOKUP'!B:K,9,1)</f>
        <v>Q4, FY23</v>
      </c>
    </row>
    <row r="18" spans="1:12" x14ac:dyDescent="0.25">
      <c r="A18" t="s">
        <v>537</v>
      </c>
      <c r="B18" s="1">
        <v>45030.563194444447</v>
      </c>
      <c r="C18" s="1">
        <v>45030.540277777778</v>
      </c>
      <c r="D18" t="s">
        <v>44</v>
      </c>
      <c r="E18" t="s">
        <v>415</v>
      </c>
      <c r="F18" t="s">
        <v>353</v>
      </c>
      <c r="G18" t="s">
        <v>301</v>
      </c>
      <c r="H18" t="s">
        <v>302</v>
      </c>
      <c r="I18" t="s">
        <v>538</v>
      </c>
      <c r="J18" s="57" t="str">
        <f t="shared" si="0"/>
        <v>Spotlight DC</v>
      </c>
      <c r="K18" s="57" t="str">
        <f>VLOOKUP(C18,'FIN CAL LOOKUP'!A:J,7,1)</f>
        <v>APR, FY23</v>
      </c>
      <c r="L18" s="57" t="str">
        <f>VLOOKUP(C18,'FIN CAL LOOKUP'!B:K,9,1)</f>
        <v>Q4, FY23</v>
      </c>
    </row>
    <row r="19" spans="1:12" x14ac:dyDescent="0.25">
      <c r="A19" t="s">
        <v>539</v>
      </c>
      <c r="B19" s="1">
        <v>45033.585416666669</v>
      </c>
      <c r="C19" s="1">
        <v>45022.375</v>
      </c>
      <c r="D19" t="s">
        <v>413</v>
      </c>
      <c r="E19" t="s">
        <v>414</v>
      </c>
      <c r="F19" t="s">
        <v>353</v>
      </c>
      <c r="G19" t="s">
        <v>301</v>
      </c>
      <c r="H19" t="s">
        <v>302</v>
      </c>
      <c r="I19" t="s">
        <v>540</v>
      </c>
      <c r="J19" s="57" t="str">
        <f t="shared" si="0"/>
        <v>Anaconda DC</v>
      </c>
      <c r="K19" s="57" t="str">
        <f>VLOOKUP(C19,'FIN CAL LOOKUP'!A:J,7,1)</f>
        <v>APR, FY23</v>
      </c>
      <c r="L19" s="57" t="str">
        <f>VLOOKUP(C19,'FIN CAL LOOKUP'!B:K,9,1)</f>
        <v>Q4, FY23</v>
      </c>
    </row>
    <row r="20" spans="1:12" x14ac:dyDescent="0.25">
      <c r="A20" t="s">
        <v>541</v>
      </c>
      <c r="B20" s="1">
        <v>45033.586805555555</v>
      </c>
      <c r="C20" s="1">
        <v>45027.513888888891</v>
      </c>
      <c r="D20" t="s">
        <v>413</v>
      </c>
      <c r="E20" t="s">
        <v>414</v>
      </c>
      <c r="F20" t="s">
        <v>353</v>
      </c>
      <c r="G20" t="s">
        <v>301</v>
      </c>
      <c r="H20" t="s">
        <v>302</v>
      </c>
      <c r="I20" t="s">
        <v>542</v>
      </c>
      <c r="J20" s="57" t="str">
        <f t="shared" si="0"/>
        <v>Anaconda DC</v>
      </c>
      <c r="K20" s="57" t="str">
        <f>VLOOKUP(C20,'FIN CAL LOOKUP'!A:J,7,1)</f>
        <v>APR, FY23</v>
      </c>
      <c r="L20" s="57" t="str">
        <f>VLOOKUP(C20,'FIN CAL LOOKUP'!B:K,9,1)</f>
        <v>Q4, FY23</v>
      </c>
    </row>
    <row r="21" spans="1:12" x14ac:dyDescent="0.25">
      <c r="A21" t="s">
        <v>543</v>
      </c>
      <c r="B21" s="1">
        <v>45033.588194444441</v>
      </c>
      <c r="C21" s="1">
        <v>45027.40625</v>
      </c>
      <c r="D21" t="s">
        <v>413</v>
      </c>
      <c r="E21" t="s">
        <v>414</v>
      </c>
      <c r="F21" t="s">
        <v>353</v>
      </c>
      <c r="G21" t="s">
        <v>301</v>
      </c>
      <c r="H21" t="s">
        <v>302</v>
      </c>
      <c r="I21" t="s">
        <v>544</v>
      </c>
      <c r="J21" s="57" t="str">
        <f t="shared" si="0"/>
        <v>Anaconda DC</v>
      </c>
      <c r="K21" s="57" t="str">
        <f>VLOOKUP(C21,'FIN CAL LOOKUP'!A:J,7,1)</f>
        <v>APR, FY23</v>
      </c>
      <c r="L21" s="57" t="str">
        <f>VLOOKUP(C21,'FIN CAL LOOKUP'!B:K,9,1)</f>
        <v>Q4, FY23</v>
      </c>
    </row>
    <row r="22" spans="1:12" x14ac:dyDescent="0.25">
      <c r="A22" t="s">
        <v>545</v>
      </c>
      <c r="B22" s="1">
        <v>45036.618750000001</v>
      </c>
      <c r="C22" s="1">
        <v>45035.395833333336</v>
      </c>
      <c r="D22" t="s">
        <v>413</v>
      </c>
      <c r="E22" t="s">
        <v>414</v>
      </c>
      <c r="F22" t="s">
        <v>353</v>
      </c>
      <c r="G22" t="s">
        <v>301</v>
      </c>
      <c r="H22" t="s">
        <v>302</v>
      </c>
      <c r="I22" t="s">
        <v>546</v>
      </c>
      <c r="J22" s="57" t="str">
        <f t="shared" si="0"/>
        <v>Anaconda DC</v>
      </c>
      <c r="K22" s="57" t="str">
        <f>VLOOKUP(C22,'FIN CAL LOOKUP'!A:J,7,1)</f>
        <v>APR, FY23</v>
      </c>
      <c r="L22" s="57" t="str">
        <f>VLOOKUP(C22,'FIN CAL LOOKUP'!B:K,9,1)</f>
        <v>Q4, FY23</v>
      </c>
    </row>
    <row r="23" spans="1:12" x14ac:dyDescent="0.25">
      <c r="A23" t="s">
        <v>547</v>
      </c>
      <c r="B23" s="1">
        <v>45036.620138888888</v>
      </c>
      <c r="C23" s="1">
        <v>45034.368750000001</v>
      </c>
      <c r="D23" t="s">
        <v>413</v>
      </c>
      <c r="E23" t="s">
        <v>414</v>
      </c>
      <c r="F23" t="s">
        <v>353</v>
      </c>
      <c r="G23" t="s">
        <v>301</v>
      </c>
      <c r="H23" t="s">
        <v>302</v>
      </c>
      <c r="I23" t="s">
        <v>548</v>
      </c>
      <c r="J23" s="57" t="str">
        <f t="shared" si="0"/>
        <v>Anaconda DC</v>
      </c>
      <c r="K23" s="57" t="str">
        <f>VLOOKUP(C23,'FIN CAL LOOKUP'!A:J,7,1)</f>
        <v>APR, FY23</v>
      </c>
      <c r="L23" s="57" t="str">
        <f>VLOOKUP(C23,'FIN CAL LOOKUP'!B:K,9,1)</f>
        <v>Q4, FY23</v>
      </c>
    </row>
    <row r="24" spans="1:12" x14ac:dyDescent="0.25">
      <c r="A24" t="s">
        <v>549</v>
      </c>
      <c r="B24" s="1">
        <v>45036.621527777781</v>
      </c>
      <c r="C24" s="1">
        <v>45029.385416666664</v>
      </c>
      <c r="D24" t="s">
        <v>413</v>
      </c>
      <c r="E24" t="s">
        <v>414</v>
      </c>
      <c r="F24" t="s">
        <v>353</v>
      </c>
      <c r="G24" t="s">
        <v>301</v>
      </c>
      <c r="H24" t="s">
        <v>302</v>
      </c>
      <c r="I24" t="s">
        <v>550</v>
      </c>
      <c r="J24" s="57" t="str">
        <f t="shared" si="0"/>
        <v>Anaconda DC</v>
      </c>
      <c r="K24" s="57" t="str">
        <f>VLOOKUP(C24,'FIN CAL LOOKUP'!A:J,7,1)</f>
        <v>APR, FY23</v>
      </c>
      <c r="L24" s="57" t="str">
        <f>VLOOKUP(C24,'FIN CAL LOOKUP'!B:K,9,1)</f>
        <v>Q4, FY23</v>
      </c>
    </row>
    <row r="25" spans="1:12" x14ac:dyDescent="0.25">
      <c r="A25" t="s">
        <v>551</v>
      </c>
      <c r="B25" s="1">
        <v>45045.445138888892</v>
      </c>
      <c r="C25" s="1">
        <v>45045.4375</v>
      </c>
      <c r="D25" t="s">
        <v>44</v>
      </c>
      <c r="E25" t="s">
        <v>415</v>
      </c>
      <c r="F25" t="s">
        <v>353</v>
      </c>
      <c r="G25" t="s">
        <v>301</v>
      </c>
      <c r="H25" t="s">
        <v>298</v>
      </c>
      <c r="I25" t="s">
        <v>552</v>
      </c>
      <c r="J25" s="57" t="str">
        <f t="shared" si="0"/>
        <v>Spotlight DC</v>
      </c>
      <c r="K25" s="57" t="str">
        <f>VLOOKUP(C25,'FIN CAL LOOKUP'!A:J,7,1)</f>
        <v>MAY, FY23</v>
      </c>
      <c r="L25" s="57" t="str">
        <f>VLOOKUP(C25,'FIN CAL LOOKUP'!B:K,9,1)</f>
        <v>Q4, FY23</v>
      </c>
    </row>
    <row r="26" spans="1:12" x14ac:dyDescent="0.25">
      <c r="A26" t="s">
        <v>553</v>
      </c>
      <c r="B26" s="1">
        <v>45048.42291666667</v>
      </c>
      <c r="C26" s="1">
        <v>45047.333333333336</v>
      </c>
      <c r="D26" t="s">
        <v>416</v>
      </c>
      <c r="E26" t="s">
        <v>415</v>
      </c>
      <c r="F26" t="s">
        <v>353</v>
      </c>
      <c r="G26" t="s">
        <v>301</v>
      </c>
      <c r="H26" t="s">
        <v>298</v>
      </c>
      <c r="I26" t="s">
        <v>554</v>
      </c>
      <c r="J26" s="57" t="str">
        <f t="shared" si="0"/>
        <v>Spotlight DC</v>
      </c>
      <c r="K26" s="57" t="str">
        <f>VLOOKUP(C26,'FIN CAL LOOKUP'!A:J,7,1)</f>
        <v>MAY, FY23</v>
      </c>
      <c r="L26" s="57" t="str">
        <f>VLOOKUP(C26,'FIN CAL LOOKUP'!B:K,9,1)</f>
        <v>Q4, FY23</v>
      </c>
    </row>
    <row r="27" spans="1:12" x14ac:dyDescent="0.25">
      <c r="A27" t="s">
        <v>555</v>
      </c>
      <c r="B27" s="1">
        <v>45064.506944444445</v>
      </c>
      <c r="C27" s="1">
        <v>45063.613888888889</v>
      </c>
      <c r="D27" t="s">
        <v>416</v>
      </c>
      <c r="E27" t="s">
        <v>415</v>
      </c>
      <c r="F27" t="s">
        <v>353</v>
      </c>
      <c r="G27" t="s">
        <v>301</v>
      </c>
      <c r="H27" t="s">
        <v>298</v>
      </c>
      <c r="I27" t="s">
        <v>556</v>
      </c>
      <c r="J27" s="57" t="str">
        <f t="shared" si="0"/>
        <v>Spotlight DC</v>
      </c>
      <c r="K27" s="57" t="str">
        <f>VLOOKUP(C27,'FIN CAL LOOKUP'!A:J,7,1)</f>
        <v>MAY, FY23</v>
      </c>
      <c r="L27" s="57" t="str">
        <f>VLOOKUP(C27,'FIN CAL LOOKUP'!B:K,9,1)</f>
        <v>Q4, FY23</v>
      </c>
    </row>
    <row r="28" spans="1:12" x14ac:dyDescent="0.25">
      <c r="A28" t="s">
        <v>557</v>
      </c>
      <c r="B28" s="1">
        <v>45064.634027777778</v>
      </c>
      <c r="C28" s="1">
        <v>45064.466666666667</v>
      </c>
      <c r="D28" t="s">
        <v>413</v>
      </c>
      <c r="E28" t="s">
        <v>414</v>
      </c>
      <c r="F28" t="s">
        <v>353</v>
      </c>
      <c r="G28" t="s">
        <v>301</v>
      </c>
      <c r="H28" t="s">
        <v>298</v>
      </c>
      <c r="I28" t="s">
        <v>558</v>
      </c>
      <c r="J28" s="57" t="str">
        <f t="shared" si="0"/>
        <v>Anaconda DC</v>
      </c>
      <c r="K28" s="57" t="str">
        <f>VLOOKUP(C28,'FIN CAL LOOKUP'!A:J,7,1)</f>
        <v>MAY, FY23</v>
      </c>
      <c r="L28" s="57" t="str">
        <f>VLOOKUP(C28,'FIN CAL LOOKUP'!B:K,9,1)</f>
        <v>Q4, FY23</v>
      </c>
    </row>
    <row r="29" spans="1:12" x14ac:dyDescent="0.25">
      <c r="A29" t="s">
        <v>559</v>
      </c>
      <c r="B29" s="1">
        <v>45076.477777777778</v>
      </c>
      <c r="C29" s="1">
        <v>45071.475694444445</v>
      </c>
      <c r="D29" t="s">
        <v>413</v>
      </c>
      <c r="E29" t="s">
        <v>414</v>
      </c>
      <c r="F29" t="s">
        <v>353</v>
      </c>
      <c r="G29" t="s">
        <v>301</v>
      </c>
      <c r="H29" t="s">
        <v>302</v>
      </c>
      <c r="I29" t="s">
        <v>560</v>
      </c>
      <c r="J29" s="57" t="str">
        <f t="shared" si="0"/>
        <v>Anaconda DC</v>
      </c>
      <c r="K29" s="57" t="str">
        <f>VLOOKUP(C29,'FIN CAL LOOKUP'!A:J,7,1)</f>
        <v>MAY, FY23</v>
      </c>
      <c r="L29" s="57" t="str">
        <f>VLOOKUP(C29,'FIN CAL LOOKUP'!B:K,9,1)</f>
        <v>Q4, FY23</v>
      </c>
    </row>
    <row r="30" spans="1:12" x14ac:dyDescent="0.25">
      <c r="A30" t="s">
        <v>561</v>
      </c>
      <c r="B30" s="1">
        <v>45076.572222222225</v>
      </c>
      <c r="C30" s="1">
        <v>45076.3125</v>
      </c>
      <c r="D30" t="s">
        <v>34</v>
      </c>
      <c r="E30" t="s">
        <v>415</v>
      </c>
      <c r="F30" t="s">
        <v>353</v>
      </c>
      <c r="G30" t="s">
        <v>301</v>
      </c>
      <c r="H30" t="s">
        <v>302</v>
      </c>
      <c r="I30" t="s">
        <v>562</v>
      </c>
      <c r="J30" s="57" t="str">
        <f t="shared" si="0"/>
        <v>Spotlight DC</v>
      </c>
      <c r="K30" s="57" t="str">
        <f>VLOOKUP(C30,'FIN CAL LOOKUP'!A:J,7,1)</f>
        <v>JUN, FY23</v>
      </c>
      <c r="L30" s="57" t="str">
        <f>VLOOKUP(C30,'FIN CAL LOOKUP'!B:K,9,1)</f>
        <v>Q4, FY23</v>
      </c>
    </row>
    <row r="31" spans="1:12" x14ac:dyDescent="0.25">
      <c r="A31" t="s">
        <v>563</v>
      </c>
      <c r="B31" s="1">
        <v>45078.370833333334</v>
      </c>
      <c r="C31" s="1">
        <v>45076.368750000001</v>
      </c>
      <c r="D31" t="s">
        <v>413</v>
      </c>
      <c r="E31" t="s">
        <v>414</v>
      </c>
      <c r="F31" t="s">
        <v>353</v>
      </c>
      <c r="G31" t="s">
        <v>301</v>
      </c>
      <c r="H31" t="s">
        <v>298</v>
      </c>
      <c r="I31" t="s">
        <v>564</v>
      </c>
      <c r="J31" s="57" t="str">
        <f t="shared" si="0"/>
        <v>Anaconda DC</v>
      </c>
      <c r="K31" s="57" t="str">
        <f>VLOOKUP(C31,'FIN CAL LOOKUP'!A:J,7,1)</f>
        <v>JUN, FY23</v>
      </c>
      <c r="L31" s="57" t="str">
        <f>VLOOKUP(C31,'FIN CAL LOOKUP'!B:K,9,1)</f>
        <v>Q4, FY23</v>
      </c>
    </row>
    <row r="32" spans="1:12" x14ac:dyDescent="0.25">
      <c r="A32" t="s">
        <v>565</v>
      </c>
      <c r="B32" s="1">
        <v>45082.479861111111</v>
      </c>
      <c r="C32" s="1">
        <v>45082.270138888889</v>
      </c>
      <c r="D32" t="s">
        <v>566</v>
      </c>
      <c r="E32" t="s">
        <v>412</v>
      </c>
      <c r="F32" t="s">
        <v>353</v>
      </c>
      <c r="G32" t="s">
        <v>301</v>
      </c>
      <c r="H32" t="s">
        <v>302</v>
      </c>
      <c r="I32" t="s">
        <v>567</v>
      </c>
      <c r="J32" s="57" t="str">
        <f t="shared" si="0"/>
        <v>Spotlight DC</v>
      </c>
      <c r="K32" s="57" t="str">
        <f>VLOOKUP(C32,'FIN CAL LOOKUP'!A:J,7,1)</f>
        <v>JUN, FY23</v>
      </c>
      <c r="L32" s="57" t="str">
        <f>VLOOKUP(C32,'FIN CAL LOOKUP'!B:K,9,1)</f>
        <v>Q4, FY23</v>
      </c>
    </row>
    <row r="33" spans="1:12" x14ac:dyDescent="0.25">
      <c r="A33" t="s">
        <v>568</v>
      </c>
      <c r="B33" s="1">
        <v>45082.482638888891</v>
      </c>
      <c r="C33" s="1">
        <v>45082.333333333336</v>
      </c>
      <c r="D33" t="s">
        <v>566</v>
      </c>
      <c r="E33" t="s">
        <v>412</v>
      </c>
      <c r="F33" t="s">
        <v>353</v>
      </c>
      <c r="G33" t="s">
        <v>301</v>
      </c>
      <c r="H33" t="s">
        <v>302</v>
      </c>
      <c r="I33" t="s">
        <v>569</v>
      </c>
      <c r="J33" s="57" t="str">
        <f t="shared" si="0"/>
        <v>Spotlight DC</v>
      </c>
      <c r="K33" s="57" t="str">
        <f>VLOOKUP(C33,'FIN CAL LOOKUP'!A:J,7,1)</f>
        <v>JUN, FY23</v>
      </c>
      <c r="L33" s="57" t="str">
        <f>VLOOKUP(C33,'FIN CAL LOOKUP'!B:K,9,1)</f>
        <v>Q4, FY23</v>
      </c>
    </row>
    <row r="34" spans="1:12" x14ac:dyDescent="0.25">
      <c r="A34" t="s">
        <v>570</v>
      </c>
      <c r="B34" s="1">
        <v>45086.322222222225</v>
      </c>
      <c r="C34" s="1">
        <v>45085.572916666664</v>
      </c>
      <c r="D34" t="s">
        <v>416</v>
      </c>
      <c r="E34" t="s">
        <v>415</v>
      </c>
      <c r="F34" t="s">
        <v>353</v>
      </c>
      <c r="G34" t="s">
        <v>301</v>
      </c>
      <c r="H34" t="s">
        <v>302</v>
      </c>
      <c r="I34" t="s">
        <v>571</v>
      </c>
      <c r="J34" s="57" t="str">
        <f t="shared" si="0"/>
        <v>Spotlight DC</v>
      </c>
      <c r="K34" s="57" t="str">
        <f>VLOOKUP(C34,'FIN CAL LOOKUP'!A:J,7,1)</f>
        <v>JUN, FY23</v>
      </c>
      <c r="L34" s="57" t="str">
        <f>VLOOKUP(C34,'FIN CAL LOOKUP'!B:K,9,1)</f>
        <v>Q4, FY23</v>
      </c>
    </row>
    <row r="35" spans="1:12" x14ac:dyDescent="0.25">
      <c r="A35" t="s">
        <v>572</v>
      </c>
      <c r="B35" s="1">
        <v>45097.470138888886</v>
      </c>
      <c r="C35" s="1">
        <v>45096.458333333336</v>
      </c>
      <c r="D35" t="s">
        <v>416</v>
      </c>
      <c r="E35" t="s">
        <v>415</v>
      </c>
      <c r="F35" t="s">
        <v>353</v>
      </c>
      <c r="G35" t="s">
        <v>301</v>
      </c>
      <c r="H35" t="s">
        <v>302</v>
      </c>
      <c r="I35" t="s">
        <v>573</v>
      </c>
      <c r="J35" s="57" t="str">
        <f t="shared" si="0"/>
        <v>Spotlight DC</v>
      </c>
      <c r="K35" s="57" t="str">
        <f>VLOOKUP(C35,'FIN CAL LOOKUP'!A:J,7,1)</f>
        <v>JUN, FY23</v>
      </c>
      <c r="L35" s="57" t="str">
        <f>VLOOKUP(C35,'FIN CAL LOOKUP'!B:K,9,1)</f>
        <v>Q4, FY23</v>
      </c>
    </row>
    <row r="36" spans="1:12" x14ac:dyDescent="0.25">
      <c r="A36" t="s">
        <v>574</v>
      </c>
      <c r="B36" s="1">
        <v>45099.418055555558</v>
      </c>
      <c r="C36" s="1">
        <v>45098.576388888891</v>
      </c>
      <c r="D36" t="s">
        <v>416</v>
      </c>
      <c r="E36" t="s">
        <v>414</v>
      </c>
      <c r="F36" t="s">
        <v>353</v>
      </c>
      <c r="G36" t="s">
        <v>301</v>
      </c>
      <c r="H36" t="s">
        <v>298</v>
      </c>
      <c r="I36" t="s">
        <v>575</v>
      </c>
      <c r="J36" s="57" t="str">
        <f t="shared" si="0"/>
        <v>Anaconda DC</v>
      </c>
      <c r="K36" s="57" t="str">
        <f>VLOOKUP(C36,'FIN CAL LOOKUP'!A:J,7,1)</f>
        <v>JUN, FY23</v>
      </c>
      <c r="L36" s="57" t="str">
        <f>VLOOKUP(C36,'FIN CAL LOOKUP'!B:K,9,1)</f>
        <v>Q4, FY23</v>
      </c>
    </row>
    <row r="37" spans="1:12" x14ac:dyDescent="0.25">
      <c r="A37" t="s">
        <v>576</v>
      </c>
      <c r="B37" s="1">
        <v>45106.365277777775</v>
      </c>
      <c r="C37" s="1">
        <v>45106.315972222219</v>
      </c>
      <c r="D37" t="s">
        <v>418</v>
      </c>
      <c r="E37" t="s">
        <v>415</v>
      </c>
      <c r="F37" t="s">
        <v>353</v>
      </c>
      <c r="G37" t="s">
        <v>301</v>
      </c>
      <c r="H37" t="s">
        <v>302</v>
      </c>
      <c r="I37" t="s">
        <v>577</v>
      </c>
      <c r="J37" s="57" t="str">
        <f t="shared" si="0"/>
        <v>Spotlight DC</v>
      </c>
      <c r="K37" s="57" t="str">
        <f>VLOOKUP(C37,'FIN CAL LOOKUP'!A:J,7,1)</f>
        <v>JUL, FY24</v>
      </c>
      <c r="L37" s="57" t="str">
        <f>VLOOKUP(C37,'FIN CAL LOOKUP'!B:K,9,1)</f>
        <v>Q4, FY23</v>
      </c>
    </row>
    <row r="38" spans="1:12" x14ac:dyDescent="0.25">
      <c r="A38" t="s">
        <v>578</v>
      </c>
      <c r="B38" s="1">
        <v>45110.401388888888</v>
      </c>
      <c r="C38" s="1">
        <v>45093.441666666666</v>
      </c>
      <c r="D38" t="s">
        <v>413</v>
      </c>
      <c r="E38" t="s">
        <v>414</v>
      </c>
      <c r="F38" t="s">
        <v>353</v>
      </c>
      <c r="G38" t="s">
        <v>301</v>
      </c>
      <c r="H38" t="s">
        <v>302</v>
      </c>
      <c r="I38" t="s">
        <v>579</v>
      </c>
      <c r="J38" s="57" t="str">
        <f t="shared" si="0"/>
        <v>Anaconda DC</v>
      </c>
      <c r="K38" s="57" t="str">
        <f>VLOOKUP(C38,'FIN CAL LOOKUP'!A:J,7,1)</f>
        <v>JUN, FY23</v>
      </c>
      <c r="L38" s="57" t="str">
        <f>VLOOKUP(C38,'FIN CAL LOOKUP'!B:K,9,1)</f>
        <v>Q4, FY23</v>
      </c>
    </row>
    <row r="39" spans="1:12" x14ac:dyDescent="0.25">
      <c r="A39" t="s">
        <v>580</v>
      </c>
      <c r="B39" s="1">
        <v>45110.40347222222</v>
      </c>
      <c r="C39" s="1">
        <v>45098.402083333334</v>
      </c>
      <c r="D39" t="s">
        <v>413</v>
      </c>
      <c r="E39" t="s">
        <v>414</v>
      </c>
      <c r="F39" t="s">
        <v>353</v>
      </c>
      <c r="G39" t="s">
        <v>301</v>
      </c>
      <c r="H39" t="s">
        <v>302</v>
      </c>
      <c r="I39" t="s">
        <v>581</v>
      </c>
      <c r="J39" s="57" t="str">
        <f t="shared" si="0"/>
        <v>Anaconda DC</v>
      </c>
      <c r="K39" s="57" t="str">
        <f>VLOOKUP(C39,'FIN CAL LOOKUP'!A:J,7,1)</f>
        <v>JUN, FY23</v>
      </c>
      <c r="L39" s="57" t="str">
        <f>VLOOKUP(C39,'FIN CAL LOOKUP'!B:K,9,1)</f>
        <v>Q4, FY23</v>
      </c>
    </row>
    <row r="40" spans="1:12" x14ac:dyDescent="0.25">
      <c r="A40" t="s">
        <v>582</v>
      </c>
      <c r="B40" s="1">
        <v>45110.557638888888</v>
      </c>
      <c r="C40" s="1">
        <v>45110.431944444441</v>
      </c>
      <c r="D40" t="s">
        <v>413</v>
      </c>
      <c r="E40" t="s">
        <v>414</v>
      </c>
      <c r="F40" t="s">
        <v>353</v>
      </c>
      <c r="G40" t="s">
        <v>301</v>
      </c>
      <c r="H40" t="s">
        <v>302</v>
      </c>
      <c r="I40" t="s">
        <v>583</v>
      </c>
      <c r="J40" s="57" t="str">
        <f t="shared" si="0"/>
        <v>Anaconda DC</v>
      </c>
      <c r="K40" s="57" t="str">
        <f>VLOOKUP(C40,'FIN CAL LOOKUP'!A:J,7,1)</f>
        <v>JUL, FY24</v>
      </c>
      <c r="L40" s="57" t="str">
        <f>VLOOKUP(C40,'FIN CAL LOOKUP'!B:K,9,1)</f>
        <v>Q1, FY24</v>
      </c>
    </row>
    <row r="41" spans="1:12" x14ac:dyDescent="0.25">
      <c r="A41" t="s">
        <v>584</v>
      </c>
      <c r="B41" s="1">
        <v>45113.569444444445</v>
      </c>
      <c r="C41" s="1">
        <v>45076.568055555559</v>
      </c>
      <c r="D41" t="s">
        <v>413</v>
      </c>
      <c r="E41" t="s">
        <v>414</v>
      </c>
      <c r="F41" t="s">
        <v>353</v>
      </c>
      <c r="G41" t="s">
        <v>301</v>
      </c>
      <c r="H41" t="s">
        <v>302</v>
      </c>
      <c r="I41" t="s">
        <v>585</v>
      </c>
      <c r="J41" s="57" t="str">
        <f t="shared" si="0"/>
        <v>Anaconda DC</v>
      </c>
      <c r="K41" s="57" t="str">
        <f>VLOOKUP(C41,'FIN CAL LOOKUP'!A:J,7,1)</f>
        <v>JUN, FY23</v>
      </c>
      <c r="L41" s="57" t="str">
        <f>VLOOKUP(C41,'FIN CAL LOOKUP'!B:K,9,1)</f>
        <v>Q4, FY23</v>
      </c>
    </row>
    <row r="42" spans="1:12" x14ac:dyDescent="0.25">
      <c r="A42" t="s">
        <v>586</v>
      </c>
      <c r="B42" s="1">
        <v>45118.339583333334</v>
      </c>
      <c r="C42" s="1">
        <v>45117.337500000001</v>
      </c>
      <c r="D42" t="s">
        <v>413</v>
      </c>
      <c r="E42" t="s">
        <v>414</v>
      </c>
      <c r="F42" t="s">
        <v>353</v>
      </c>
      <c r="G42" t="s">
        <v>301</v>
      </c>
      <c r="H42" t="s">
        <v>298</v>
      </c>
      <c r="I42" t="s">
        <v>587</v>
      </c>
      <c r="J42" s="57" t="str">
        <f t="shared" si="0"/>
        <v>Anaconda DC</v>
      </c>
      <c r="K42" s="57" t="str">
        <f>VLOOKUP(C42,'FIN CAL LOOKUP'!A:J,7,1)</f>
        <v>JUL, FY24</v>
      </c>
      <c r="L42" s="57" t="str">
        <f>VLOOKUP(C42,'FIN CAL LOOKUP'!B:K,9,1)</f>
        <v>Q1, FY24</v>
      </c>
    </row>
    <row r="43" spans="1:12" x14ac:dyDescent="0.25">
      <c r="A43" t="s">
        <v>588</v>
      </c>
      <c r="B43" s="1">
        <v>45127.603472222225</v>
      </c>
      <c r="C43" s="1">
        <v>45127.541666666664</v>
      </c>
      <c r="D43" t="s">
        <v>416</v>
      </c>
      <c r="E43" t="s">
        <v>414</v>
      </c>
      <c r="F43" t="s">
        <v>353</v>
      </c>
      <c r="G43" t="s">
        <v>301</v>
      </c>
      <c r="H43" t="s">
        <v>298</v>
      </c>
      <c r="I43" t="s">
        <v>589</v>
      </c>
      <c r="J43" s="57" t="str">
        <f t="shared" si="0"/>
        <v>Anaconda DC</v>
      </c>
      <c r="K43" s="57" t="str">
        <f>VLOOKUP(C43,'FIN CAL LOOKUP'!A:J,7,1)</f>
        <v>JUL, FY24</v>
      </c>
      <c r="L43" s="57" t="str">
        <f>VLOOKUP(C43,'FIN CAL LOOKUP'!B:K,9,1)</f>
        <v>Q1, FY24</v>
      </c>
    </row>
    <row r="44" spans="1:12" x14ac:dyDescent="0.25">
      <c r="A44" t="s">
        <v>590</v>
      </c>
      <c r="B44" s="1">
        <v>45131.488888888889</v>
      </c>
      <c r="C44" s="1">
        <v>45131.487500000003</v>
      </c>
      <c r="D44" t="s">
        <v>413</v>
      </c>
      <c r="E44" t="s">
        <v>414</v>
      </c>
      <c r="F44" t="s">
        <v>353</v>
      </c>
      <c r="G44" t="s">
        <v>301</v>
      </c>
      <c r="H44" t="s">
        <v>302</v>
      </c>
      <c r="I44" t="s">
        <v>591</v>
      </c>
      <c r="J44" s="57" t="str">
        <f t="shared" si="0"/>
        <v>Anaconda DC</v>
      </c>
      <c r="K44" s="57" t="str">
        <f>VLOOKUP(C44,'FIN CAL LOOKUP'!A:J,7,1)</f>
        <v>AUG, FY24</v>
      </c>
      <c r="L44" s="57" t="str">
        <f>VLOOKUP(C44,'FIN CAL LOOKUP'!B:K,9,1)</f>
        <v>Q1, FY24</v>
      </c>
    </row>
    <row r="45" spans="1:12" x14ac:dyDescent="0.25">
      <c r="A45" t="s">
        <v>592</v>
      </c>
      <c r="B45" s="1">
        <v>45132.365972222222</v>
      </c>
      <c r="C45" s="1">
        <v>45132.333333333336</v>
      </c>
      <c r="D45" t="s">
        <v>416</v>
      </c>
      <c r="E45" t="s">
        <v>414</v>
      </c>
      <c r="F45" t="s">
        <v>353</v>
      </c>
      <c r="G45" t="s">
        <v>301</v>
      </c>
      <c r="H45" t="s">
        <v>298</v>
      </c>
      <c r="I45" t="s">
        <v>593</v>
      </c>
      <c r="J45" s="57" t="str">
        <f t="shared" si="0"/>
        <v>Anaconda DC</v>
      </c>
      <c r="K45" s="57" t="str">
        <f>VLOOKUP(C45,'FIN CAL LOOKUP'!A:J,7,1)</f>
        <v>AUG, FY24</v>
      </c>
      <c r="L45" s="57" t="str">
        <f>VLOOKUP(C45,'FIN CAL LOOKUP'!B:K,9,1)</f>
        <v>Q1, FY24</v>
      </c>
    </row>
    <row r="46" spans="1:12" x14ac:dyDescent="0.25">
      <c r="A46" t="s">
        <v>594</v>
      </c>
      <c r="B46" s="1">
        <v>45134.427083333336</v>
      </c>
      <c r="C46" s="1">
        <v>45134.42291666667</v>
      </c>
      <c r="D46" t="s">
        <v>413</v>
      </c>
      <c r="E46" t="s">
        <v>414</v>
      </c>
      <c r="F46" t="s">
        <v>353</v>
      </c>
      <c r="G46" t="s">
        <v>301</v>
      </c>
      <c r="H46" t="s">
        <v>302</v>
      </c>
      <c r="I46" t="s">
        <v>595</v>
      </c>
      <c r="J46" s="57" t="str">
        <f t="shared" si="0"/>
        <v>Anaconda DC</v>
      </c>
      <c r="K46" s="57" t="str">
        <f>VLOOKUP(C46,'FIN CAL LOOKUP'!A:J,7,1)</f>
        <v>AUG, FY24</v>
      </c>
      <c r="L46" s="57" t="str">
        <f>VLOOKUP(C46,'FIN CAL LOOKUP'!B:K,9,1)</f>
        <v>Q1, FY24</v>
      </c>
    </row>
    <row r="47" spans="1:12" x14ac:dyDescent="0.25">
      <c r="A47" t="s">
        <v>596</v>
      </c>
      <c r="B47" s="1">
        <v>45134.428472222222</v>
      </c>
      <c r="C47" s="1">
        <v>45134.427777777775</v>
      </c>
      <c r="D47" t="s">
        <v>413</v>
      </c>
      <c r="E47" t="s">
        <v>414</v>
      </c>
      <c r="F47" t="s">
        <v>353</v>
      </c>
      <c r="G47" t="s">
        <v>301</v>
      </c>
      <c r="H47" t="s">
        <v>302</v>
      </c>
      <c r="I47" t="s">
        <v>597</v>
      </c>
      <c r="J47" s="57" t="str">
        <f t="shared" si="0"/>
        <v>Anaconda DC</v>
      </c>
      <c r="K47" s="57" t="str">
        <f>VLOOKUP(C47,'FIN CAL LOOKUP'!A:J,7,1)</f>
        <v>AUG, FY24</v>
      </c>
      <c r="L47" s="57" t="str">
        <f>VLOOKUP(C47,'FIN CAL LOOKUP'!B:K,9,1)</f>
        <v>Q1, FY24</v>
      </c>
    </row>
    <row r="48" spans="1:12" x14ac:dyDescent="0.25">
      <c r="A48" t="s">
        <v>598</v>
      </c>
      <c r="B48" s="1">
        <v>45134.429861111108</v>
      </c>
      <c r="C48" s="1">
        <v>45134.428472222222</v>
      </c>
      <c r="D48" t="s">
        <v>413</v>
      </c>
      <c r="E48" t="s">
        <v>414</v>
      </c>
      <c r="F48" t="s">
        <v>353</v>
      </c>
      <c r="G48" t="s">
        <v>301</v>
      </c>
      <c r="H48" t="s">
        <v>302</v>
      </c>
      <c r="I48" t="s">
        <v>599</v>
      </c>
      <c r="J48" s="57" t="str">
        <f t="shared" si="0"/>
        <v>Anaconda DC</v>
      </c>
      <c r="K48" s="57" t="str">
        <f>VLOOKUP(C48,'FIN CAL LOOKUP'!A:J,7,1)</f>
        <v>AUG, FY24</v>
      </c>
      <c r="L48" s="57" t="str">
        <f>VLOOKUP(C48,'FIN CAL LOOKUP'!B:K,9,1)</f>
        <v>Q1, FY24</v>
      </c>
    </row>
    <row r="49" spans="1:12" x14ac:dyDescent="0.25">
      <c r="A49" t="s">
        <v>600</v>
      </c>
      <c r="B49" s="1">
        <v>45155.382638888892</v>
      </c>
      <c r="C49" s="1">
        <v>45139.380555555559</v>
      </c>
      <c r="D49" t="s">
        <v>413</v>
      </c>
      <c r="E49" t="s">
        <v>414</v>
      </c>
      <c r="F49" t="s">
        <v>353</v>
      </c>
      <c r="G49" t="s">
        <v>301</v>
      </c>
      <c r="H49" t="s">
        <v>302</v>
      </c>
      <c r="I49" t="s">
        <v>601</v>
      </c>
      <c r="J49" s="57" t="str">
        <f t="shared" si="0"/>
        <v>Anaconda DC</v>
      </c>
      <c r="K49" s="57" t="str">
        <f>VLOOKUP(C49,'FIN CAL LOOKUP'!A:J,7,1)</f>
        <v>AUG, FY24</v>
      </c>
      <c r="L49" s="57" t="str">
        <f>VLOOKUP(C49,'FIN CAL LOOKUP'!B:K,9,1)</f>
        <v>Q1, FY24</v>
      </c>
    </row>
    <row r="50" spans="1:12" x14ac:dyDescent="0.25">
      <c r="A50" t="s">
        <v>602</v>
      </c>
      <c r="B50" s="1">
        <v>45187.404166666667</v>
      </c>
      <c r="C50" s="1">
        <v>45187.354166666664</v>
      </c>
      <c r="D50" t="s">
        <v>416</v>
      </c>
      <c r="E50" t="s">
        <v>414</v>
      </c>
      <c r="F50" t="s">
        <v>353</v>
      </c>
      <c r="G50" t="s">
        <v>301</v>
      </c>
      <c r="H50" t="s">
        <v>298</v>
      </c>
      <c r="I50" t="s">
        <v>603</v>
      </c>
      <c r="J50" s="57" t="str">
        <f t="shared" si="0"/>
        <v>Anaconda DC</v>
      </c>
      <c r="K50" s="57" t="str">
        <f>VLOOKUP(C50,'FIN CAL LOOKUP'!A:J,7,1)</f>
        <v>SEP, FY24</v>
      </c>
      <c r="L50" s="57" t="str">
        <f>VLOOKUP(C50,'FIN CAL LOOKUP'!B:K,9,1)</f>
        <v>Q1, FY24</v>
      </c>
    </row>
    <row r="51" spans="1:12" x14ac:dyDescent="0.25">
      <c r="A51" t="s">
        <v>604</v>
      </c>
      <c r="B51" s="1">
        <v>45196.458333333336</v>
      </c>
      <c r="C51" s="1">
        <v>45195.456250000003</v>
      </c>
      <c r="D51" t="s">
        <v>413</v>
      </c>
      <c r="E51" t="s">
        <v>414</v>
      </c>
      <c r="F51" t="s">
        <v>353</v>
      </c>
      <c r="G51" t="s">
        <v>301</v>
      </c>
      <c r="H51" t="s">
        <v>302</v>
      </c>
      <c r="I51" t="s">
        <v>605</v>
      </c>
      <c r="J51" s="57" t="str">
        <f t="shared" si="0"/>
        <v>Anaconda DC</v>
      </c>
      <c r="K51" s="57" t="str">
        <f>VLOOKUP(C51,'FIN CAL LOOKUP'!A:J,7,1)</f>
        <v>OCT, FY24</v>
      </c>
      <c r="L51" s="57" t="str">
        <f>VLOOKUP(C51,'FIN CAL LOOKUP'!B:K,9,1)</f>
        <v>Q1, FY24</v>
      </c>
    </row>
    <row r="52" spans="1:12" x14ac:dyDescent="0.25">
      <c r="A52" t="s">
        <v>606</v>
      </c>
      <c r="B52" s="1">
        <v>45215.420138888891</v>
      </c>
      <c r="C52" s="1">
        <v>45211.419444444444</v>
      </c>
      <c r="D52" t="s">
        <v>413</v>
      </c>
      <c r="E52" t="s">
        <v>414</v>
      </c>
      <c r="F52" t="s">
        <v>353</v>
      </c>
      <c r="G52" t="s">
        <v>301</v>
      </c>
      <c r="H52" t="s">
        <v>302</v>
      </c>
      <c r="I52" t="s">
        <v>607</v>
      </c>
      <c r="J52" s="57" t="str">
        <f t="shared" si="0"/>
        <v>Anaconda DC</v>
      </c>
      <c r="K52" s="57" t="str">
        <f>VLOOKUP(C52,'FIN CAL LOOKUP'!A:J,7,1)</f>
        <v>OCT, FY24</v>
      </c>
      <c r="L52" s="57" t="str">
        <f>VLOOKUP(C52,'FIN CAL LOOKUP'!B:K,9,1)</f>
        <v>Q2, FY24</v>
      </c>
    </row>
    <row r="53" spans="1:12" x14ac:dyDescent="0.25">
      <c r="A53" t="s">
        <v>608</v>
      </c>
      <c r="B53" s="1">
        <v>45230.45208333333</v>
      </c>
      <c r="C53" s="1">
        <v>45230.444444444445</v>
      </c>
      <c r="D53" t="s">
        <v>416</v>
      </c>
      <c r="E53" t="s">
        <v>414</v>
      </c>
      <c r="F53" t="s">
        <v>353</v>
      </c>
      <c r="G53" t="s">
        <v>301</v>
      </c>
      <c r="H53" t="s">
        <v>302</v>
      </c>
      <c r="I53" t="s">
        <v>609</v>
      </c>
      <c r="J53" s="57" t="str">
        <f t="shared" si="0"/>
        <v>Anaconda DC</v>
      </c>
      <c r="K53" s="57" t="str">
        <f>VLOOKUP(C53,'FIN CAL LOOKUP'!A:J,7,1)</f>
        <v>NOV, FY24</v>
      </c>
      <c r="L53" s="57" t="str">
        <f>VLOOKUP(C53,'FIN CAL LOOKUP'!B:K,9,1)</f>
        <v>Q2, FY24</v>
      </c>
    </row>
    <row r="54" spans="1:12" x14ac:dyDescent="0.25">
      <c r="A54" t="s">
        <v>610</v>
      </c>
      <c r="B54" s="1">
        <v>45232.459722222222</v>
      </c>
      <c r="C54" s="1">
        <v>45232.381944444445</v>
      </c>
      <c r="D54" t="s">
        <v>416</v>
      </c>
      <c r="E54" t="s">
        <v>414</v>
      </c>
      <c r="F54" t="s">
        <v>353</v>
      </c>
      <c r="G54" t="s">
        <v>301</v>
      </c>
      <c r="H54" t="s">
        <v>302</v>
      </c>
      <c r="I54" t="s">
        <v>611</v>
      </c>
      <c r="J54" s="57" t="str">
        <f t="shared" si="0"/>
        <v>Anaconda DC</v>
      </c>
      <c r="K54" s="57" t="str">
        <f>VLOOKUP(C54,'FIN CAL LOOKUP'!A:J,7,1)</f>
        <v>NOV, FY24</v>
      </c>
      <c r="L54" s="57" t="str">
        <f>VLOOKUP(C54,'FIN CAL LOOKUP'!B:K,9,1)</f>
        <v>Q2, FY24</v>
      </c>
    </row>
    <row r="55" spans="1:12" x14ac:dyDescent="0.25">
      <c r="A55" t="s">
        <v>612</v>
      </c>
      <c r="B55" s="1">
        <v>45238.495833333334</v>
      </c>
      <c r="C55" s="1">
        <v>45238.369444444441</v>
      </c>
      <c r="D55" t="s">
        <v>413</v>
      </c>
      <c r="E55" t="s">
        <v>414</v>
      </c>
      <c r="F55" t="s">
        <v>353</v>
      </c>
      <c r="G55" t="s">
        <v>301</v>
      </c>
      <c r="H55" t="s">
        <v>302</v>
      </c>
      <c r="I55" t="s">
        <v>613</v>
      </c>
      <c r="J55" s="57" t="str">
        <f t="shared" si="0"/>
        <v>Anaconda DC</v>
      </c>
      <c r="K55" s="57" t="str">
        <f>VLOOKUP(C55,'FIN CAL LOOKUP'!A:J,7,1)</f>
        <v>NOV, FY24</v>
      </c>
      <c r="L55" s="57" t="str">
        <f>VLOOKUP(C55,'FIN CAL LOOKUP'!B:K,9,1)</f>
        <v>Q2, FY24</v>
      </c>
    </row>
    <row r="56" spans="1:12" x14ac:dyDescent="0.25">
      <c r="A56" t="s">
        <v>614</v>
      </c>
      <c r="B56" s="1">
        <v>45243.400694444441</v>
      </c>
      <c r="C56" s="1">
        <v>45241.354166666664</v>
      </c>
      <c r="D56" t="s">
        <v>416</v>
      </c>
      <c r="E56" t="s">
        <v>414</v>
      </c>
      <c r="F56" t="s">
        <v>353</v>
      </c>
      <c r="G56" t="s">
        <v>301</v>
      </c>
      <c r="H56" t="s">
        <v>298</v>
      </c>
      <c r="I56" t="s">
        <v>615</v>
      </c>
      <c r="J56" s="57" t="str">
        <f t="shared" si="0"/>
        <v>Anaconda DC</v>
      </c>
      <c r="K56" s="57" t="str">
        <f>VLOOKUP(C56,'FIN CAL LOOKUP'!A:J,7,1)</f>
        <v>NOV, FY24</v>
      </c>
      <c r="L56" s="57" t="str">
        <f>VLOOKUP(C56,'FIN CAL LOOKUP'!B:K,9,1)</f>
        <v>Q2, FY24</v>
      </c>
    </row>
    <row r="57" spans="1:12" x14ac:dyDescent="0.25">
      <c r="A57" t="s">
        <v>616</v>
      </c>
      <c r="B57" s="1">
        <v>45260.502083333333</v>
      </c>
      <c r="C57" s="1">
        <v>45260.333333333336</v>
      </c>
      <c r="D57" t="s">
        <v>34</v>
      </c>
      <c r="E57" t="s">
        <v>414</v>
      </c>
      <c r="F57" t="s">
        <v>353</v>
      </c>
      <c r="G57" t="s">
        <v>297</v>
      </c>
      <c r="H57" t="s">
        <v>302</v>
      </c>
      <c r="I57" t="s">
        <v>617</v>
      </c>
      <c r="J57" s="57" t="str">
        <f t="shared" si="0"/>
        <v>Anaconda DC</v>
      </c>
      <c r="K57" s="57" t="str">
        <f>VLOOKUP(C57,'FIN CAL LOOKUP'!A:J,7,1)</f>
        <v>DEC, FY24</v>
      </c>
      <c r="L57" s="57" t="str">
        <f>VLOOKUP(C57,'FIN CAL LOOKUP'!B:K,9,1)</f>
        <v>Q2, FY24</v>
      </c>
    </row>
    <row r="58" spans="1:12" x14ac:dyDescent="0.25">
      <c r="A58" t="s">
        <v>618</v>
      </c>
      <c r="B58" s="1">
        <v>45271.363194444442</v>
      </c>
      <c r="C58" s="1">
        <v>45268.354861111111</v>
      </c>
      <c r="D58" t="s">
        <v>416</v>
      </c>
      <c r="E58" t="s">
        <v>414</v>
      </c>
      <c r="F58" t="s">
        <v>353</v>
      </c>
      <c r="G58" t="s">
        <v>301</v>
      </c>
      <c r="H58" t="s">
        <v>298</v>
      </c>
      <c r="I58" t="s">
        <v>619</v>
      </c>
      <c r="J58" s="57" t="str">
        <f t="shared" si="0"/>
        <v>Anaconda DC</v>
      </c>
      <c r="K58" s="57" t="str">
        <f>VLOOKUP(C58,'FIN CAL LOOKUP'!A:J,7,1)</f>
        <v>DEC, FY24</v>
      </c>
      <c r="L58" s="57" t="str">
        <f>VLOOKUP(C58,'FIN CAL LOOKUP'!B:K,9,1)</f>
        <v>Q2, FY24</v>
      </c>
    </row>
    <row r="59" spans="1:12" x14ac:dyDescent="0.25">
      <c r="A59" t="s">
        <v>620</v>
      </c>
      <c r="B59" s="1">
        <v>45335.553472222222</v>
      </c>
      <c r="C59" s="1">
        <v>45335.543749999997</v>
      </c>
      <c r="D59" t="s">
        <v>82</v>
      </c>
      <c r="E59" t="s">
        <v>415</v>
      </c>
      <c r="F59" t="s">
        <v>353</v>
      </c>
      <c r="G59" t="s">
        <v>301</v>
      </c>
      <c r="I59" t="s">
        <v>621</v>
      </c>
      <c r="J59" s="57" t="str">
        <f t="shared" si="0"/>
        <v>Spotlight DC</v>
      </c>
      <c r="K59" s="57" t="str">
        <f>VLOOKUP(C59,'FIN CAL LOOKUP'!A:J,7,1)</f>
        <v>FEB, FY24</v>
      </c>
      <c r="L59" s="57" t="str">
        <f>VLOOKUP(C59,'FIN CAL LOOKUP'!B:K,9,1)</f>
        <v>Q3, FY24</v>
      </c>
    </row>
    <row r="60" spans="1:12" x14ac:dyDescent="0.25">
      <c r="A60" t="s">
        <v>622</v>
      </c>
      <c r="B60" s="1">
        <v>45335.576388888891</v>
      </c>
      <c r="C60" s="1">
        <v>45335.565972222219</v>
      </c>
      <c r="D60" t="s">
        <v>82</v>
      </c>
      <c r="E60" t="s">
        <v>415</v>
      </c>
      <c r="F60" t="s">
        <v>353</v>
      </c>
      <c r="G60" t="s">
        <v>301</v>
      </c>
      <c r="I60" t="s">
        <v>623</v>
      </c>
      <c r="J60" s="57" t="str">
        <f t="shared" si="0"/>
        <v>Spotlight DC</v>
      </c>
      <c r="K60" s="57" t="str">
        <f>VLOOKUP(C60,'FIN CAL LOOKUP'!A:J,7,1)</f>
        <v>FEB, FY24</v>
      </c>
      <c r="L60" s="57" t="str">
        <f>VLOOKUP(C60,'FIN CAL LOOKUP'!B:K,9,1)</f>
        <v>Q3, FY24</v>
      </c>
    </row>
    <row r="61" spans="1:12" x14ac:dyDescent="0.25">
      <c r="A61" t="s">
        <v>624</v>
      </c>
      <c r="B61" s="1">
        <v>45338.82916666667</v>
      </c>
      <c r="C61" s="1">
        <v>45328.520833333336</v>
      </c>
      <c r="D61" t="s">
        <v>417</v>
      </c>
      <c r="E61" t="s">
        <v>415</v>
      </c>
      <c r="F61" t="s">
        <v>353</v>
      </c>
      <c r="G61" t="s">
        <v>301</v>
      </c>
      <c r="H61" t="s">
        <v>302</v>
      </c>
      <c r="I61" t="s">
        <v>625</v>
      </c>
      <c r="J61" s="57" t="str">
        <f t="shared" si="0"/>
        <v>Spotlight DC</v>
      </c>
      <c r="K61" s="57" t="str">
        <f>VLOOKUP(C61,'FIN CAL LOOKUP'!A:J,7,1)</f>
        <v>FEB, FY24</v>
      </c>
      <c r="L61" s="57" t="str">
        <f>VLOOKUP(C61,'FIN CAL LOOKUP'!B:K,9,1)</f>
        <v>Q3, FY24</v>
      </c>
    </row>
    <row r="62" spans="1:12" x14ac:dyDescent="0.25">
      <c r="A62" t="s">
        <v>626</v>
      </c>
      <c r="B62" s="1">
        <v>45391.613194444442</v>
      </c>
      <c r="C62" s="1">
        <v>45385.326388888891</v>
      </c>
      <c r="D62" t="s">
        <v>416</v>
      </c>
      <c r="E62" t="s">
        <v>414</v>
      </c>
      <c r="F62" t="s">
        <v>353</v>
      </c>
      <c r="G62" t="s">
        <v>301</v>
      </c>
      <c r="H62" t="s">
        <v>298</v>
      </c>
      <c r="I62" t="s">
        <v>627</v>
      </c>
      <c r="J62" s="57" t="str">
        <f t="shared" si="0"/>
        <v>Anaconda DC</v>
      </c>
      <c r="K62" s="57" t="str">
        <f>VLOOKUP(C62,'FIN CAL LOOKUP'!A:J,7,1)</f>
        <v>APR, FY24</v>
      </c>
      <c r="L62" s="57" t="str">
        <f>VLOOKUP(C62,'FIN CAL LOOKUP'!B:K,9,1)</f>
        <v>Q4, FY24</v>
      </c>
    </row>
    <row r="63" spans="1:12" x14ac:dyDescent="0.25">
      <c r="A63" t="s">
        <v>628</v>
      </c>
      <c r="B63" s="1">
        <v>45392.587500000001</v>
      </c>
      <c r="C63" s="1">
        <v>45386.25</v>
      </c>
      <c r="D63" t="s">
        <v>417</v>
      </c>
      <c r="E63" t="s">
        <v>415</v>
      </c>
      <c r="F63" t="s">
        <v>353</v>
      </c>
      <c r="G63" t="s">
        <v>297</v>
      </c>
      <c r="H63" t="s">
        <v>302</v>
      </c>
      <c r="I63" t="s">
        <v>629</v>
      </c>
      <c r="J63" s="57" t="str">
        <f t="shared" si="0"/>
        <v>Spotlight DC</v>
      </c>
      <c r="K63" s="57" t="str">
        <f>VLOOKUP(C63,'FIN CAL LOOKUP'!A:J,7,1)</f>
        <v>APR, FY24</v>
      </c>
      <c r="L63" s="57" t="str">
        <f>VLOOKUP(C63,'FIN CAL LOOKUP'!B:K,9,1)</f>
        <v>Q4, FY24</v>
      </c>
    </row>
    <row r="64" spans="1:12" x14ac:dyDescent="0.25">
      <c r="A64" t="s">
        <v>630</v>
      </c>
      <c r="B64" s="1">
        <v>45392.59375</v>
      </c>
      <c r="C64" s="1">
        <v>45388.25</v>
      </c>
      <c r="D64" t="s">
        <v>417</v>
      </c>
      <c r="E64" t="s">
        <v>415</v>
      </c>
      <c r="F64" t="s">
        <v>353</v>
      </c>
      <c r="G64" t="s">
        <v>297</v>
      </c>
      <c r="H64" t="s">
        <v>302</v>
      </c>
      <c r="I64" t="s">
        <v>631</v>
      </c>
      <c r="J64" s="57" t="str">
        <f t="shared" si="0"/>
        <v>Spotlight DC</v>
      </c>
      <c r="K64" s="57" t="str">
        <f>VLOOKUP(C64,'FIN CAL LOOKUP'!A:J,7,1)</f>
        <v>APR, FY24</v>
      </c>
      <c r="L64" s="57" t="str">
        <f>VLOOKUP(C64,'FIN CAL LOOKUP'!B:K,9,1)</f>
        <v>Q4, FY24</v>
      </c>
    </row>
    <row r="65" spans="1:12" x14ac:dyDescent="0.25">
      <c r="A65" t="s">
        <v>632</v>
      </c>
      <c r="B65" s="1">
        <v>45392.689583333333</v>
      </c>
      <c r="C65" s="1">
        <v>45387.520833333336</v>
      </c>
      <c r="D65" t="s">
        <v>417</v>
      </c>
      <c r="E65" t="s">
        <v>415</v>
      </c>
      <c r="F65" t="s">
        <v>353</v>
      </c>
      <c r="G65" t="s">
        <v>633</v>
      </c>
      <c r="H65" t="s">
        <v>302</v>
      </c>
      <c r="I65" t="s">
        <v>634</v>
      </c>
      <c r="J65" s="57" t="str">
        <f t="shared" si="0"/>
        <v>Spotlight DC</v>
      </c>
      <c r="K65" s="57" t="str">
        <f>VLOOKUP(C65,'FIN CAL LOOKUP'!A:J,7,1)</f>
        <v>APR, FY24</v>
      </c>
      <c r="L65" s="57" t="str">
        <f>VLOOKUP(C65,'FIN CAL LOOKUP'!B:K,9,1)</f>
        <v>Q4, FY24</v>
      </c>
    </row>
    <row r="66" spans="1:12" x14ac:dyDescent="0.25">
      <c r="A66" t="s">
        <v>635</v>
      </c>
      <c r="B66" s="1">
        <v>45394.581250000003</v>
      </c>
      <c r="C66" s="1">
        <v>45394.541666666664</v>
      </c>
      <c r="D66" t="s">
        <v>417</v>
      </c>
      <c r="E66" t="s">
        <v>415</v>
      </c>
      <c r="F66" t="s">
        <v>353</v>
      </c>
      <c r="G66" t="s">
        <v>301</v>
      </c>
      <c r="H66" t="s">
        <v>298</v>
      </c>
      <c r="I66" t="s">
        <v>636</v>
      </c>
      <c r="J66" s="57" t="str">
        <f t="shared" si="0"/>
        <v>Spotlight DC</v>
      </c>
      <c r="K66" s="57" t="str">
        <f>VLOOKUP(C66,'FIN CAL LOOKUP'!A:J,7,1)</f>
        <v>APR, FY24</v>
      </c>
      <c r="L66" s="57" t="str">
        <f>VLOOKUP(C66,'FIN CAL LOOKUP'!B:K,9,1)</f>
        <v>Q4, FY24</v>
      </c>
    </row>
    <row r="67" spans="1:12" x14ac:dyDescent="0.25">
      <c r="A67" t="s">
        <v>637</v>
      </c>
      <c r="B67" s="1">
        <v>45394.586805555555</v>
      </c>
      <c r="C67" s="1">
        <v>45394.541666666664</v>
      </c>
      <c r="D67" t="s">
        <v>417</v>
      </c>
      <c r="E67" t="s">
        <v>415</v>
      </c>
      <c r="F67" t="s">
        <v>353</v>
      </c>
      <c r="G67" t="s">
        <v>297</v>
      </c>
      <c r="H67" t="s">
        <v>298</v>
      </c>
      <c r="I67" t="s">
        <v>638</v>
      </c>
      <c r="J67" s="57" t="str">
        <f t="shared" ref="J67:J99" si="1">IF(OR(F67="HS2057 SUNSHINE DC",F67="S812  Harris Scarfe DC",F67="S813 HS Dark Store",E67="MICHELLE SLOVIK",E67="BREA ROLLINSON",E67="LJUBICA MITRESKA"),"Harris Scarfe DC",IF(OR(F67="S810 Anaconda DC",E67="THOMAS WILLIAMS"),"Anaconda DC",IF(F67="S811 Spotlight DC","Spotlight DC","Spotlight DC")))</f>
        <v>Spotlight DC</v>
      </c>
      <c r="K67" s="57" t="str">
        <f>VLOOKUP(C67,'FIN CAL LOOKUP'!A:J,7,1)</f>
        <v>APR, FY24</v>
      </c>
      <c r="L67" s="57" t="str">
        <f>VLOOKUP(C67,'FIN CAL LOOKUP'!B:K,9,1)</f>
        <v>Q4, FY24</v>
      </c>
    </row>
    <row r="68" spans="1:12" x14ac:dyDescent="0.25">
      <c r="A68" t="s">
        <v>639</v>
      </c>
      <c r="B68" s="1">
        <v>45400.592361111114</v>
      </c>
      <c r="C68" s="1">
        <v>45400.588194444441</v>
      </c>
      <c r="D68" t="s">
        <v>44</v>
      </c>
      <c r="E68" t="s">
        <v>415</v>
      </c>
      <c r="F68" t="s">
        <v>353</v>
      </c>
      <c r="G68" t="s">
        <v>301</v>
      </c>
      <c r="H68" t="s">
        <v>302</v>
      </c>
      <c r="I68" t="s">
        <v>640</v>
      </c>
      <c r="J68" s="57" t="str">
        <f t="shared" si="1"/>
        <v>Spotlight DC</v>
      </c>
      <c r="K68" s="57" t="str">
        <f>VLOOKUP(C68,'FIN CAL LOOKUP'!A:J,7,1)</f>
        <v>APR, FY24</v>
      </c>
      <c r="L68" s="57" t="str">
        <f>VLOOKUP(C68,'FIN CAL LOOKUP'!B:K,9,1)</f>
        <v>Q4, FY24</v>
      </c>
    </row>
    <row r="69" spans="1:12" x14ac:dyDescent="0.25">
      <c r="A69" t="s">
        <v>641</v>
      </c>
      <c r="B69" s="1">
        <v>45406.313194444447</v>
      </c>
      <c r="C69" s="1">
        <v>45406.306250000001</v>
      </c>
      <c r="D69" t="s">
        <v>44</v>
      </c>
      <c r="E69" t="s">
        <v>415</v>
      </c>
      <c r="F69" t="s">
        <v>353</v>
      </c>
      <c r="G69" t="s">
        <v>301</v>
      </c>
      <c r="H69" t="s">
        <v>302</v>
      </c>
      <c r="I69" t="s">
        <v>642</v>
      </c>
      <c r="J69" s="57" t="str">
        <f t="shared" si="1"/>
        <v>Spotlight DC</v>
      </c>
      <c r="K69" s="57" t="str">
        <f>VLOOKUP(C69,'FIN CAL LOOKUP'!A:J,7,1)</f>
        <v>MAY, FY24</v>
      </c>
      <c r="L69" s="57" t="str">
        <f>VLOOKUP(C69,'FIN CAL LOOKUP'!B:K,9,1)</f>
        <v>Q4, FY24</v>
      </c>
    </row>
    <row r="70" spans="1:12" x14ac:dyDescent="0.25">
      <c r="A70" t="s">
        <v>643</v>
      </c>
      <c r="B70" s="1">
        <v>45415.54583333333</v>
      </c>
      <c r="C70" s="1">
        <v>45415.517361111109</v>
      </c>
      <c r="D70" t="s">
        <v>82</v>
      </c>
      <c r="E70" t="s">
        <v>415</v>
      </c>
      <c r="F70" t="s">
        <v>353</v>
      </c>
      <c r="G70" t="s">
        <v>301</v>
      </c>
      <c r="H70" t="s">
        <v>298</v>
      </c>
      <c r="I70" t="s">
        <v>644</v>
      </c>
      <c r="J70" s="57" t="str">
        <f t="shared" si="1"/>
        <v>Spotlight DC</v>
      </c>
      <c r="K70" s="57" t="str">
        <f>VLOOKUP(C70,'FIN CAL LOOKUP'!A:J,7,1)</f>
        <v>MAY, FY24</v>
      </c>
      <c r="L70" s="57" t="str">
        <f>VLOOKUP(C70,'FIN CAL LOOKUP'!B:K,9,1)</f>
        <v>Q4, FY24</v>
      </c>
    </row>
    <row r="71" spans="1:12" x14ac:dyDescent="0.25">
      <c r="A71" t="s">
        <v>296</v>
      </c>
      <c r="B71" s="1">
        <v>45420.590277777781</v>
      </c>
      <c r="C71" s="1">
        <v>45419.708333333336</v>
      </c>
      <c r="D71" t="s">
        <v>17</v>
      </c>
      <c r="E71" t="s">
        <v>415</v>
      </c>
      <c r="F71" t="s">
        <v>12</v>
      </c>
      <c r="G71" t="s">
        <v>297</v>
      </c>
      <c r="H71" t="s">
        <v>298</v>
      </c>
      <c r="I71" t="s">
        <v>299</v>
      </c>
      <c r="J71" s="57" t="str">
        <f t="shared" si="1"/>
        <v>Spotlight DC</v>
      </c>
      <c r="K71" s="57" t="str">
        <f>VLOOKUP(C71,'FIN CAL LOOKUP'!A:J,7,1)</f>
        <v>MAY, FY24</v>
      </c>
      <c r="L71" s="57" t="str">
        <f>VLOOKUP(C71,'FIN CAL LOOKUP'!B:K,9,1)</f>
        <v>Q4, FY24</v>
      </c>
    </row>
    <row r="72" spans="1:12" x14ac:dyDescent="0.25">
      <c r="A72" t="s">
        <v>645</v>
      </c>
      <c r="B72" s="1">
        <v>45421.616666666669</v>
      </c>
      <c r="C72" s="1">
        <v>45421.395833333336</v>
      </c>
      <c r="D72" t="s">
        <v>82</v>
      </c>
      <c r="E72" t="s">
        <v>415</v>
      </c>
      <c r="F72" t="s">
        <v>353</v>
      </c>
      <c r="G72" t="s">
        <v>301</v>
      </c>
      <c r="H72" t="s">
        <v>302</v>
      </c>
      <c r="I72" t="s">
        <v>646</v>
      </c>
      <c r="J72" s="57" t="str">
        <f t="shared" si="1"/>
        <v>Spotlight DC</v>
      </c>
      <c r="K72" s="57" t="str">
        <f>VLOOKUP(C72,'FIN CAL LOOKUP'!A:J,7,1)</f>
        <v>MAY, FY24</v>
      </c>
      <c r="L72" s="57" t="str">
        <f>VLOOKUP(C72,'FIN CAL LOOKUP'!B:K,9,1)</f>
        <v>Q4, FY24</v>
      </c>
    </row>
    <row r="73" spans="1:12" x14ac:dyDescent="0.25">
      <c r="A73" t="s">
        <v>647</v>
      </c>
      <c r="B73" s="1">
        <v>45436.627083333333</v>
      </c>
      <c r="C73" s="1">
        <v>45436.615972222222</v>
      </c>
      <c r="D73" t="s">
        <v>25</v>
      </c>
      <c r="E73" t="s">
        <v>82</v>
      </c>
      <c r="F73" t="s">
        <v>353</v>
      </c>
      <c r="G73" t="s">
        <v>301</v>
      </c>
      <c r="H73" t="s">
        <v>302</v>
      </c>
      <c r="I73" t="s">
        <v>648</v>
      </c>
      <c r="J73" s="57" t="str">
        <f t="shared" si="1"/>
        <v>Harris Scarfe DC</v>
      </c>
      <c r="K73" s="57" t="str">
        <f>VLOOKUP(C73,'FIN CAL LOOKUP'!A:J,7,1)</f>
        <v>MAY, FY24</v>
      </c>
      <c r="L73" s="57" t="str">
        <f>VLOOKUP(C73,'FIN CAL LOOKUP'!B:K,9,1)</f>
        <v>Q4, FY24</v>
      </c>
    </row>
    <row r="74" spans="1:12" x14ac:dyDescent="0.25">
      <c r="A74" t="s">
        <v>300</v>
      </c>
      <c r="B74" s="1">
        <v>45441.606249999997</v>
      </c>
      <c r="C74" s="1">
        <v>45441.57916666667</v>
      </c>
      <c r="D74" t="s">
        <v>25</v>
      </c>
      <c r="E74" t="s">
        <v>82</v>
      </c>
      <c r="F74" t="s">
        <v>26</v>
      </c>
      <c r="G74" t="s">
        <v>301</v>
      </c>
      <c r="H74" t="s">
        <v>302</v>
      </c>
      <c r="I74" t="s">
        <v>303</v>
      </c>
      <c r="J74" s="57" t="str">
        <f t="shared" si="1"/>
        <v>Harris Scarfe DC</v>
      </c>
      <c r="K74" s="57" t="str">
        <f>VLOOKUP(C74,'FIN CAL LOOKUP'!A:J,7,1)</f>
        <v>JUN, FY24</v>
      </c>
      <c r="L74" s="57" t="str">
        <f>VLOOKUP(C74,'FIN CAL LOOKUP'!B:K,9,1)</f>
        <v>Q4, FY24</v>
      </c>
    </row>
    <row r="75" spans="1:12" x14ac:dyDescent="0.25">
      <c r="A75" t="s">
        <v>649</v>
      </c>
      <c r="B75" s="1">
        <v>45491.459722222222</v>
      </c>
      <c r="C75" s="1">
        <v>45491.443055555559</v>
      </c>
      <c r="D75" t="s">
        <v>82</v>
      </c>
      <c r="E75" t="s">
        <v>415</v>
      </c>
      <c r="F75" t="s">
        <v>353</v>
      </c>
      <c r="G75" t="s">
        <v>301</v>
      </c>
      <c r="H75" t="s">
        <v>302</v>
      </c>
      <c r="I75" t="s">
        <v>650</v>
      </c>
      <c r="J75" s="57" t="str">
        <f t="shared" si="1"/>
        <v>Spotlight DC</v>
      </c>
      <c r="K75" s="57" t="str">
        <f>VLOOKUP(C75,'FIN CAL LOOKUP'!A:J,7,1)</f>
        <v>JUL, FY25</v>
      </c>
      <c r="L75" s="57" t="str">
        <f>VLOOKUP(C75,'FIN CAL LOOKUP'!B:K,9,1)</f>
        <v>Q1, FY25</v>
      </c>
    </row>
    <row r="76" spans="1:12" x14ac:dyDescent="0.25">
      <c r="A76" t="s">
        <v>651</v>
      </c>
      <c r="B76" s="1">
        <v>45503.465277777781</v>
      </c>
      <c r="C76" s="1">
        <v>45503.463194444441</v>
      </c>
      <c r="D76" t="s">
        <v>50</v>
      </c>
      <c r="E76" t="s">
        <v>414</v>
      </c>
      <c r="F76" t="s">
        <v>353</v>
      </c>
      <c r="G76" t="s">
        <v>301</v>
      </c>
      <c r="H76" t="s">
        <v>302</v>
      </c>
      <c r="I76" t="s">
        <v>652</v>
      </c>
      <c r="J76" s="57" t="str">
        <f t="shared" si="1"/>
        <v>Anaconda DC</v>
      </c>
      <c r="K76" s="57" t="str">
        <f>VLOOKUP(C76,'FIN CAL LOOKUP'!A:J,7,1)</f>
        <v>AUG, FY25</v>
      </c>
      <c r="L76" s="57" t="str">
        <f>VLOOKUP(C76,'FIN CAL LOOKUP'!B:K,9,1)</f>
        <v>Q1, FY25</v>
      </c>
    </row>
    <row r="77" spans="1:12" x14ac:dyDescent="0.25">
      <c r="A77" t="s">
        <v>304</v>
      </c>
      <c r="B77" s="1">
        <v>45532.683333333334</v>
      </c>
      <c r="C77" s="1">
        <v>45532.656944444447</v>
      </c>
      <c r="D77" t="s">
        <v>73</v>
      </c>
      <c r="E77" t="s">
        <v>415</v>
      </c>
      <c r="F77" t="s">
        <v>12</v>
      </c>
      <c r="G77" t="s">
        <v>301</v>
      </c>
      <c r="H77" t="s">
        <v>302</v>
      </c>
      <c r="I77" t="s">
        <v>305</v>
      </c>
      <c r="J77" s="57" t="str">
        <f t="shared" si="1"/>
        <v>Spotlight DC</v>
      </c>
      <c r="K77" s="57" t="str">
        <f>VLOOKUP(C77,'FIN CAL LOOKUP'!A:J,7,1)</f>
        <v>AUG, FY25</v>
      </c>
      <c r="L77" s="57" t="str">
        <f>VLOOKUP(C77,'FIN CAL LOOKUP'!B:K,9,1)</f>
        <v>Q1, FY25</v>
      </c>
    </row>
    <row r="78" spans="1:12" x14ac:dyDescent="0.25">
      <c r="A78" t="s">
        <v>306</v>
      </c>
      <c r="B78" s="1">
        <v>45537.705555555556</v>
      </c>
      <c r="C78" s="1">
        <v>45537.645833333336</v>
      </c>
      <c r="D78" t="s">
        <v>73</v>
      </c>
      <c r="E78" t="s">
        <v>415</v>
      </c>
      <c r="F78" t="s">
        <v>12</v>
      </c>
      <c r="G78" t="s">
        <v>301</v>
      </c>
      <c r="H78" t="s">
        <v>302</v>
      </c>
      <c r="I78" t="s">
        <v>307</v>
      </c>
      <c r="J78" s="57" t="str">
        <f t="shared" si="1"/>
        <v>Spotlight DC</v>
      </c>
      <c r="K78" s="57" t="str">
        <f>VLOOKUP(C78,'FIN CAL LOOKUP'!A:J,7,1)</f>
        <v>SEP, FY25</v>
      </c>
      <c r="L78" s="57" t="str">
        <f>VLOOKUP(C78,'FIN CAL LOOKUP'!B:K,9,1)</f>
        <v>Q1, FY25</v>
      </c>
    </row>
    <row r="79" spans="1:12" x14ac:dyDescent="0.25">
      <c r="A79" t="s">
        <v>653</v>
      </c>
      <c r="B79" s="1">
        <v>45546.620833333334</v>
      </c>
      <c r="C79" s="1">
        <v>45545.677083333336</v>
      </c>
      <c r="D79" t="s">
        <v>483</v>
      </c>
      <c r="E79" t="s">
        <v>483</v>
      </c>
      <c r="F79" t="s">
        <v>353</v>
      </c>
      <c r="G79" t="s">
        <v>301</v>
      </c>
      <c r="H79" t="s">
        <v>298</v>
      </c>
      <c r="I79" t="s">
        <v>654</v>
      </c>
      <c r="J79" s="57" t="str">
        <f t="shared" si="1"/>
        <v>Spotlight DC</v>
      </c>
      <c r="K79" s="57" t="str">
        <f>VLOOKUP(C79,'FIN CAL LOOKUP'!A:J,7,1)</f>
        <v>SEP, FY25</v>
      </c>
      <c r="L79" s="57" t="str">
        <f>VLOOKUP(C79,'FIN CAL LOOKUP'!B:K,9,1)</f>
        <v>Q1, FY25</v>
      </c>
    </row>
    <row r="80" spans="1:12" x14ac:dyDescent="0.25">
      <c r="A80" t="s">
        <v>308</v>
      </c>
      <c r="B80" s="1">
        <v>45555.443749999999</v>
      </c>
      <c r="C80" s="1">
        <v>45555.435416666667</v>
      </c>
      <c r="D80" t="s">
        <v>41</v>
      </c>
      <c r="E80" t="s">
        <v>414</v>
      </c>
      <c r="F80" t="s">
        <v>35</v>
      </c>
      <c r="G80" t="s">
        <v>301</v>
      </c>
      <c r="H80" t="s">
        <v>302</v>
      </c>
      <c r="I80" t="s">
        <v>309</v>
      </c>
      <c r="J80" s="57" t="str">
        <f t="shared" si="1"/>
        <v>Anaconda DC</v>
      </c>
      <c r="K80" s="57" t="str">
        <f>VLOOKUP(C80,'FIN CAL LOOKUP'!A:J,7,1)</f>
        <v>SEP, FY25</v>
      </c>
      <c r="L80" s="57" t="str">
        <f>VLOOKUP(C80,'FIN CAL LOOKUP'!B:K,9,1)</f>
        <v>Q1, FY25</v>
      </c>
    </row>
    <row r="81" spans="1:12" x14ac:dyDescent="0.25">
      <c r="A81" t="s">
        <v>310</v>
      </c>
      <c r="B81" s="1">
        <v>45568.479166666664</v>
      </c>
      <c r="C81" s="1">
        <v>45568.470833333333</v>
      </c>
      <c r="D81" t="s">
        <v>41</v>
      </c>
      <c r="E81" t="s">
        <v>414</v>
      </c>
      <c r="F81" t="s">
        <v>35</v>
      </c>
      <c r="G81" t="s">
        <v>301</v>
      </c>
      <c r="H81" t="s">
        <v>302</v>
      </c>
      <c r="I81" t="s">
        <v>311</v>
      </c>
      <c r="J81" s="57" t="str">
        <f t="shared" si="1"/>
        <v>Anaconda DC</v>
      </c>
      <c r="K81" s="57" t="str">
        <f>VLOOKUP(C81,'FIN CAL LOOKUP'!A:J,7,1)</f>
        <v>OCT, FY25</v>
      </c>
      <c r="L81" s="57" t="str">
        <f>VLOOKUP(C81,'FIN CAL LOOKUP'!B:K,9,1)</f>
        <v>Q1, FY25</v>
      </c>
    </row>
    <row r="82" spans="1:12" x14ac:dyDescent="0.25">
      <c r="A82" t="s">
        <v>312</v>
      </c>
      <c r="B82" s="1">
        <v>45593.363888888889</v>
      </c>
      <c r="C82" s="1">
        <v>45593.35833333333</v>
      </c>
      <c r="D82" t="s">
        <v>62</v>
      </c>
      <c r="E82" t="s">
        <v>415</v>
      </c>
      <c r="F82" t="s">
        <v>12</v>
      </c>
      <c r="G82" t="s">
        <v>301</v>
      </c>
      <c r="H82" t="s">
        <v>302</v>
      </c>
      <c r="I82" t="s">
        <v>313</v>
      </c>
      <c r="J82" s="57" t="str">
        <f t="shared" si="1"/>
        <v>Spotlight DC</v>
      </c>
      <c r="K82" s="57" t="str">
        <f>VLOOKUP(C82,'FIN CAL LOOKUP'!A:J,7,1)</f>
        <v>NOV, FY25</v>
      </c>
      <c r="L82" s="57" t="str">
        <f>VLOOKUP(C82,'FIN CAL LOOKUP'!B:K,9,1)</f>
        <v>Q2, FY25</v>
      </c>
    </row>
    <row r="83" spans="1:12" x14ac:dyDescent="0.25">
      <c r="A83" t="s">
        <v>314</v>
      </c>
      <c r="B83" s="1">
        <v>45594.818055555559</v>
      </c>
      <c r="C83" s="1">
        <v>45594.814583333333</v>
      </c>
      <c r="D83" t="s">
        <v>123</v>
      </c>
      <c r="E83" t="s">
        <v>415</v>
      </c>
      <c r="F83" t="s">
        <v>35</v>
      </c>
      <c r="G83" t="s">
        <v>301</v>
      </c>
      <c r="H83" t="s">
        <v>302</v>
      </c>
      <c r="I83" t="s">
        <v>315</v>
      </c>
      <c r="J83" s="57" t="str">
        <f t="shared" si="1"/>
        <v>Anaconda DC</v>
      </c>
      <c r="K83" s="57" t="str">
        <f>VLOOKUP(C83,'FIN CAL LOOKUP'!A:J,7,1)</f>
        <v>NOV, FY25</v>
      </c>
      <c r="L83" s="57" t="str">
        <f>VLOOKUP(C83,'FIN CAL LOOKUP'!B:K,9,1)</f>
        <v>Q2, FY25</v>
      </c>
    </row>
    <row r="84" spans="1:12" x14ac:dyDescent="0.25">
      <c r="A84" t="s">
        <v>316</v>
      </c>
      <c r="B84" s="1">
        <v>45596.54791666667</v>
      </c>
      <c r="C84" s="1">
        <v>45596.531944444447</v>
      </c>
      <c r="D84" t="s">
        <v>41</v>
      </c>
      <c r="E84" t="s">
        <v>414</v>
      </c>
      <c r="F84" t="s">
        <v>35</v>
      </c>
      <c r="G84" t="s">
        <v>301</v>
      </c>
      <c r="H84" t="s">
        <v>302</v>
      </c>
      <c r="I84" t="s">
        <v>317</v>
      </c>
      <c r="J84" s="57" t="str">
        <f t="shared" si="1"/>
        <v>Anaconda DC</v>
      </c>
      <c r="K84" s="57" t="str">
        <f>VLOOKUP(C84,'FIN CAL LOOKUP'!A:J,7,1)</f>
        <v>NOV, FY25</v>
      </c>
      <c r="L84" s="57" t="str">
        <f>VLOOKUP(C84,'FIN CAL LOOKUP'!B:K,9,1)</f>
        <v>Q2, FY25</v>
      </c>
    </row>
    <row r="85" spans="1:12" x14ac:dyDescent="0.25">
      <c r="A85" t="s">
        <v>318</v>
      </c>
      <c r="B85" s="1">
        <v>45602.552083333336</v>
      </c>
      <c r="C85" s="1">
        <v>45602.540972222225</v>
      </c>
      <c r="D85" t="s">
        <v>41</v>
      </c>
      <c r="E85" t="s">
        <v>414</v>
      </c>
      <c r="F85" t="s">
        <v>35</v>
      </c>
      <c r="G85" t="s">
        <v>301</v>
      </c>
      <c r="H85" t="s">
        <v>302</v>
      </c>
      <c r="I85" t="s">
        <v>319</v>
      </c>
      <c r="J85" s="57" t="str">
        <f t="shared" si="1"/>
        <v>Anaconda DC</v>
      </c>
      <c r="K85" s="57" t="str">
        <f>VLOOKUP(C85,'FIN CAL LOOKUP'!A:J,7,1)</f>
        <v>NOV, FY25</v>
      </c>
      <c r="L85" s="57" t="str">
        <f>VLOOKUP(C85,'FIN CAL LOOKUP'!B:K,9,1)</f>
        <v>Q2, FY25</v>
      </c>
    </row>
    <row r="86" spans="1:12" x14ac:dyDescent="0.25">
      <c r="A86" t="s">
        <v>320</v>
      </c>
      <c r="B86" s="1">
        <v>45603.387499999997</v>
      </c>
      <c r="C86" s="1">
        <v>45603.356249999997</v>
      </c>
      <c r="D86" t="s">
        <v>41</v>
      </c>
      <c r="E86" t="s">
        <v>414</v>
      </c>
      <c r="F86" t="s">
        <v>35</v>
      </c>
      <c r="G86" t="s">
        <v>301</v>
      </c>
      <c r="H86" t="s">
        <v>302</v>
      </c>
      <c r="I86" t="s">
        <v>321</v>
      </c>
      <c r="J86" s="57" t="str">
        <f t="shared" si="1"/>
        <v>Anaconda DC</v>
      </c>
      <c r="K86" s="57" t="str">
        <f>VLOOKUP(C86,'FIN CAL LOOKUP'!A:J,7,1)</f>
        <v>NOV, FY25</v>
      </c>
      <c r="L86" s="57" t="str">
        <f>VLOOKUP(C86,'FIN CAL LOOKUP'!B:K,9,1)</f>
        <v>Q2, FY25</v>
      </c>
    </row>
    <row r="87" spans="1:12" x14ac:dyDescent="0.25">
      <c r="A87" t="s">
        <v>322</v>
      </c>
      <c r="B87" s="1">
        <v>45625.438888888886</v>
      </c>
      <c r="C87" s="1">
        <v>45625.361111111109</v>
      </c>
      <c r="D87" t="s">
        <v>62</v>
      </c>
      <c r="E87" t="s">
        <v>415</v>
      </c>
      <c r="F87" t="s">
        <v>12</v>
      </c>
      <c r="G87" t="s">
        <v>301</v>
      </c>
      <c r="H87" t="s">
        <v>302</v>
      </c>
      <c r="I87" t="s">
        <v>323</v>
      </c>
      <c r="J87" s="57" t="str">
        <f t="shared" si="1"/>
        <v>Spotlight DC</v>
      </c>
      <c r="K87" s="57" t="str">
        <f>VLOOKUP(C87,'FIN CAL LOOKUP'!A:J,7,1)</f>
        <v>NOV, FY25</v>
      </c>
      <c r="L87" s="57" t="str">
        <f>VLOOKUP(C87,'FIN CAL LOOKUP'!B:K,9,1)</f>
        <v>Q2, FY25</v>
      </c>
    </row>
    <row r="88" spans="1:12" x14ac:dyDescent="0.25">
      <c r="A88" t="s">
        <v>324</v>
      </c>
      <c r="B88" s="1">
        <v>45638.658333333333</v>
      </c>
      <c r="C88" s="1">
        <v>45623.652777777781</v>
      </c>
      <c r="D88" t="s">
        <v>73</v>
      </c>
      <c r="E88" t="s">
        <v>415</v>
      </c>
      <c r="F88" t="s">
        <v>12</v>
      </c>
      <c r="G88" t="s">
        <v>301</v>
      </c>
      <c r="H88" t="s">
        <v>302</v>
      </c>
      <c r="I88" t="s">
        <v>325</v>
      </c>
      <c r="J88" s="57" t="str">
        <f t="shared" si="1"/>
        <v>Spotlight DC</v>
      </c>
      <c r="K88" s="57" t="str">
        <f>VLOOKUP(C88,'FIN CAL LOOKUP'!A:J,7,1)</f>
        <v>NOV, FY25</v>
      </c>
      <c r="L88" s="57" t="str">
        <f>VLOOKUP(C88,'FIN CAL LOOKUP'!B:K,9,1)</f>
        <v>Q2, FY25</v>
      </c>
    </row>
    <row r="89" spans="1:12" x14ac:dyDescent="0.25">
      <c r="A89" t="s">
        <v>326</v>
      </c>
      <c r="B89" s="1">
        <v>45643.331944444442</v>
      </c>
      <c r="C89" s="1">
        <v>45642.458333333336</v>
      </c>
      <c r="D89" t="s">
        <v>34</v>
      </c>
      <c r="E89" t="s">
        <v>414</v>
      </c>
      <c r="F89" t="s">
        <v>35</v>
      </c>
      <c r="G89" t="s">
        <v>301</v>
      </c>
      <c r="H89" t="s">
        <v>302</v>
      </c>
      <c r="I89" t="s">
        <v>327</v>
      </c>
      <c r="J89" s="57" t="str">
        <f t="shared" si="1"/>
        <v>Anaconda DC</v>
      </c>
      <c r="K89" s="57" t="str">
        <f>VLOOKUP(C89,'FIN CAL LOOKUP'!A:J,7,1)</f>
        <v>DEC, FY25</v>
      </c>
      <c r="L89" s="57" t="str">
        <f>VLOOKUP(C89,'FIN CAL LOOKUP'!B:K,9,1)</f>
        <v>Q2, FY25</v>
      </c>
    </row>
    <row r="90" spans="1:12" x14ac:dyDescent="0.25">
      <c r="A90" t="s">
        <v>328</v>
      </c>
      <c r="B90" s="1">
        <v>45643.345138888886</v>
      </c>
      <c r="C90" s="1">
        <v>45621.708333333336</v>
      </c>
      <c r="D90" t="s">
        <v>34</v>
      </c>
      <c r="E90" t="s">
        <v>414</v>
      </c>
      <c r="F90" t="s">
        <v>35</v>
      </c>
      <c r="G90" t="s">
        <v>301</v>
      </c>
      <c r="H90" t="s">
        <v>302</v>
      </c>
      <c r="I90" t="s">
        <v>329</v>
      </c>
      <c r="J90" s="57" t="str">
        <f t="shared" si="1"/>
        <v>Anaconda DC</v>
      </c>
      <c r="K90" s="57" t="str">
        <f>VLOOKUP(C90,'FIN CAL LOOKUP'!A:J,7,1)</f>
        <v>NOV, FY25</v>
      </c>
      <c r="L90" s="57" t="str">
        <f>VLOOKUP(C90,'FIN CAL LOOKUP'!B:K,9,1)</f>
        <v>Q2, FY25</v>
      </c>
    </row>
    <row r="91" spans="1:12" x14ac:dyDescent="0.25">
      <c r="A91" t="s">
        <v>330</v>
      </c>
      <c r="B91" s="1">
        <v>45670.819444444445</v>
      </c>
      <c r="C91" s="1">
        <v>45670.816666666666</v>
      </c>
      <c r="D91" t="s">
        <v>73</v>
      </c>
      <c r="E91" t="s">
        <v>415</v>
      </c>
      <c r="F91" t="s">
        <v>12</v>
      </c>
      <c r="G91" t="s">
        <v>297</v>
      </c>
      <c r="H91" t="s">
        <v>302</v>
      </c>
      <c r="I91" t="s">
        <v>331</v>
      </c>
      <c r="J91" s="57" t="str">
        <f t="shared" si="1"/>
        <v>Spotlight DC</v>
      </c>
      <c r="K91" s="57" t="str">
        <f>VLOOKUP(C91,'FIN CAL LOOKUP'!A:J,7,1)</f>
        <v>JAN, FY25</v>
      </c>
      <c r="L91" s="57" t="str">
        <f>VLOOKUP(C91,'FIN CAL LOOKUP'!B:K,9,1)</f>
        <v>Q3, FY25</v>
      </c>
    </row>
    <row r="92" spans="1:12" x14ac:dyDescent="0.25">
      <c r="A92" t="s">
        <v>332</v>
      </c>
      <c r="B92" s="1">
        <v>45674.364583333336</v>
      </c>
      <c r="C92" s="1">
        <v>45670.352083333331</v>
      </c>
      <c r="D92" t="s">
        <v>152</v>
      </c>
      <c r="E92" t="s">
        <v>415</v>
      </c>
      <c r="F92" t="s">
        <v>12</v>
      </c>
      <c r="G92" t="s">
        <v>301</v>
      </c>
      <c r="H92" t="s">
        <v>302</v>
      </c>
      <c r="I92" t="s">
        <v>333</v>
      </c>
      <c r="J92" s="57" t="str">
        <f t="shared" si="1"/>
        <v>Spotlight DC</v>
      </c>
      <c r="K92" s="57" t="str">
        <f>VLOOKUP(C92,'FIN CAL LOOKUP'!A:J,7,1)</f>
        <v>JAN, FY25</v>
      </c>
      <c r="L92" s="57" t="str">
        <f>VLOOKUP(C92,'FIN CAL LOOKUP'!B:K,9,1)</f>
        <v>Q3, FY25</v>
      </c>
    </row>
    <row r="93" spans="1:12" x14ac:dyDescent="0.25">
      <c r="A93" t="s">
        <v>334</v>
      </c>
      <c r="B93" s="1">
        <v>45695.593055555553</v>
      </c>
      <c r="C93" s="1">
        <v>45695.587500000001</v>
      </c>
      <c r="D93" t="s">
        <v>25</v>
      </c>
      <c r="E93" t="s">
        <v>82</v>
      </c>
      <c r="F93" t="s">
        <v>8</v>
      </c>
      <c r="G93" t="s">
        <v>301</v>
      </c>
      <c r="H93" t="s">
        <v>302</v>
      </c>
      <c r="I93" t="s">
        <v>335</v>
      </c>
      <c r="J93" s="57" t="str">
        <f t="shared" si="1"/>
        <v>Harris Scarfe DC</v>
      </c>
      <c r="K93" s="57" t="str">
        <f>VLOOKUP(C93,'FIN CAL LOOKUP'!A:J,7,1)</f>
        <v>FEB, FY25</v>
      </c>
      <c r="L93" s="57" t="str">
        <f>VLOOKUP(C93,'FIN CAL LOOKUP'!B:K,9,1)</f>
        <v>Q3, FY25</v>
      </c>
    </row>
    <row r="94" spans="1:12" x14ac:dyDescent="0.25">
      <c r="A94" t="s">
        <v>336</v>
      </c>
      <c r="B94" s="1">
        <v>45695.60833333333</v>
      </c>
      <c r="C94" s="1">
        <v>45695.601388888892</v>
      </c>
      <c r="D94" t="s">
        <v>25</v>
      </c>
      <c r="E94" t="s">
        <v>82</v>
      </c>
      <c r="F94" t="s">
        <v>8</v>
      </c>
      <c r="G94" t="s">
        <v>301</v>
      </c>
      <c r="H94" t="s">
        <v>302</v>
      </c>
      <c r="I94" t="s">
        <v>337</v>
      </c>
      <c r="J94" s="57" t="str">
        <f t="shared" si="1"/>
        <v>Harris Scarfe DC</v>
      </c>
      <c r="K94" s="57" t="str">
        <f>VLOOKUP(C94,'FIN CAL LOOKUP'!A:J,7,1)</f>
        <v>FEB, FY25</v>
      </c>
      <c r="L94" s="57" t="str">
        <f>VLOOKUP(C94,'FIN CAL LOOKUP'!B:K,9,1)</f>
        <v>Q3, FY25</v>
      </c>
    </row>
    <row r="95" spans="1:12" x14ac:dyDescent="0.25">
      <c r="A95" t="s">
        <v>338</v>
      </c>
      <c r="B95" s="1">
        <v>45695.614583333336</v>
      </c>
      <c r="C95" s="1">
        <v>45695.609722222223</v>
      </c>
      <c r="D95" t="s">
        <v>25</v>
      </c>
      <c r="E95" t="s">
        <v>82</v>
      </c>
      <c r="F95" t="s">
        <v>8</v>
      </c>
      <c r="G95" t="s">
        <v>301</v>
      </c>
      <c r="H95" t="s">
        <v>302</v>
      </c>
      <c r="I95" t="s">
        <v>339</v>
      </c>
      <c r="J95" s="57" t="str">
        <f t="shared" si="1"/>
        <v>Harris Scarfe DC</v>
      </c>
      <c r="K95" s="57" t="str">
        <f>VLOOKUP(C95,'FIN CAL LOOKUP'!A:J,7,1)</f>
        <v>FEB, FY25</v>
      </c>
      <c r="L95" s="57" t="str">
        <f>VLOOKUP(C95,'FIN CAL LOOKUP'!B:K,9,1)</f>
        <v>Q3, FY25</v>
      </c>
    </row>
    <row r="96" spans="1:12" x14ac:dyDescent="0.25">
      <c r="A96" t="s">
        <v>340</v>
      </c>
      <c r="B96" s="1">
        <v>45706.910416666666</v>
      </c>
      <c r="C96" s="1">
        <v>45706.90902777778</v>
      </c>
      <c r="D96" t="s">
        <v>73</v>
      </c>
      <c r="E96" t="s">
        <v>463</v>
      </c>
      <c r="F96" t="s">
        <v>12</v>
      </c>
      <c r="G96" t="s">
        <v>297</v>
      </c>
      <c r="H96" t="s">
        <v>302</v>
      </c>
      <c r="I96" t="s">
        <v>341</v>
      </c>
      <c r="J96" s="57" t="str">
        <f t="shared" si="1"/>
        <v>Spotlight DC</v>
      </c>
      <c r="K96" s="57" t="str">
        <f>VLOOKUP(C96,'FIN CAL LOOKUP'!A:J,7,1)</f>
        <v>FEB, FY25</v>
      </c>
      <c r="L96" s="57" t="str">
        <f>VLOOKUP(C96,'FIN CAL LOOKUP'!B:K,9,1)</f>
        <v>Q3, FY25</v>
      </c>
    </row>
    <row r="97" spans="1:12" x14ac:dyDescent="0.25">
      <c r="A97" t="s">
        <v>342</v>
      </c>
      <c r="B97" s="1">
        <v>45707.444444444445</v>
      </c>
      <c r="C97" s="1">
        <v>45707.442361111112</v>
      </c>
      <c r="D97" t="s">
        <v>50</v>
      </c>
      <c r="E97" t="s">
        <v>414</v>
      </c>
      <c r="F97" t="s">
        <v>51</v>
      </c>
      <c r="G97" t="s">
        <v>301</v>
      </c>
      <c r="H97" t="s">
        <v>302</v>
      </c>
      <c r="I97" t="s">
        <v>343</v>
      </c>
      <c r="J97" s="57" t="str">
        <f t="shared" si="1"/>
        <v>Harris Scarfe DC</v>
      </c>
      <c r="K97" s="57" t="str">
        <f>VLOOKUP(C97,'FIN CAL LOOKUP'!A:J,7,1)</f>
        <v>FEB, FY25</v>
      </c>
      <c r="L97" s="57" t="str">
        <f>VLOOKUP(C97,'FIN CAL LOOKUP'!B:K,9,1)</f>
        <v>Q3, FY25</v>
      </c>
    </row>
    <row r="98" spans="1:12" x14ac:dyDescent="0.25">
      <c r="A98" t="s">
        <v>655</v>
      </c>
      <c r="B98" s="1">
        <v>45719.552083333336</v>
      </c>
      <c r="C98" s="1">
        <v>45719.364583333336</v>
      </c>
      <c r="D98" t="s">
        <v>82</v>
      </c>
      <c r="E98" t="s">
        <v>415</v>
      </c>
      <c r="F98" t="s">
        <v>353</v>
      </c>
      <c r="G98" t="s">
        <v>301</v>
      </c>
      <c r="I98" t="s">
        <v>656</v>
      </c>
      <c r="J98" s="57" t="str">
        <f t="shared" si="1"/>
        <v>Spotlight DC</v>
      </c>
      <c r="K98" s="57" t="str">
        <f>VLOOKUP(C98,'FIN CAL LOOKUP'!A:J,7,1)</f>
        <v>MAR, FY25</v>
      </c>
      <c r="L98" s="57" t="str">
        <f>VLOOKUP(C98,'FIN CAL LOOKUP'!B:K,9,1)</f>
        <v>Q3, FY25</v>
      </c>
    </row>
    <row r="99" spans="1:12" x14ac:dyDescent="0.25">
      <c r="A99" t="s">
        <v>344</v>
      </c>
      <c r="B99" s="1">
        <v>45736.765277777777</v>
      </c>
      <c r="C99" s="1">
        <v>45736.758333333331</v>
      </c>
      <c r="D99" t="s">
        <v>73</v>
      </c>
      <c r="E99" t="s">
        <v>463</v>
      </c>
      <c r="F99" t="s">
        <v>12</v>
      </c>
      <c r="G99" t="s">
        <v>301</v>
      </c>
      <c r="H99" t="s">
        <v>302</v>
      </c>
      <c r="I99" t="s">
        <v>345</v>
      </c>
      <c r="J99" s="57" t="str">
        <f t="shared" si="1"/>
        <v>Spotlight DC</v>
      </c>
      <c r="K99" s="57" t="str">
        <f>VLOOKUP(C99,'FIN CAL LOOKUP'!A:J,7,1)</f>
        <v>MAR, FY25</v>
      </c>
      <c r="L99" s="57" t="str">
        <f>VLOOKUP(C99,'FIN CAL LOOKUP'!B:K,9,1)</f>
        <v>Q3, FY25</v>
      </c>
    </row>
  </sheetData>
  <autoFilter ref="A1:L99" xr:uid="{B1FAD7A2-50D8-4CC1-9B59-9079C028EC3D}"/>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21B0D-02DB-44CC-A1FD-9AAC332FB27F}">
  <sheetPr>
    <tabColor theme="9"/>
  </sheetPr>
  <dimension ref="A1:C32"/>
  <sheetViews>
    <sheetView workbookViewId="0"/>
  </sheetViews>
  <sheetFormatPr defaultRowHeight="15" x14ac:dyDescent="0.25"/>
  <cols>
    <col min="1" max="1" width="25.5703125" customWidth="1"/>
    <col min="2" max="2" width="18.5703125" customWidth="1"/>
  </cols>
  <sheetData>
    <row r="1" spans="1:3" x14ac:dyDescent="0.25">
      <c r="A1" s="41" t="s">
        <v>482</v>
      </c>
      <c r="B1" s="41" t="s">
        <v>255</v>
      </c>
      <c r="C1" s="41" t="s">
        <v>352</v>
      </c>
    </row>
    <row r="2" spans="1:3" x14ac:dyDescent="0.25">
      <c r="A2" t="s">
        <v>47</v>
      </c>
      <c r="B2" t="s">
        <v>263</v>
      </c>
      <c r="C2" t="s">
        <v>353</v>
      </c>
    </row>
    <row r="3" spans="1:3" x14ac:dyDescent="0.25">
      <c r="A3" t="s">
        <v>82</v>
      </c>
      <c r="B3" t="s">
        <v>265</v>
      </c>
      <c r="C3" t="s">
        <v>353</v>
      </c>
    </row>
    <row r="4" spans="1:3" x14ac:dyDescent="0.25">
      <c r="A4" t="s">
        <v>483</v>
      </c>
      <c r="B4" t="s">
        <v>263</v>
      </c>
      <c r="C4" t="s">
        <v>353</v>
      </c>
    </row>
    <row r="5" spans="1:3" x14ac:dyDescent="0.25">
      <c r="A5" t="s">
        <v>484</v>
      </c>
      <c r="B5" t="s">
        <v>263</v>
      </c>
      <c r="C5" t="s">
        <v>353</v>
      </c>
    </row>
    <row r="6" spans="1:3" x14ac:dyDescent="0.25">
      <c r="A6" t="s">
        <v>485</v>
      </c>
      <c r="B6" t="s">
        <v>263</v>
      </c>
      <c r="C6" t="s">
        <v>353</v>
      </c>
    </row>
    <row r="7" spans="1:3" x14ac:dyDescent="0.25">
      <c r="A7" t="s">
        <v>486</v>
      </c>
      <c r="B7" t="s">
        <v>263</v>
      </c>
      <c r="C7" t="s">
        <v>353</v>
      </c>
    </row>
    <row r="8" spans="1:3" x14ac:dyDescent="0.25">
      <c r="A8" t="s">
        <v>487</v>
      </c>
      <c r="B8" t="s">
        <v>263</v>
      </c>
      <c r="C8" t="s">
        <v>353</v>
      </c>
    </row>
    <row r="9" spans="1:3" x14ac:dyDescent="0.25">
      <c r="A9" t="s">
        <v>460</v>
      </c>
      <c r="B9" t="s">
        <v>263</v>
      </c>
      <c r="C9" t="s">
        <v>353</v>
      </c>
    </row>
    <row r="10" spans="1:3" x14ac:dyDescent="0.25">
      <c r="A10" t="s">
        <v>488</v>
      </c>
      <c r="B10" t="s">
        <v>263</v>
      </c>
      <c r="C10" t="s">
        <v>353</v>
      </c>
    </row>
    <row r="11" spans="1:3" x14ac:dyDescent="0.25">
      <c r="A11" t="s">
        <v>489</v>
      </c>
      <c r="B11" t="s">
        <v>265</v>
      </c>
      <c r="C11" t="s">
        <v>353</v>
      </c>
    </row>
    <row r="12" spans="1:3" x14ac:dyDescent="0.25">
      <c r="A12" t="s">
        <v>490</v>
      </c>
      <c r="B12" t="s">
        <v>263</v>
      </c>
      <c r="C12" t="s">
        <v>353</v>
      </c>
    </row>
    <row r="13" spans="1:3" x14ac:dyDescent="0.25">
      <c r="A13" t="s">
        <v>491</v>
      </c>
      <c r="B13" t="s">
        <v>263</v>
      </c>
      <c r="C13" t="s">
        <v>353</v>
      </c>
    </row>
    <row r="14" spans="1:3" x14ac:dyDescent="0.25">
      <c r="A14" t="s">
        <v>415</v>
      </c>
      <c r="B14" t="s">
        <v>263</v>
      </c>
      <c r="C14" t="s">
        <v>353</v>
      </c>
    </row>
    <row r="15" spans="1:3" x14ac:dyDescent="0.25">
      <c r="A15" t="s">
        <v>414</v>
      </c>
      <c r="B15" t="s">
        <v>264</v>
      </c>
      <c r="C15" t="s">
        <v>353</v>
      </c>
    </row>
    <row r="16" spans="1:3" x14ac:dyDescent="0.25">
      <c r="A16" t="s">
        <v>492</v>
      </c>
      <c r="B16" t="s">
        <v>263</v>
      </c>
      <c r="C16" t="s">
        <v>353</v>
      </c>
    </row>
    <row r="17" spans="1:3" x14ac:dyDescent="0.25">
      <c r="A17" t="s">
        <v>463</v>
      </c>
      <c r="B17" t="s">
        <v>263</v>
      </c>
      <c r="C17" t="s">
        <v>353</v>
      </c>
    </row>
    <row r="18" spans="1:3" x14ac:dyDescent="0.25">
      <c r="A18" t="s">
        <v>493</v>
      </c>
      <c r="B18" t="s">
        <v>263</v>
      </c>
      <c r="C18" t="s">
        <v>353</v>
      </c>
    </row>
    <row r="19" spans="1:3" x14ac:dyDescent="0.25">
      <c r="A19" t="s">
        <v>494</v>
      </c>
      <c r="B19" t="s">
        <v>263</v>
      </c>
      <c r="C19" t="s">
        <v>353</v>
      </c>
    </row>
    <row r="20" spans="1:3" x14ac:dyDescent="0.25">
      <c r="A20" t="s">
        <v>476</v>
      </c>
      <c r="B20" t="s">
        <v>263</v>
      </c>
      <c r="C20" t="s">
        <v>353</v>
      </c>
    </row>
    <row r="21" spans="1:3" x14ac:dyDescent="0.25">
      <c r="A21" t="s">
        <v>495</v>
      </c>
      <c r="B21" t="s">
        <v>263</v>
      </c>
      <c r="C21" t="s">
        <v>353</v>
      </c>
    </row>
    <row r="22" spans="1:3" x14ac:dyDescent="0.25">
      <c r="A22" t="s">
        <v>496</v>
      </c>
      <c r="B22" t="s">
        <v>265</v>
      </c>
      <c r="C22" t="s">
        <v>353</v>
      </c>
    </row>
    <row r="23" spans="1:3" x14ac:dyDescent="0.25">
      <c r="A23" t="s">
        <v>497</v>
      </c>
      <c r="B23" t="s">
        <v>263</v>
      </c>
      <c r="C23" t="s">
        <v>353</v>
      </c>
    </row>
    <row r="24" spans="1:3" x14ac:dyDescent="0.25">
      <c r="A24" t="s">
        <v>498</v>
      </c>
      <c r="B24" t="s">
        <v>263</v>
      </c>
      <c r="C24" t="s">
        <v>353</v>
      </c>
    </row>
    <row r="25" spans="1:3" x14ac:dyDescent="0.25">
      <c r="A25" t="s">
        <v>450</v>
      </c>
      <c r="B25" t="s">
        <v>263</v>
      </c>
      <c r="C25" t="s">
        <v>353</v>
      </c>
    </row>
    <row r="26" spans="1:3" x14ac:dyDescent="0.25">
      <c r="A26" t="s">
        <v>499</v>
      </c>
      <c r="B26" t="s">
        <v>263</v>
      </c>
      <c r="C26" t="s">
        <v>353</v>
      </c>
    </row>
    <row r="27" spans="1:3" x14ac:dyDescent="0.25">
      <c r="A27" t="s">
        <v>500</v>
      </c>
      <c r="B27" t="s">
        <v>263</v>
      </c>
      <c r="C27" t="s">
        <v>353</v>
      </c>
    </row>
    <row r="28" spans="1:3" x14ac:dyDescent="0.25">
      <c r="A28" t="s">
        <v>501</v>
      </c>
      <c r="B28" t="s">
        <v>263</v>
      </c>
      <c r="C28" t="s">
        <v>353</v>
      </c>
    </row>
    <row r="29" spans="1:3" x14ac:dyDescent="0.25">
      <c r="A29" t="s">
        <v>417</v>
      </c>
      <c r="B29" t="s">
        <v>263</v>
      </c>
      <c r="C29" t="s">
        <v>353</v>
      </c>
    </row>
    <row r="30" spans="1:3" x14ac:dyDescent="0.25">
      <c r="A30" t="s">
        <v>449</v>
      </c>
      <c r="B30" t="s">
        <v>263</v>
      </c>
      <c r="C30" t="s">
        <v>353</v>
      </c>
    </row>
    <row r="31" spans="1:3" x14ac:dyDescent="0.25">
      <c r="A31" t="s">
        <v>502</v>
      </c>
      <c r="B31" t="s">
        <v>263</v>
      </c>
      <c r="C31" t="s">
        <v>353</v>
      </c>
    </row>
    <row r="32" spans="1:3" x14ac:dyDescent="0.25">
      <c r="A32" t="s">
        <v>503</v>
      </c>
      <c r="B32" t="s">
        <v>263</v>
      </c>
      <c r="C32" t="s">
        <v>353</v>
      </c>
    </row>
  </sheetData>
  <autoFilter ref="A1:B1" xr:uid="{D9021B0D-02DB-44CC-A1FD-9AAC332FB27F}"/>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8B780-7013-40CD-A29E-2DD2C235A8F9}">
  <sheetPr>
    <tabColor theme="6"/>
  </sheetPr>
  <dimension ref="A1:J419"/>
  <sheetViews>
    <sheetView workbookViewId="0">
      <selection activeCell="H37" sqref="H37"/>
    </sheetView>
  </sheetViews>
  <sheetFormatPr defaultRowHeight="15" x14ac:dyDescent="0.25"/>
  <cols>
    <col min="1" max="2" width="13.140625" style="1" customWidth="1"/>
    <col min="3" max="6" width="11.85546875" style="2" customWidth="1"/>
    <col min="7" max="7" width="21.7109375" style="2" customWidth="1"/>
    <col min="8" max="8" width="26.28515625" style="2" bestFit="1" customWidth="1"/>
    <col min="9" max="9" width="26.28515625" style="2" customWidth="1"/>
    <col min="10" max="10" width="19.85546875" style="2" customWidth="1"/>
  </cols>
  <sheetData>
    <row r="1" spans="1:10" x14ac:dyDescent="0.25">
      <c r="A1" s="1" t="s">
        <v>171</v>
      </c>
      <c r="B1" s="1" t="s">
        <v>172</v>
      </c>
      <c r="C1" s="2" t="s">
        <v>173</v>
      </c>
      <c r="D1" s="2" t="s">
        <v>174</v>
      </c>
      <c r="E1" s="2" t="s">
        <v>175</v>
      </c>
      <c r="F1" s="2" t="s">
        <v>176</v>
      </c>
      <c r="G1" s="2" t="s">
        <v>177</v>
      </c>
      <c r="H1" s="2" t="s">
        <v>178</v>
      </c>
      <c r="I1" s="2" t="s">
        <v>179</v>
      </c>
      <c r="J1" s="2" t="s">
        <v>180</v>
      </c>
    </row>
    <row r="2" spans="1:10" x14ac:dyDescent="0.25">
      <c r="A2" s="1">
        <v>43276</v>
      </c>
      <c r="B2" s="1">
        <f>A2+6</f>
        <v>43282</v>
      </c>
      <c r="C2" s="2" t="s">
        <v>181</v>
      </c>
      <c r="D2" s="2" t="s">
        <v>182</v>
      </c>
      <c r="E2" s="2">
        <v>1</v>
      </c>
      <c r="F2" s="2" t="s">
        <v>183</v>
      </c>
      <c r="G2" s="2" t="str">
        <f>Table13[[#This Row],[Month]]&amp;", "&amp;Table13[[#This Row],[FY]]</f>
        <v>JUL, FY19</v>
      </c>
      <c r="H2" s="2" t="str">
        <f>Table13[[#This Row],[Week]]&amp;", "&amp;Table13[[#This Row],[Month]]&amp;" "&amp;Table13[[#This Row],[FY]]</f>
        <v>Week 1, JUL FY19</v>
      </c>
      <c r="I2" s="2" t="str">
        <f>Table13[[#This Row],[Month]]&amp;", "&amp;Table13[[#This Row],[FY]]</f>
        <v>JUL, FY19</v>
      </c>
      <c r="J2" s="2" t="str">
        <f>"Q"&amp;Table13[[#This Row],[QTR]]&amp;", "&amp;Table13[[#This Row],[FY]]</f>
        <v>Q1, FY19</v>
      </c>
    </row>
    <row r="3" spans="1:10" x14ac:dyDescent="0.25">
      <c r="A3" s="1">
        <f t="shared" ref="A3:B18" si="0">A2+7</f>
        <v>43283</v>
      </c>
      <c r="B3" s="1">
        <f t="shared" si="0"/>
        <v>43289</v>
      </c>
      <c r="C3" s="2" t="s">
        <v>184</v>
      </c>
      <c r="D3" s="2" t="s">
        <v>182</v>
      </c>
      <c r="E3" s="2">
        <v>1</v>
      </c>
      <c r="F3" s="2" t="s">
        <v>183</v>
      </c>
      <c r="G3" s="2" t="str">
        <f>Table13[[#This Row],[Month]]&amp;", "&amp;Table13[[#This Row],[FY]]</f>
        <v>JUL, FY19</v>
      </c>
      <c r="H3" s="2" t="str">
        <f>Table13[[#This Row],[Week]]&amp;", "&amp;Table13[[#This Row],[Month]]&amp;" "&amp;Table13[[#This Row],[FY]]</f>
        <v>Week 2, JUL FY19</v>
      </c>
      <c r="I3" s="2" t="str">
        <f>Table13[[#This Row],[Month]]&amp;", "&amp;Table13[[#This Row],[FY]]</f>
        <v>JUL, FY19</v>
      </c>
      <c r="J3" s="2" t="str">
        <f>"Q"&amp;Table13[[#This Row],[QTR]]&amp;", "&amp;Table13[[#This Row],[FY]]</f>
        <v>Q1, FY19</v>
      </c>
    </row>
    <row r="4" spans="1:10" x14ac:dyDescent="0.25">
      <c r="A4" s="1">
        <f t="shared" si="0"/>
        <v>43290</v>
      </c>
      <c r="B4" s="1">
        <f t="shared" si="0"/>
        <v>43296</v>
      </c>
      <c r="C4" s="2" t="s">
        <v>185</v>
      </c>
      <c r="D4" s="2" t="s">
        <v>182</v>
      </c>
      <c r="E4" s="2">
        <v>1</v>
      </c>
      <c r="F4" s="2" t="s">
        <v>183</v>
      </c>
      <c r="G4" s="2" t="str">
        <f>Table13[[#This Row],[Month]]&amp;", "&amp;Table13[[#This Row],[FY]]</f>
        <v>JUL, FY19</v>
      </c>
      <c r="H4" s="2" t="str">
        <f>Table13[[#This Row],[Week]]&amp;", "&amp;Table13[[#This Row],[Month]]&amp;" "&amp;Table13[[#This Row],[FY]]</f>
        <v>Week 3, JUL FY19</v>
      </c>
      <c r="I4" s="2" t="str">
        <f>Table13[[#This Row],[Month]]&amp;", "&amp;Table13[[#This Row],[FY]]</f>
        <v>JUL, FY19</v>
      </c>
      <c r="J4" s="2" t="str">
        <f>"Q"&amp;Table13[[#This Row],[QTR]]&amp;", "&amp;Table13[[#This Row],[FY]]</f>
        <v>Q1, FY19</v>
      </c>
    </row>
    <row r="5" spans="1:10" x14ac:dyDescent="0.25">
      <c r="A5" s="1">
        <f t="shared" si="0"/>
        <v>43297</v>
      </c>
      <c r="B5" s="1">
        <f t="shared" si="0"/>
        <v>43303</v>
      </c>
      <c r="C5" s="2" t="s">
        <v>186</v>
      </c>
      <c r="D5" s="2" t="s">
        <v>182</v>
      </c>
      <c r="E5" s="2">
        <v>1</v>
      </c>
      <c r="F5" s="2" t="s">
        <v>183</v>
      </c>
      <c r="G5" s="2" t="str">
        <f>Table13[[#This Row],[Month]]&amp;", "&amp;Table13[[#This Row],[FY]]</f>
        <v>JUL, FY19</v>
      </c>
      <c r="H5" s="2" t="str">
        <f>Table13[[#This Row],[Week]]&amp;", "&amp;Table13[[#This Row],[Month]]&amp;" "&amp;Table13[[#This Row],[FY]]</f>
        <v>Week 4, JUL FY19</v>
      </c>
      <c r="I5" s="2" t="str">
        <f>Table13[[#This Row],[Month]]&amp;", "&amp;Table13[[#This Row],[FY]]</f>
        <v>JUL, FY19</v>
      </c>
      <c r="J5" s="2" t="str">
        <f>"Q"&amp;Table13[[#This Row],[QTR]]&amp;", "&amp;Table13[[#This Row],[FY]]</f>
        <v>Q1, FY19</v>
      </c>
    </row>
    <row r="6" spans="1:10" x14ac:dyDescent="0.25">
      <c r="A6" s="1">
        <f t="shared" si="0"/>
        <v>43304</v>
      </c>
      <c r="B6" s="1">
        <f t="shared" si="0"/>
        <v>43310</v>
      </c>
      <c r="C6" s="2" t="s">
        <v>187</v>
      </c>
      <c r="D6" s="2" t="s">
        <v>188</v>
      </c>
      <c r="E6" s="2">
        <v>1</v>
      </c>
      <c r="F6" s="2" t="s">
        <v>183</v>
      </c>
      <c r="G6" s="2" t="str">
        <f>Table13[[#This Row],[Month]]&amp;", "&amp;Table13[[#This Row],[FY]]</f>
        <v>AUG, FY19</v>
      </c>
      <c r="H6" s="2" t="str">
        <f>Table13[[#This Row],[Week]]&amp;", "&amp;Table13[[#This Row],[Month]]&amp;" "&amp;Table13[[#This Row],[FY]]</f>
        <v>Week 5, AUG FY19</v>
      </c>
      <c r="I6" s="2" t="str">
        <f>Table13[[#This Row],[Month]]&amp;", "&amp;Table13[[#This Row],[FY]]</f>
        <v>AUG, FY19</v>
      </c>
      <c r="J6" s="2" t="str">
        <f>"Q"&amp;Table13[[#This Row],[QTR]]&amp;", "&amp;Table13[[#This Row],[FY]]</f>
        <v>Q1, FY19</v>
      </c>
    </row>
    <row r="7" spans="1:10" x14ac:dyDescent="0.25">
      <c r="A7" s="1">
        <f t="shared" si="0"/>
        <v>43311</v>
      </c>
      <c r="B7" s="1">
        <f t="shared" si="0"/>
        <v>43317</v>
      </c>
      <c r="C7" s="2" t="s">
        <v>189</v>
      </c>
      <c r="D7" s="2" t="s">
        <v>188</v>
      </c>
      <c r="E7" s="2">
        <v>1</v>
      </c>
      <c r="F7" s="2" t="s">
        <v>183</v>
      </c>
      <c r="G7" s="2" t="str">
        <f>Table13[[#This Row],[Month]]&amp;", "&amp;Table13[[#This Row],[FY]]</f>
        <v>AUG, FY19</v>
      </c>
      <c r="H7" s="2" t="str">
        <f>Table13[[#This Row],[Week]]&amp;", "&amp;Table13[[#This Row],[Month]]&amp;" "&amp;Table13[[#This Row],[FY]]</f>
        <v>Week 6, AUG FY19</v>
      </c>
      <c r="I7" s="2" t="str">
        <f>Table13[[#This Row],[Month]]&amp;", "&amp;Table13[[#This Row],[FY]]</f>
        <v>AUG, FY19</v>
      </c>
      <c r="J7" s="2" t="str">
        <f>"Q"&amp;Table13[[#This Row],[QTR]]&amp;", "&amp;Table13[[#This Row],[FY]]</f>
        <v>Q1, FY19</v>
      </c>
    </row>
    <row r="8" spans="1:10" x14ac:dyDescent="0.25">
      <c r="A8" s="1">
        <f t="shared" si="0"/>
        <v>43318</v>
      </c>
      <c r="B8" s="1">
        <f t="shared" si="0"/>
        <v>43324</v>
      </c>
      <c r="C8" s="2" t="s">
        <v>190</v>
      </c>
      <c r="D8" s="2" t="s">
        <v>188</v>
      </c>
      <c r="E8" s="2">
        <v>1</v>
      </c>
      <c r="F8" s="2" t="s">
        <v>183</v>
      </c>
      <c r="G8" s="2" t="str">
        <f>Table13[[#This Row],[Month]]&amp;", "&amp;Table13[[#This Row],[FY]]</f>
        <v>AUG, FY19</v>
      </c>
      <c r="H8" s="2" t="str">
        <f>Table13[[#This Row],[Week]]&amp;", "&amp;Table13[[#This Row],[Month]]&amp;" "&amp;Table13[[#This Row],[FY]]</f>
        <v>Week 7, AUG FY19</v>
      </c>
      <c r="I8" s="2" t="str">
        <f>Table13[[#This Row],[Month]]&amp;", "&amp;Table13[[#This Row],[FY]]</f>
        <v>AUG, FY19</v>
      </c>
      <c r="J8" s="2" t="str">
        <f>"Q"&amp;Table13[[#This Row],[QTR]]&amp;", "&amp;Table13[[#This Row],[FY]]</f>
        <v>Q1, FY19</v>
      </c>
    </row>
    <row r="9" spans="1:10" x14ac:dyDescent="0.25">
      <c r="A9" s="1">
        <f t="shared" si="0"/>
        <v>43325</v>
      </c>
      <c r="B9" s="1">
        <f t="shared" si="0"/>
        <v>43331</v>
      </c>
      <c r="C9" s="2" t="s">
        <v>191</v>
      </c>
      <c r="D9" s="2" t="s">
        <v>188</v>
      </c>
      <c r="E9" s="2">
        <v>1</v>
      </c>
      <c r="F9" s="2" t="s">
        <v>183</v>
      </c>
      <c r="G9" s="2" t="str">
        <f>Table13[[#This Row],[Month]]&amp;", "&amp;Table13[[#This Row],[FY]]</f>
        <v>AUG, FY19</v>
      </c>
      <c r="H9" s="2" t="str">
        <f>Table13[[#This Row],[Week]]&amp;", "&amp;Table13[[#This Row],[Month]]&amp;" "&amp;Table13[[#This Row],[FY]]</f>
        <v>Week 8, AUG FY19</v>
      </c>
      <c r="I9" s="2" t="str">
        <f>Table13[[#This Row],[Month]]&amp;", "&amp;Table13[[#This Row],[FY]]</f>
        <v>AUG, FY19</v>
      </c>
      <c r="J9" s="2" t="str">
        <f>"Q"&amp;Table13[[#This Row],[QTR]]&amp;", "&amp;Table13[[#This Row],[FY]]</f>
        <v>Q1, FY19</v>
      </c>
    </row>
    <row r="10" spans="1:10" x14ac:dyDescent="0.25">
      <c r="A10" s="1">
        <f t="shared" si="0"/>
        <v>43332</v>
      </c>
      <c r="B10" s="1">
        <f t="shared" si="0"/>
        <v>43338</v>
      </c>
      <c r="C10" s="2" t="s">
        <v>192</v>
      </c>
      <c r="D10" s="2" t="s">
        <v>188</v>
      </c>
      <c r="E10" s="2">
        <v>1</v>
      </c>
      <c r="F10" s="2" t="s">
        <v>183</v>
      </c>
      <c r="G10" s="2" t="str">
        <f>Table13[[#This Row],[Month]]&amp;", "&amp;Table13[[#This Row],[FY]]</f>
        <v>AUG, FY19</v>
      </c>
      <c r="H10" s="2" t="str">
        <f>Table13[[#This Row],[Week]]&amp;", "&amp;Table13[[#This Row],[Month]]&amp;" "&amp;Table13[[#This Row],[FY]]</f>
        <v>Week 9, AUG FY19</v>
      </c>
      <c r="I10" s="2" t="str">
        <f>Table13[[#This Row],[Month]]&amp;", "&amp;Table13[[#This Row],[FY]]</f>
        <v>AUG, FY19</v>
      </c>
      <c r="J10" s="2" t="str">
        <f>"Q"&amp;Table13[[#This Row],[QTR]]&amp;", "&amp;Table13[[#This Row],[FY]]</f>
        <v>Q1, FY19</v>
      </c>
    </row>
    <row r="11" spans="1:10" x14ac:dyDescent="0.25">
      <c r="A11" s="1">
        <f t="shared" si="0"/>
        <v>43339</v>
      </c>
      <c r="B11" s="1">
        <f t="shared" si="0"/>
        <v>43345</v>
      </c>
      <c r="C11" s="2" t="s">
        <v>193</v>
      </c>
      <c r="D11" s="2" t="s">
        <v>194</v>
      </c>
      <c r="E11" s="2">
        <v>1</v>
      </c>
      <c r="F11" s="2" t="s">
        <v>183</v>
      </c>
      <c r="G11" s="2" t="str">
        <f>Table13[[#This Row],[Month]]&amp;", "&amp;Table13[[#This Row],[FY]]</f>
        <v>SEP, FY19</v>
      </c>
      <c r="H11" s="2" t="str">
        <f>Table13[[#This Row],[Week]]&amp;", "&amp;Table13[[#This Row],[Month]]&amp;" "&amp;Table13[[#This Row],[FY]]</f>
        <v>Week 10, SEP FY19</v>
      </c>
      <c r="I11" s="2" t="str">
        <f>Table13[[#This Row],[Month]]&amp;", "&amp;Table13[[#This Row],[FY]]</f>
        <v>SEP, FY19</v>
      </c>
      <c r="J11" s="2" t="str">
        <f>"Q"&amp;Table13[[#This Row],[QTR]]&amp;", "&amp;Table13[[#This Row],[FY]]</f>
        <v>Q1, FY19</v>
      </c>
    </row>
    <row r="12" spans="1:10" x14ac:dyDescent="0.25">
      <c r="A12" s="1">
        <f t="shared" si="0"/>
        <v>43346</v>
      </c>
      <c r="B12" s="1">
        <f t="shared" si="0"/>
        <v>43352</v>
      </c>
      <c r="C12" s="2" t="s">
        <v>195</v>
      </c>
      <c r="D12" s="2" t="s">
        <v>194</v>
      </c>
      <c r="E12" s="2">
        <v>1</v>
      </c>
      <c r="F12" s="2" t="s">
        <v>183</v>
      </c>
      <c r="G12" s="2" t="str">
        <f>Table13[[#This Row],[Month]]&amp;", "&amp;Table13[[#This Row],[FY]]</f>
        <v>SEP, FY19</v>
      </c>
      <c r="H12" s="2" t="str">
        <f>Table13[[#This Row],[Week]]&amp;", "&amp;Table13[[#This Row],[Month]]&amp;" "&amp;Table13[[#This Row],[FY]]</f>
        <v>Week 11, SEP FY19</v>
      </c>
      <c r="I12" s="2" t="str">
        <f>Table13[[#This Row],[Month]]&amp;", "&amp;Table13[[#This Row],[FY]]</f>
        <v>SEP, FY19</v>
      </c>
      <c r="J12" s="2" t="str">
        <f>"Q"&amp;Table13[[#This Row],[QTR]]&amp;", "&amp;Table13[[#This Row],[FY]]</f>
        <v>Q1, FY19</v>
      </c>
    </row>
    <row r="13" spans="1:10" x14ac:dyDescent="0.25">
      <c r="A13" s="1">
        <f t="shared" si="0"/>
        <v>43353</v>
      </c>
      <c r="B13" s="1">
        <f t="shared" si="0"/>
        <v>43359</v>
      </c>
      <c r="C13" s="2" t="s">
        <v>196</v>
      </c>
      <c r="D13" s="2" t="s">
        <v>194</v>
      </c>
      <c r="E13" s="2">
        <v>1</v>
      </c>
      <c r="F13" s="2" t="s">
        <v>183</v>
      </c>
      <c r="G13" s="2" t="str">
        <f>Table13[[#This Row],[Month]]&amp;", "&amp;Table13[[#This Row],[FY]]</f>
        <v>SEP, FY19</v>
      </c>
      <c r="H13" s="2" t="str">
        <f>Table13[[#This Row],[Week]]&amp;", "&amp;Table13[[#This Row],[Month]]&amp;" "&amp;Table13[[#This Row],[FY]]</f>
        <v>Week 12, SEP FY19</v>
      </c>
      <c r="I13" s="2" t="str">
        <f>Table13[[#This Row],[Month]]&amp;", "&amp;Table13[[#This Row],[FY]]</f>
        <v>SEP, FY19</v>
      </c>
      <c r="J13" s="2" t="str">
        <f>"Q"&amp;Table13[[#This Row],[QTR]]&amp;", "&amp;Table13[[#This Row],[FY]]</f>
        <v>Q1, FY19</v>
      </c>
    </row>
    <row r="14" spans="1:10" x14ac:dyDescent="0.25">
      <c r="A14" s="1">
        <f t="shared" si="0"/>
        <v>43360</v>
      </c>
      <c r="B14" s="1">
        <f t="shared" si="0"/>
        <v>43366</v>
      </c>
      <c r="C14" s="2" t="s">
        <v>197</v>
      </c>
      <c r="D14" s="2" t="s">
        <v>194</v>
      </c>
      <c r="E14" s="2">
        <v>1</v>
      </c>
      <c r="F14" s="2" t="s">
        <v>183</v>
      </c>
      <c r="G14" s="2" t="str">
        <f>Table13[[#This Row],[Month]]&amp;", "&amp;Table13[[#This Row],[FY]]</f>
        <v>SEP, FY19</v>
      </c>
      <c r="H14" s="2" t="str">
        <f>Table13[[#This Row],[Week]]&amp;", "&amp;Table13[[#This Row],[Month]]&amp;" "&amp;Table13[[#This Row],[FY]]</f>
        <v>Week 13, SEP FY19</v>
      </c>
      <c r="I14" s="2" t="str">
        <f>Table13[[#This Row],[Month]]&amp;", "&amp;Table13[[#This Row],[FY]]</f>
        <v>SEP, FY19</v>
      </c>
      <c r="J14" s="2" t="str">
        <f>"Q"&amp;Table13[[#This Row],[QTR]]&amp;", "&amp;Table13[[#This Row],[FY]]</f>
        <v>Q1, FY19</v>
      </c>
    </row>
    <row r="15" spans="1:10" x14ac:dyDescent="0.25">
      <c r="A15" s="1">
        <f t="shared" si="0"/>
        <v>43367</v>
      </c>
      <c r="B15" s="1">
        <f t="shared" si="0"/>
        <v>43373</v>
      </c>
      <c r="C15" s="2" t="s">
        <v>198</v>
      </c>
      <c r="D15" s="2" t="s">
        <v>199</v>
      </c>
      <c r="E15" s="2">
        <f>E2+1</f>
        <v>2</v>
      </c>
      <c r="F15" s="2" t="s">
        <v>183</v>
      </c>
      <c r="G15" s="2" t="str">
        <f>Table13[[#This Row],[Month]]&amp;", "&amp;Table13[[#This Row],[FY]]</f>
        <v>OCT, FY19</v>
      </c>
      <c r="H15" s="2" t="str">
        <f>Table13[[#This Row],[Week]]&amp;", "&amp;Table13[[#This Row],[Month]]&amp;" "&amp;Table13[[#This Row],[FY]]</f>
        <v>Week 14, OCT FY19</v>
      </c>
      <c r="I15" s="2" t="str">
        <f>Table13[[#This Row],[Month]]&amp;", "&amp;Table13[[#This Row],[FY]]</f>
        <v>OCT, FY19</v>
      </c>
      <c r="J15" s="2" t="str">
        <f>"Q"&amp;Table13[[#This Row],[QTR]]&amp;", "&amp;Table13[[#This Row],[FY]]</f>
        <v>Q2, FY19</v>
      </c>
    </row>
    <row r="16" spans="1:10" x14ac:dyDescent="0.25">
      <c r="A16" s="1">
        <f t="shared" si="0"/>
        <v>43374</v>
      </c>
      <c r="B16" s="1">
        <f t="shared" si="0"/>
        <v>43380</v>
      </c>
      <c r="C16" s="2" t="s">
        <v>200</v>
      </c>
      <c r="D16" s="2" t="s">
        <v>199</v>
      </c>
      <c r="E16" s="2">
        <f t="shared" ref="E16:E53" si="1">E3+1</f>
        <v>2</v>
      </c>
      <c r="F16" s="2" t="s">
        <v>183</v>
      </c>
      <c r="G16" s="2" t="str">
        <f>Table13[[#This Row],[Month]]&amp;", "&amp;Table13[[#This Row],[FY]]</f>
        <v>OCT, FY19</v>
      </c>
      <c r="H16" s="2" t="str">
        <f>Table13[[#This Row],[Week]]&amp;", "&amp;Table13[[#This Row],[Month]]&amp;" "&amp;Table13[[#This Row],[FY]]</f>
        <v>Week 15, OCT FY19</v>
      </c>
      <c r="I16" s="2" t="str">
        <f>Table13[[#This Row],[Month]]&amp;", "&amp;Table13[[#This Row],[FY]]</f>
        <v>OCT, FY19</v>
      </c>
      <c r="J16" s="2" t="str">
        <f>"Q"&amp;Table13[[#This Row],[QTR]]&amp;", "&amp;Table13[[#This Row],[FY]]</f>
        <v>Q2, FY19</v>
      </c>
    </row>
    <row r="17" spans="1:10" x14ac:dyDescent="0.25">
      <c r="A17" s="1">
        <f t="shared" si="0"/>
        <v>43381</v>
      </c>
      <c r="B17" s="1">
        <f t="shared" si="0"/>
        <v>43387</v>
      </c>
      <c r="C17" s="2" t="s">
        <v>201</v>
      </c>
      <c r="D17" s="2" t="s">
        <v>199</v>
      </c>
      <c r="E17" s="2">
        <f t="shared" si="1"/>
        <v>2</v>
      </c>
      <c r="F17" s="2" t="s">
        <v>183</v>
      </c>
      <c r="G17" s="2" t="str">
        <f>Table13[[#This Row],[Month]]&amp;", "&amp;Table13[[#This Row],[FY]]</f>
        <v>OCT, FY19</v>
      </c>
      <c r="H17" s="2" t="str">
        <f>Table13[[#This Row],[Week]]&amp;", "&amp;Table13[[#This Row],[Month]]&amp;" "&amp;Table13[[#This Row],[FY]]</f>
        <v>Week 16, OCT FY19</v>
      </c>
      <c r="I17" s="2" t="str">
        <f>Table13[[#This Row],[Month]]&amp;", "&amp;Table13[[#This Row],[FY]]</f>
        <v>OCT, FY19</v>
      </c>
      <c r="J17" s="2" t="str">
        <f>"Q"&amp;Table13[[#This Row],[QTR]]&amp;", "&amp;Table13[[#This Row],[FY]]</f>
        <v>Q2, FY19</v>
      </c>
    </row>
    <row r="18" spans="1:10" x14ac:dyDescent="0.25">
      <c r="A18" s="1">
        <f t="shared" si="0"/>
        <v>43388</v>
      </c>
      <c r="B18" s="1">
        <f t="shared" si="0"/>
        <v>43394</v>
      </c>
      <c r="C18" s="2" t="s">
        <v>202</v>
      </c>
      <c r="D18" s="2" t="s">
        <v>199</v>
      </c>
      <c r="E18" s="2">
        <f t="shared" si="1"/>
        <v>2</v>
      </c>
      <c r="F18" s="2" t="s">
        <v>183</v>
      </c>
      <c r="G18" s="2" t="str">
        <f>Table13[[#This Row],[Month]]&amp;", "&amp;Table13[[#This Row],[FY]]</f>
        <v>OCT, FY19</v>
      </c>
      <c r="H18" s="2" t="str">
        <f>Table13[[#This Row],[Week]]&amp;", "&amp;Table13[[#This Row],[Month]]&amp;" "&amp;Table13[[#This Row],[FY]]</f>
        <v>Week 17, OCT FY19</v>
      </c>
      <c r="I18" s="2" t="str">
        <f>Table13[[#This Row],[Month]]&amp;", "&amp;Table13[[#This Row],[FY]]</f>
        <v>OCT, FY19</v>
      </c>
      <c r="J18" s="2" t="str">
        <f>"Q"&amp;Table13[[#This Row],[QTR]]&amp;", "&amp;Table13[[#This Row],[FY]]</f>
        <v>Q2, FY19</v>
      </c>
    </row>
    <row r="19" spans="1:10" x14ac:dyDescent="0.25">
      <c r="A19" s="1">
        <f t="shared" ref="A19:B34" si="2">A18+7</f>
        <v>43395</v>
      </c>
      <c r="B19" s="1">
        <f t="shared" si="2"/>
        <v>43401</v>
      </c>
      <c r="C19" s="2" t="s">
        <v>203</v>
      </c>
      <c r="D19" s="2" t="s">
        <v>204</v>
      </c>
      <c r="E19" s="2">
        <f t="shared" si="1"/>
        <v>2</v>
      </c>
      <c r="F19" s="2" t="s">
        <v>183</v>
      </c>
      <c r="G19" s="2" t="str">
        <f>Table13[[#This Row],[Month]]&amp;", "&amp;Table13[[#This Row],[FY]]</f>
        <v>NOV, FY19</v>
      </c>
      <c r="H19" s="2" t="str">
        <f>Table13[[#This Row],[Week]]&amp;", "&amp;Table13[[#This Row],[Month]]&amp;" "&amp;Table13[[#This Row],[FY]]</f>
        <v>Week 18, NOV FY19</v>
      </c>
      <c r="I19" s="2" t="str">
        <f>Table13[[#This Row],[Month]]&amp;", "&amp;Table13[[#This Row],[FY]]</f>
        <v>NOV, FY19</v>
      </c>
      <c r="J19" s="2" t="str">
        <f>"Q"&amp;Table13[[#This Row],[QTR]]&amp;", "&amp;Table13[[#This Row],[FY]]</f>
        <v>Q2, FY19</v>
      </c>
    </row>
    <row r="20" spans="1:10" x14ac:dyDescent="0.25">
      <c r="A20" s="1">
        <f t="shared" si="2"/>
        <v>43402</v>
      </c>
      <c r="B20" s="1">
        <f t="shared" si="2"/>
        <v>43408</v>
      </c>
      <c r="C20" s="2" t="s">
        <v>205</v>
      </c>
      <c r="D20" s="2" t="s">
        <v>204</v>
      </c>
      <c r="E20" s="2">
        <f t="shared" si="1"/>
        <v>2</v>
      </c>
      <c r="F20" s="2" t="s">
        <v>183</v>
      </c>
      <c r="G20" s="2" t="str">
        <f>Table13[[#This Row],[Month]]&amp;", "&amp;Table13[[#This Row],[FY]]</f>
        <v>NOV, FY19</v>
      </c>
      <c r="H20" s="2" t="str">
        <f>Table13[[#This Row],[Week]]&amp;", "&amp;Table13[[#This Row],[Month]]&amp;" "&amp;Table13[[#This Row],[FY]]</f>
        <v>Week 19, NOV FY19</v>
      </c>
      <c r="I20" s="2" t="str">
        <f>Table13[[#This Row],[Month]]&amp;", "&amp;Table13[[#This Row],[FY]]</f>
        <v>NOV, FY19</v>
      </c>
      <c r="J20" s="2" t="str">
        <f>"Q"&amp;Table13[[#This Row],[QTR]]&amp;", "&amp;Table13[[#This Row],[FY]]</f>
        <v>Q2, FY19</v>
      </c>
    </row>
    <row r="21" spans="1:10" x14ac:dyDescent="0.25">
      <c r="A21" s="1">
        <f t="shared" si="2"/>
        <v>43409</v>
      </c>
      <c r="B21" s="1">
        <f t="shared" si="2"/>
        <v>43415</v>
      </c>
      <c r="C21" s="2" t="s">
        <v>206</v>
      </c>
      <c r="D21" s="2" t="s">
        <v>204</v>
      </c>
      <c r="E21" s="2">
        <f t="shared" si="1"/>
        <v>2</v>
      </c>
      <c r="F21" s="2" t="s">
        <v>183</v>
      </c>
      <c r="G21" s="2" t="str">
        <f>Table13[[#This Row],[Month]]&amp;", "&amp;Table13[[#This Row],[FY]]</f>
        <v>NOV, FY19</v>
      </c>
      <c r="H21" s="2" t="str">
        <f>Table13[[#This Row],[Week]]&amp;", "&amp;Table13[[#This Row],[Month]]&amp;" "&amp;Table13[[#This Row],[FY]]</f>
        <v>Week 20, NOV FY19</v>
      </c>
      <c r="I21" s="2" t="str">
        <f>Table13[[#This Row],[Month]]&amp;", "&amp;Table13[[#This Row],[FY]]</f>
        <v>NOV, FY19</v>
      </c>
      <c r="J21" s="2" t="str">
        <f>"Q"&amp;Table13[[#This Row],[QTR]]&amp;", "&amp;Table13[[#This Row],[FY]]</f>
        <v>Q2, FY19</v>
      </c>
    </row>
    <row r="22" spans="1:10" x14ac:dyDescent="0.25">
      <c r="A22" s="1">
        <f t="shared" si="2"/>
        <v>43416</v>
      </c>
      <c r="B22" s="1">
        <f t="shared" si="2"/>
        <v>43422</v>
      </c>
      <c r="C22" s="2" t="s">
        <v>207</v>
      </c>
      <c r="D22" s="2" t="s">
        <v>204</v>
      </c>
      <c r="E22" s="2">
        <f t="shared" si="1"/>
        <v>2</v>
      </c>
      <c r="F22" s="2" t="s">
        <v>183</v>
      </c>
      <c r="G22" s="2" t="str">
        <f>Table13[[#This Row],[Month]]&amp;", "&amp;Table13[[#This Row],[FY]]</f>
        <v>NOV, FY19</v>
      </c>
      <c r="H22" s="2" t="str">
        <f>Table13[[#This Row],[Week]]&amp;", "&amp;Table13[[#This Row],[Month]]&amp;" "&amp;Table13[[#This Row],[FY]]</f>
        <v>Week 21, NOV FY19</v>
      </c>
      <c r="I22" s="2" t="str">
        <f>Table13[[#This Row],[Month]]&amp;", "&amp;Table13[[#This Row],[FY]]</f>
        <v>NOV, FY19</v>
      </c>
      <c r="J22" s="2" t="str">
        <f>"Q"&amp;Table13[[#This Row],[QTR]]&amp;", "&amp;Table13[[#This Row],[FY]]</f>
        <v>Q2, FY19</v>
      </c>
    </row>
    <row r="23" spans="1:10" x14ac:dyDescent="0.25">
      <c r="A23" s="1">
        <f t="shared" si="2"/>
        <v>43423</v>
      </c>
      <c r="B23" s="1">
        <f t="shared" si="2"/>
        <v>43429</v>
      </c>
      <c r="C23" s="2" t="s">
        <v>208</v>
      </c>
      <c r="D23" s="2" t="s">
        <v>204</v>
      </c>
      <c r="E23" s="2">
        <f t="shared" si="1"/>
        <v>2</v>
      </c>
      <c r="F23" s="2" t="s">
        <v>183</v>
      </c>
      <c r="G23" s="2" t="str">
        <f>Table13[[#This Row],[Month]]&amp;", "&amp;Table13[[#This Row],[FY]]</f>
        <v>NOV, FY19</v>
      </c>
      <c r="H23" s="2" t="str">
        <f>Table13[[#This Row],[Week]]&amp;", "&amp;Table13[[#This Row],[Month]]&amp;" "&amp;Table13[[#This Row],[FY]]</f>
        <v>Week 22, NOV FY19</v>
      </c>
      <c r="I23" s="2" t="str">
        <f>Table13[[#This Row],[Month]]&amp;", "&amp;Table13[[#This Row],[FY]]</f>
        <v>NOV, FY19</v>
      </c>
      <c r="J23" s="2" t="str">
        <f>"Q"&amp;Table13[[#This Row],[QTR]]&amp;", "&amp;Table13[[#This Row],[FY]]</f>
        <v>Q2, FY19</v>
      </c>
    </row>
    <row r="24" spans="1:10" x14ac:dyDescent="0.25">
      <c r="A24" s="1">
        <f t="shared" si="2"/>
        <v>43430</v>
      </c>
      <c r="B24" s="1">
        <f t="shared" si="2"/>
        <v>43436</v>
      </c>
      <c r="C24" s="2" t="s">
        <v>209</v>
      </c>
      <c r="D24" s="2" t="s">
        <v>210</v>
      </c>
      <c r="E24" s="2">
        <f t="shared" si="1"/>
        <v>2</v>
      </c>
      <c r="F24" s="2" t="s">
        <v>183</v>
      </c>
      <c r="G24" s="2" t="str">
        <f>Table13[[#This Row],[Month]]&amp;", "&amp;Table13[[#This Row],[FY]]</f>
        <v>DEC, FY19</v>
      </c>
      <c r="H24" s="2" t="str">
        <f>Table13[[#This Row],[Week]]&amp;", "&amp;Table13[[#This Row],[Month]]&amp;" "&amp;Table13[[#This Row],[FY]]</f>
        <v>Week 23, DEC FY19</v>
      </c>
      <c r="I24" s="2" t="str">
        <f>Table13[[#This Row],[Month]]&amp;", "&amp;Table13[[#This Row],[FY]]</f>
        <v>DEC, FY19</v>
      </c>
      <c r="J24" s="2" t="str">
        <f>"Q"&amp;Table13[[#This Row],[QTR]]&amp;", "&amp;Table13[[#This Row],[FY]]</f>
        <v>Q2, FY19</v>
      </c>
    </row>
    <row r="25" spans="1:10" x14ac:dyDescent="0.25">
      <c r="A25" s="1">
        <f t="shared" si="2"/>
        <v>43437</v>
      </c>
      <c r="B25" s="1">
        <f t="shared" si="2"/>
        <v>43443</v>
      </c>
      <c r="C25" s="2" t="s">
        <v>211</v>
      </c>
      <c r="D25" s="2" t="s">
        <v>210</v>
      </c>
      <c r="E25" s="2">
        <f t="shared" si="1"/>
        <v>2</v>
      </c>
      <c r="F25" s="2" t="s">
        <v>183</v>
      </c>
      <c r="G25" s="2" t="str">
        <f>Table13[[#This Row],[Month]]&amp;", "&amp;Table13[[#This Row],[FY]]</f>
        <v>DEC, FY19</v>
      </c>
      <c r="H25" s="2" t="str">
        <f>Table13[[#This Row],[Week]]&amp;", "&amp;Table13[[#This Row],[Month]]&amp;" "&amp;Table13[[#This Row],[FY]]</f>
        <v>Week 24, DEC FY19</v>
      </c>
      <c r="I25" s="2" t="str">
        <f>Table13[[#This Row],[Month]]&amp;", "&amp;Table13[[#This Row],[FY]]</f>
        <v>DEC, FY19</v>
      </c>
      <c r="J25" s="2" t="str">
        <f>"Q"&amp;Table13[[#This Row],[QTR]]&amp;", "&amp;Table13[[#This Row],[FY]]</f>
        <v>Q2, FY19</v>
      </c>
    </row>
    <row r="26" spans="1:10" x14ac:dyDescent="0.25">
      <c r="A26" s="1">
        <f t="shared" si="2"/>
        <v>43444</v>
      </c>
      <c r="B26" s="1">
        <f t="shared" si="2"/>
        <v>43450</v>
      </c>
      <c r="C26" s="2" t="s">
        <v>212</v>
      </c>
      <c r="D26" s="2" t="s">
        <v>210</v>
      </c>
      <c r="E26" s="2">
        <f t="shared" si="1"/>
        <v>2</v>
      </c>
      <c r="F26" s="2" t="s">
        <v>183</v>
      </c>
      <c r="G26" s="2" t="str">
        <f>Table13[[#This Row],[Month]]&amp;", "&amp;Table13[[#This Row],[FY]]</f>
        <v>DEC, FY19</v>
      </c>
      <c r="H26" s="2" t="str">
        <f>Table13[[#This Row],[Week]]&amp;", "&amp;Table13[[#This Row],[Month]]&amp;" "&amp;Table13[[#This Row],[FY]]</f>
        <v>Week 25, DEC FY19</v>
      </c>
      <c r="I26" s="2" t="str">
        <f>Table13[[#This Row],[Month]]&amp;", "&amp;Table13[[#This Row],[FY]]</f>
        <v>DEC, FY19</v>
      </c>
      <c r="J26" s="2" t="str">
        <f>"Q"&amp;Table13[[#This Row],[QTR]]&amp;", "&amp;Table13[[#This Row],[FY]]</f>
        <v>Q2, FY19</v>
      </c>
    </row>
    <row r="27" spans="1:10" x14ac:dyDescent="0.25">
      <c r="A27" s="1">
        <f t="shared" si="2"/>
        <v>43451</v>
      </c>
      <c r="B27" s="1">
        <f t="shared" si="2"/>
        <v>43457</v>
      </c>
      <c r="C27" s="2" t="s">
        <v>213</v>
      </c>
      <c r="D27" s="2" t="s">
        <v>210</v>
      </c>
      <c r="E27" s="2">
        <f t="shared" si="1"/>
        <v>2</v>
      </c>
      <c r="F27" s="2" t="s">
        <v>183</v>
      </c>
      <c r="G27" s="2" t="str">
        <f>Table13[[#This Row],[Month]]&amp;", "&amp;Table13[[#This Row],[FY]]</f>
        <v>DEC, FY19</v>
      </c>
      <c r="H27" s="2" t="str">
        <f>Table13[[#This Row],[Week]]&amp;", "&amp;Table13[[#This Row],[Month]]&amp;" "&amp;Table13[[#This Row],[FY]]</f>
        <v>Week 26, DEC FY19</v>
      </c>
      <c r="I27" s="2" t="str">
        <f>Table13[[#This Row],[Month]]&amp;", "&amp;Table13[[#This Row],[FY]]</f>
        <v>DEC, FY19</v>
      </c>
      <c r="J27" s="2" t="str">
        <f>"Q"&amp;Table13[[#This Row],[QTR]]&amp;", "&amp;Table13[[#This Row],[FY]]</f>
        <v>Q2, FY19</v>
      </c>
    </row>
    <row r="28" spans="1:10" x14ac:dyDescent="0.25">
      <c r="A28" s="1">
        <f t="shared" si="2"/>
        <v>43458</v>
      </c>
      <c r="B28" s="1">
        <f t="shared" si="2"/>
        <v>43464</v>
      </c>
      <c r="C28" s="2" t="s">
        <v>214</v>
      </c>
      <c r="D28" s="2" t="s">
        <v>215</v>
      </c>
      <c r="E28" s="2">
        <f t="shared" si="1"/>
        <v>3</v>
      </c>
      <c r="F28" s="2" t="s">
        <v>183</v>
      </c>
      <c r="G28" s="2" t="str">
        <f>Table13[[#This Row],[Month]]&amp;", "&amp;Table13[[#This Row],[FY]]</f>
        <v>JAN, FY19</v>
      </c>
      <c r="H28" s="2" t="str">
        <f>Table13[[#This Row],[Week]]&amp;", "&amp;Table13[[#This Row],[Month]]&amp;" "&amp;Table13[[#This Row],[FY]]</f>
        <v>Week 27, JAN FY19</v>
      </c>
      <c r="I28" s="2" t="str">
        <f>Table13[[#This Row],[Month]]&amp;", "&amp;Table13[[#This Row],[FY]]</f>
        <v>JAN, FY19</v>
      </c>
      <c r="J28" s="2" t="str">
        <f>"Q"&amp;Table13[[#This Row],[QTR]]&amp;", "&amp;Table13[[#This Row],[FY]]</f>
        <v>Q3, FY19</v>
      </c>
    </row>
    <row r="29" spans="1:10" x14ac:dyDescent="0.25">
      <c r="A29" s="1">
        <f t="shared" si="2"/>
        <v>43465</v>
      </c>
      <c r="B29" s="1">
        <f t="shared" si="2"/>
        <v>43471</v>
      </c>
      <c r="C29" s="2" t="s">
        <v>216</v>
      </c>
      <c r="D29" s="2" t="s">
        <v>215</v>
      </c>
      <c r="E29" s="2">
        <f t="shared" si="1"/>
        <v>3</v>
      </c>
      <c r="F29" s="2" t="s">
        <v>183</v>
      </c>
      <c r="G29" s="2" t="str">
        <f>Table13[[#This Row],[Month]]&amp;", "&amp;Table13[[#This Row],[FY]]</f>
        <v>JAN, FY19</v>
      </c>
      <c r="H29" s="2" t="str">
        <f>Table13[[#This Row],[Week]]&amp;", "&amp;Table13[[#This Row],[Month]]&amp;" "&amp;Table13[[#This Row],[FY]]</f>
        <v>Week 28, JAN FY19</v>
      </c>
      <c r="I29" s="2" t="str">
        <f>Table13[[#This Row],[Month]]&amp;", "&amp;Table13[[#This Row],[FY]]</f>
        <v>JAN, FY19</v>
      </c>
      <c r="J29" s="2" t="str">
        <f>"Q"&amp;Table13[[#This Row],[QTR]]&amp;", "&amp;Table13[[#This Row],[FY]]</f>
        <v>Q3, FY19</v>
      </c>
    </row>
    <row r="30" spans="1:10" x14ac:dyDescent="0.25">
      <c r="A30" s="1">
        <f t="shared" si="2"/>
        <v>43472</v>
      </c>
      <c r="B30" s="1">
        <f t="shared" si="2"/>
        <v>43478</v>
      </c>
      <c r="C30" s="2" t="s">
        <v>217</v>
      </c>
      <c r="D30" s="2" t="s">
        <v>215</v>
      </c>
      <c r="E30" s="2">
        <f t="shared" si="1"/>
        <v>3</v>
      </c>
      <c r="F30" s="2" t="s">
        <v>183</v>
      </c>
      <c r="G30" s="2" t="str">
        <f>Table13[[#This Row],[Month]]&amp;", "&amp;Table13[[#This Row],[FY]]</f>
        <v>JAN, FY19</v>
      </c>
      <c r="H30" s="2" t="str">
        <f>Table13[[#This Row],[Week]]&amp;", "&amp;Table13[[#This Row],[Month]]&amp;" "&amp;Table13[[#This Row],[FY]]</f>
        <v>Week 29, JAN FY19</v>
      </c>
      <c r="I30" s="2" t="str">
        <f>Table13[[#This Row],[Month]]&amp;", "&amp;Table13[[#This Row],[FY]]</f>
        <v>JAN, FY19</v>
      </c>
      <c r="J30" s="2" t="str">
        <f>"Q"&amp;Table13[[#This Row],[QTR]]&amp;", "&amp;Table13[[#This Row],[FY]]</f>
        <v>Q3, FY19</v>
      </c>
    </row>
    <row r="31" spans="1:10" x14ac:dyDescent="0.25">
      <c r="A31" s="1">
        <f t="shared" si="2"/>
        <v>43479</v>
      </c>
      <c r="B31" s="1">
        <f t="shared" si="2"/>
        <v>43485</v>
      </c>
      <c r="C31" s="2" t="s">
        <v>218</v>
      </c>
      <c r="D31" s="2" t="s">
        <v>215</v>
      </c>
      <c r="E31" s="2">
        <f t="shared" si="1"/>
        <v>3</v>
      </c>
      <c r="F31" s="2" t="s">
        <v>183</v>
      </c>
      <c r="G31" s="2" t="str">
        <f>Table13[[#This Row],[Month]]&amp;", "&amp;Table13[[#This Row],[FY]]</f>
        <v>JAN, FY19</v>
      </c>
      <c r="H31" s="2" t="str">
        <f>Table13[[#This Row],[Week]]&amp;", "&amp;Table13[[#This Row],[Month]]&amp;" "&amp;Table13[[#This Row],[FY]]</f>
        <v>Week 30, JAN FY19</v>
      </c>
      <c r="I31" s="2" t="str">
        <f>Table13[[#This Row],[Month]]&amp;", "&amp;Table13[[#This Row],[FY]]</f>
        <v>JAN, FY19</v>
      </c>
      <c r="J31" s="2" t="str">
        <f>"Q"&amp;Table13[[#This Row],[QTR]]&amp;", "&amp;Table13[[#This Row],[FY]]</f>
        <v>Q3, FY19</v>
      </c>
    </row>
    <row r="32" spans="1:10" x14ac:dyDescent="0.25">
      <c r="A32" s="1">
        <f t="shared" si="2"/>
        <v>43486</v>
      </c>
      <c r="B32" s="1">
        <f t="shared" si="2"/>
        <v>43492</v>
      </c>
      <c r="C32" s="2" t="s">
        <v>219</v>
      </c>
      <c r="D32" s="2" t="s">
        <v>220</v>
      </c>
      <c r="E32" s="2">
        <f t="shared" si="1"/>
        <v>3</v>
      </c>
      <c r="F32" s="2" t="s">
        <v>183</v>
      </c>
      <c r="G32" s="2" t="str">
        <f>Table13[[#This Row],[Month]]&amp;", "&amp;Table13[[#This Row],[FY]]</f>
        <v>FEB, FY19</v>
      </c>
      <c r="H32" s="2" t="str">
        <f>Table13[[#This Row],[Week]]&amp;", "&amp;Table13[[#This Row],[Month]]&amp;" "&amp;Table13[[#This Row],[FY]]</f>
        <v>Week 31, FEB FY19</v>
      </c>
      <c r="I32" s="2" t="str">
        <f>Table13[[#This Row],[Month]]&amp;", "&amp;Table13[[#This Row],[FY]]</f>
        <v>FEB, FY19</v>
      </c>
      <c r="J32" s="2" t="str">
        <f>"Q"&amp;Table13[[#This Row],[QTR]]&amp;", "&amp;Table13[[#This Row],[FY]]</f>
        <v>Q3, FY19</v>
      </c>
    </row>
    <row r="33" spans="1:10" x14ac:dyDescent="0.25">
      <c r="A33" s="1">
        <f t="shared" si="2"/>
        <v>43493</v>
      </c>
      <c r="B33" s="1">
        <f t="shared" si="2"/>
        <v>43499</v>
      </c>
      <c r="C33" s="2" t="s">
        <v>221</v>
      </c>
      <c r="D33" s="2" t="s">
        <v>220</v>
      </c>
      <c r="E33" s="2">
        <f t="shared" si="1"/>
        <v>3</v>
      </c>
      <c r="F33" s="2" t="s">
        <v>183</v>
      </c>
      <c r="G33" s="2" t="str">
        <f>Table13[[#This Row],[Month]]&amp;", "&amp;Table13[[#This Row],[FY]]</f>
        <v>FEB, FY19</v>
      </c>
      <c r="H33" s="2" t="str">
        <f>Table13[[#This Row],[Week]]&amp;", "&amp;Table13[[#This Row],[Month]]&amp;" "&amp;Table13[[#This Row],[FY]]</f>
        <v>Week 32, FEB FY19</v>
      </c>
      <c r="I33" s="2" t="str">
        <f>Table13[[#This Row],[Month]]&amp;", "&amp;Table13[[#This Row],[FY]]</f>
        <v>FEB, FY19</v>
      </c>
      <c r="J33" s="2" t="str">
        <f>"Q"&amp;Table13[[#This Row],[QTR]]&amp;", "&amp;Table13[[#This Row],[FY]]</f>
        <v>Q3, FY19</v>
      </c>
    </row>
    <row r="34" spans="1:10" x14ac:dyDescent="0.25">
      <c r="A34" s="1">
        <f t="shared" si="2"/>
        <v>43500</v>
      </c>
      <c r="B34" s="1">
        <f t="shared" si="2"/>
        <v>43506</v>
      </c>
      <c r="C34" s="2" t="s">
        <v>222</v>
      </c>
      <c r="D34" s="2" t="s">
        <v>220</v>
      </c>
      <c r="E34" s="2">
        <f t="shared" si="1"/>
        <v>3</v>
      </c>
      <c r="F34" s="2" t="s">
        <v>183</v>
      </c>
      <c r="G34" s="2" t="str">
        <f>Table13[[#This Row],[Month]]&amp;", "&amp;Table13[[#This Row],[FY]]</f>
        <v>FEB, FY19</v>
      </c>
      <c r="H34" s="2" t="str">
        <f>Table13[[#This Row],[Week]]&amp;", "&amp;Table13[[#This Row],[Month]]&amp;" "&amp;Table13[[#This Row],[FY]]</f>
        <v>Week 33, FEB FY19</v>
      </c>
      <c r="I34" s="2" t="str">
        <f>Table13[[#This Row],[Month]]&amp;", "&amp;Table13[[#This Row],[FY]]</f>
        <v>FEB, FY19</v>
      </c>
      <c r="J34" s="2" t="str">
        <f>"Q"&amp;Table13[[#This Row],[QTR]]&amp;", "&amp;Table13[[#This Row],[FY]]</f>
        <v>Q3, FY19</v>
      </c>
    </row>
    <row r="35" spans="1:10" x14ac:dyDescent="0.25">
      <c r="A35" s="1">
        <f t="shared" ref="A35:B50" si="3">A34+7</f>
        <v>43507</v>
      </c>
      <c r="B35" s="1">
        <f t="shared" si="3"/>
        <v>43513</v>
      </c>
      <c r="C35" s="2" t="s">
        <v>223</v>
      </c>
      <c r="D35" s="2" t="s">
        <v>220</v>
      </c>
      <c r="E35" s="2">
        <f t="shared" si="1"/>
        <v>3</v>
      </c>
      <c r="F35" s="2" t="s">
        <v>183</v>
      </c>
      <c r="G35" s="2" t="str">
        <f>Table13[[#This Row],[Month]]&amp;", "&amp;Table13[[#This Row],[FY]]</f>
        <v>FEB, FY19</v>
      </c>
      <c r="H35" s="2" t="str">
        <f>Table13[[#This Row],[Week]]&amp;", "&amp;Table13[[#This Row],[Month]]&amp;" "&amp;Table13[[#This Row],[FY]]</f>
        <v>Week 34, FEB FY19</v>
      </c>
      <c r="I35" s="2" t="str">
        <f>Table13[[#This Row],[Month]]&amp;", "&amp;Table13[[#This Row],[FY]]</f>
        <v>FEB, FY19</v>
      </c>
      <c r="J35" s="2" t="str">
        <f>"Q"&amp;Table13[[#This Row],[QTR]]&amp;", "&amp;Table13[[#This Row],[FY]]</f>
        <v>Q3, FY19</v>
      </c>
    </row>
    <row r="36" spans="1:10" x14ac:dyDescent="0.25">
      <c r="A36" s="1">
        <f t="shared" si="3"/>
        <v>43514</v>
      </c>
      <c r="B36" s="1">
        <f t="shared" si="3"/>
        <v>43520</v>
      </c>
      <c r="C36" s="2" t="s">
        <v>224</v>
      </c>
      <c r="D36" s="2" t="s">
        <v>220</v>
      </c>
      <c r="E36" s="2">
        <f t="shared" si="1"/>
        <v>3</v>
      </c>
      <c r="F36" s="2" t="s">
        <v>183</v>
      </c>
      <c r="G36" s="2" t="str">
        <f>Table13[[#This Row],[Month]]&amp;", "&amp;Table13[[#This Row],[FY]]</f>
        <v>FEB, FY19</v>
      </c>
      <c r="H36" s="2" t="str">
        <f>Table13[[#This Row],[Week]]&amp;", "&amp;Table13[[#This Row],[Month]]&amp;" "&amp;Table13[[#This Row],[FY]]</f>
        <v>Week 35, FEB FY19</v>
      </c>
      <c r="I36" s="2" t="str">
        <f>Table13[[#This Row],[Month]]&amp;", "&amp;Table13[[#This Row],[FY]]</f>
        <v>FEB, FY19</v>
      </c>
      <c r="J36" s="2" t="str">
        <f>"Q"&amp;Table13[[#This Row],[QTR]]&amp;", "&amp;Table13[[#This Row],[FY]]</f>
        <v>Q3, FY19</v>
      </c>
    </row>
    <row r="37" spans="1:10" x14ac:dyDescent="0.25">
      <c r="A37" s="1">
        <f t="shared" si="3"/>
        <v>43521</v>
      </c>
      <c r="B37" s="1">
        <f t="shared" si="3"/>
        <v>43527</v>
      </c>
      <c r="C37" s="2" t="s">
        <v>225</v>
      </c>
      <c r="D37" s="2" t="s">
        <v>226</v>
      </c>
      <c r="E37" s="2">
        <f t="shared" si="1"/>
        <v>3</v>
      </c>
      <c r="F37" s="2" t="s">
        <v>183</v>
      </c>
      <c r="G37" s="2" t="str">
        <f>Table13[[#This Row],[Month]]&amp;", "&amp;Table13[[#This Row],[FY]]</f>
        <v>MAR, FY19</v>
      </c>
      <c r="H37" s="2" t="str">
        <f>Table13[[#This Row],[Week]]&amp;", "&amp;Table13[[#This Row],[Month]]&amp;" "&amp;Table13[[#This Row],[FY]]</f>
        <v>Week 36, MAR FY19</v>
      </c>
      <c r="I37" s="2" t="str">
        <f>Table13[[#This Row],[Month]]&amp;", "&amp;Table13[[#This Row],[FY]]</f>
        <v>MAR, FY19</v>
      </c>
      <c r="J37" s="2" t="str">
        <f>"Q"&amp;Table13[[#This Row],[QTR]]&amp;", "&amp;Table13[[#This Row],[FY]]</f>
        <v>Q3, FY19</v>
      </c>
    </row>
    <row r="38" spans="1:10" x14ac:dyDescent="0.25">
      <c r="A38" s="1">
        <f t="shared" si="3"/>
        <v>43528</v>
      </c>
      <c r="B38" s="1">
        <f t="shared" si="3"/>
        <v>43534</v>
      </c>
      <c r="C38" s="2" t="s">
        <v>227</v>
      </c>
      <c r="D38" s="2" t="s">
        <v>226</v>
      </c>
      <c r="E38" s="2">
        <f t="shared" si="1"/>
        <v>3</v>
      </c>
      <c r="F38" s="2" t="s">
        <v>183</v>
      </c>
      <c r="G38" s="2" t="str">
        <f>Table13[[#This Row],[Month]]&amp;", "&amp;Table13[[#This Row],[FY]]</f>
        <v>MAR, FY19</v>
      </c>
      <c r="H38" s="2" t="str">
        <f>Table13[[#This Row],[Week]]&amp;", "&amp;Table13[[#This Row],[Month]]&amp;" "&amp;Table13[[#This Row],[FY]]</f>
        <v>Week 37, MAR FY19</v>
      </c>
      <c r="I38" s="2" t="str">
        <f>Table13[[#This Row],[Month]]&amp;", "&amp;Table13[[#This Row],[FY]]</f>
        <v>MAR, FY19</v>
      </c>
      <c r="J38" s="2" t="str">
        <f>"Q"&amp;Table13[[#This Row],[QTR]]&amp;", "&amp;Table13[[#This Row],[FY]]</f>
        <v>Q3, FY19</v>
      </c>
    </row>
    <row r="39" spans="1:10" x14ac:dyDescent="0.25">
      <c r="A39" s="1">
        <f t="shared" si="3"/>
        <v>43535</v>
      </c>
      <c r="B39" s="1">
        <f t="shared" si="3"/>
        <v>43541</v>
      </c>
      <c r="C39" s="2" t="s">
        <v>228</v>
      </c>
      <c r="D39" s="2" t="s">
        <v>226</v>
      </c>
      <c r="E39" s="2">
        <f t="shared" si="1"/>
        <v>3</v>
      </c>
      <c r="F39" s="2" t="s">
        <v>183</v>
      </c>
      <c r="G39" s="2" t="str">
        <f>Table13[[#This Row],[Month]]&amp;", "&amp;Table13[[#This Row],[FY]]</f>
        <v>MAR, FY19</v>
      </c>
      <c r="H39" s="2" t="str">
        <f>Table13[[#This Row],[Week]]&amp;", "&amp;Table13[[#This Row],[Month]]&amp;" "&amp;Table13[[#This Row],[FY]]</f>
        <v>Week 38, MAR FY19</v>
      </c>
      <c r="I39" s="2" t="str">
        <f>Table13[[#This Row],[Month]]&amp;", "&amp;Table13[[#This Row],[FY]]</f>
        <v>MAR, FY19</v>
      </c>
      <c r="J39" s="2" t="str">
        <f>"Q"&amp;Table13[[#This Row],[QTR]]&amp;", "&amp;Table13[[#This Row],[FY]]</f>
        <v>Q3, FY19</v>
      </c>
    </row>
    <row r="40" spans="1:10" x14ac:dyDescent="0.25">
      <c r="A40" s="1">
        <f t="shared" si="3"/>
        <v>43542</v>
      </c>
      <c r="B40" s="1">
        <f t="shared" si="3"/>
        <v>43548</v>
      </c>
      <c r="C40" s="2" t="s">
        <v>229</v>
      </c>
      <c r="D40" s="2" t="s">
        <v>226</v>
      </c>
      <c r="E40" s="2">
        <f t="shared" si="1"/>
        <v>3</v>
      </c>
      <c r="F40" s="2" t="s">
        <v>183</v>
      </c>
      <c r="G40" s="2" t="str">
        <f>Table13[[#This Row],[Month]]&amp;", "&amp;Table13[[#This Row],[FY]]</f>
        <v>MAR, FY19</v>
      </c>
      <c r="H40" s="2" t="str">
        <f>Table13[[#This Row],[Week]]&amp;", "&amp;Table13[[#This Row],[Month]]&amp;" "&amp;Table13[[#This Row],[FY]]</f>
        <v>Week 39, MAR FY19</v>
      </c>
      <c r="I40" s="2" t="str">
        <f>Table13[[#This Row],[Month]]&amp;", "&amp;Table13[[#This Row],[FY]]</f>
        <v>MAR, FY19</v>
      </c>
      <c r="J40" s="2" t="str">
        <f>"Q"&amp;Table13[[#This Row],[QTR]]&amp;", "&amp;Table13[[#This Row],[FY]]</f>
        <v>Q3, FY19</v>
      </c>
    </row>
    <row r="41" spans="1:10" x14ac:dyDescent="0.25">
      <c r="A41" s="1">
        <f t="shared" si="3"/>
        <v>43549</v>
      </c>
      <c r="B41" s="1">
        <f t="shared" si="3"/>
        <v>43555</v>
      </c>
      <c r="C41" s="2" t="s">
        <v>230</v>
      </c>
      <c r="D41" s="2" t="s">
        <v>231</v>
      </c>
      <c r="E41" s="2">
        <f t="shared" si="1"/>
        <v>4</v>
      </c>
      <c r="F41" s="2" t="s">
        <v>183</v>
      </c>
      <c r="G41" s="2" t="str">
        <f>Table13[[#This Row],[Month]]&amp;", "&amp;Table13[[#This Row],[FY]]</f>
        <v>APR, FY19</v>
      </c>
      <c r="H41" s="2" t="str">
        <f>Table13[[#This Row],[Week]]&amp;", "&amp;Table13[[#This Row],[Month]]&amp;" "&amp;Table13[[#This Row],[FY]]</f>
        <v>Week 40, APR FY19</v>
      </c>
      <c r="I41" s="2" t="str">
        <f>Table13[[#This Row],[Month]]&amp;", "&amp;Table13[[#This Row],[FY]]</f>
        <v>APR, FY19</v>
      </c>
      <c r="J41" s="2" t="str">
        <f>"Q"&amp;Table13[[#This Row],[QTR]]&amp;", "&amp;Table13[[#This Row],[FY]]</f>
        <v>Q4, FY19</v>
      </c>
    </row>
    <row r="42" spans="1:10" x14ac:dyDescent="0.25">
      <c r="A42" s="1">
        <f t="shared" si="3"/>
        <v>43556</v>
      </c>
      <c r="B42" s="1">
        <f t="shared" si="3"/>
        <v>43562</v>
      </c>
      <c r="C42" s="2" t="s">
        <v>232</v>
      </c>
      <c r="D42" s="2" t="s">
        <v>231</v>
      </c>
      <c r="E42" s="2">
        <f t="shared" si="1"/>
        <v>4</v>
      </c>
      <c r="F42" s="2" t="s">
        <v>183</v>
      </c>
      <c r="G42" s="2" t="str">
        <f>Table13[[#This Row],[Month]]&amp;", "&amp;Table13[[#This Row],[FY]]</f>
        <v>APR, FY19</v>
      </c>
      <c r="H42" s="2" t="str">
        <f>Table13[[#This Row],[Week]]&amp;", "&amp;Table13[[#This Row],[Month]]&amp;" "&amp;Table13[[#This Row],[FY]]</f>
        <v>Week 41, APR FY19</v>
      </c>
      <c r="I42" s="2" t="str">
        <f>Table13[[#This Row],[Month]]&amp;", "&amp;Table13[[#This Row],[FY]]</f>
        <v>APR, FY19</v>
      </c>
      <c r="J42" s="2" t="str">
        <f>"Q"&amp;Table13[[#This Row],[QTR]]&amp;", "&amp;Table13[[#This Row],[FY]]</f>
        <v>Q4, FY19</v>
      </c>
    </row>
    <row r="43" spans="1:10" x14ac:dyDescent="0.25">
      <c r="A43" s="1">
        <f t="shared" si="3"/>
        <v>43563</v>
      </c>
      <c r="B43" s="1">
        <f t="shared" si="3"/>
        <v>43569</v>
      </c>
      <c r="C43" s="2" t="s">
        <v>233</v>
      </c>
      <c r="D43" s="2" t="s">
        <v>231</v>
      </c>
      <c r="E43" s="2">
        <f t="shared" si="1"/>
        <v>4</v>
      </c>
      <c r="F43" s="2" t="s">
        <v>183</v>
      </c>
      <c r="G43" s="2" t="str">
        <f>Table13[[#This Row],[Month]]&amp;", "&amp;Table13[[#This Row],[FY]]</f>
        <v>APR, FY19</v>
      </c>
      <c r="H43" s="2" t="str">
        <f>Table13[[#This Row],[Week]]&amp;", "&amp;Table13[[#This Row],[Month]]&amp;" "&amp;Table13[[#This Row],[FY]]</f>
        <v>Week 42, APR FY19</v>
      </c>
      <c r="I43" s="2" t="str">
        <f>Table13[[#This Row],[Month]]&amp;", "&amp;Table13[[#This Row],[FY]]</f>
        <v>APR, FY19</v>
      </c>
      <c r="J43" s="2" t="str">
        <f>"Q"&amp;Table13[[#This Row],[QTR]]&amp;", "&amp;Table13[[#This Row],[FY]]</f>
        <v>Q4, FY19</v>
      </c>
    </row>
    <row r="44" spans="1:10" x14ac:dyDescent="0.25">
      <c r="A44" s="1">
        <f t="shared" si="3"/>
        <v>43570</v>
      </c>
      <c r="B44" s="1">
        <f t="shared" si="3"/>
        <v>43576</v>
      </c>
      <c r="C44" s="2" t="s">
        <v>234</v>
      </c>
      <c r="D44" s="2" t="s">
        <v>231</v>
      </c>
      <c r="E44" s="2">
        <f t="shared" si="1"/>
        <v>4</v>
      </c>
      <c r="F44" s="2" t="s">
        <v>183</v>
      </c>
      <c r="G44" s="2" t="str">
        <f>Table13[[#This Row],[Month]]&amp;", "&amp;Table13[[#This Row],[FY]]</f>
        <v>APR, FY19</v>
      </c>
      <c r="H44" s="2" t="str">
        <f>Table13[[#This Row],[Week]]&amp;", "&amp;Table13[[#This Row],[Month]]&amp;" "&amp;Table13[[#This Row],[FY]]</f>
        <v>Week 43, APR FY19</v>
      </c>
      <c r="I44" s="2" t="str">
        <f>Table13[[#This Row],[Month]]&amp;", "&amp;Table13[[#This Row],[FY]]</f>
        <v>APR, FY19</v>
      </c>
      <c r="J44" s="2" t="str">
        <f>"Q"&amp;Table13[[#This Row],[QTR]]&amp;", "&amp;Table13[[#This Row],[FY]]</f>
        <v>Q4, FY19</v>
      </c>
    </row>
    <row r="45" spans="1:10" x14ac:dyDescent="0.25">
      <c r="A45" s="1">
        <f t="shared" si="3"/>
        <v>43577</v>
      </c>
      <c r="B45" s="1">
        <f t="shared" si="3"/>
        <v>43583</v>
      </c>
      <c r="C45" s="2" t="s">
        <v>235</v>
      </c>
      <c r="D45" s="2" t="s">
        <v>236</v>
      </c>
      <c r="E45" s="2">
        <f t="shared" si="1"/>
        <v>4</v>
      </c>
      <c r="F45" s="2" t="s">
        <v>183</v>
      </c>
      <c r="G45" s="2" t="str">
        <f>Table13[[#This Row],[Month]]&amp;", "&amp;Table13[[#This Row],[FY]]</f>
        <v>MAY, FY19</v>
      </c>
      <c r="H45" s="2" t="str">
        <f>Table13[[#This Row],[Week]]&amp;", "&amp;Table13[[#This Row],[Month]]&amp;" "&amp;Table13[[#This Row],[FY]]</f>
        <v>Week 44, MAY FY19</v>
      </c>
      <c r="I45" s="2" t="str">
        <f>Table13[[#This Row],[Month]]&amp;", "&amp;Table13[[#This Row],[FY]]</f>
        <v>MAY, FY19</v>
      </c>
      <c r="J45" s="2" t="str">
        <f>"Q"&amp;Table13[[#This Row],[QTR]]&amp;", "&amp;Table13[[#This Row],[FY]]</f>
        <v>Q4, FY19</v>
      </c>
    </row>
    <row r="46" spans="1:10" x14ac:dyDescent="0.25">
      <c r="A46" s="1">
        <f t="shared" si="3"/>
        <v>43584</v>
      </c>
      <c r="B46" s="1">
        <f t="shared" si="3"/>
        <v>43590</v>
      </c>
      <c r="C46" s="2" t="s">
        <v>237</v>
      </c>
      <c r="D46" s="2" t="s">
        <v>236</v>
      </c>
      <c r="E46" s="2">
        <f t="shared" si="1"/>
        <v>4</v>
      </c>
      <c r="F46" s="2" t="s">
        <v>183</v>
      </c>
      <c r="G46" s="2" t="str">
        <f>Table13[[#This Row],[Month]]&amp;", "&amp;Table13[[#This Row],[FY]]</f>
        <v>MAY, FY19</v>
      </c>
      <c r="H46" s="2" t="str">
        <f>Table13[[#This Row],[Week]]&amp;", "&amp;Table13[[#This Row],[Month]]&amp;" "&amp;Table13[[#This Row],[FY]]</f>
        <v>Week 45, MAY FY19</v>
      </c>
      <c r="I46" s="2" t="str">
        <f>Table13[[#This Row],[Month]]&amp;", "&amp;Table13[[#This Row],[FY]]</f>
        <v>MAY, FY19</v>
      </c>
      <c r="J46" s="2" t="str">
        <f>"Q"&amp;Table13[[#This Row],[QTR]]&amp;", "&amp;Table13[[#This Row],[FY]]</f>
        <v>Q4, FY19</v>
      </c>
    </row>
    <row r="47" spans="1:10" x14ac:dyDescent="0.25">
      <c r="A47" s="1">
        <f t="shared" si="3"/>
        <v>43591</v>
      </c>
      <c r="B47" s="1">
        <f t="shared" si="3"/>
        <v>43597</v>
      </c>
      <c r="C47" s="2" t="s">
        <v>238</v>
      </c>
      <c r="D47" s="2" t="s">
        <v>236</v>
      </c>
      <c r="E47" s="2">
        <f t="shared" si="1"/>
        <v>4</v>
      </c>
      <c r="F47" s="2" t="s">
        <v>183</v>
      </c>
      <c r="G47" s="2" t="str">
        <f>Table13[[#This Row],[Month]]&amp;", "&amp;Table13[[#This Row],[FY]]</f>
        <v>MAY, FY19</v>
      </c>
      <c r="H47" s="2" t="str">
        <f>Table13[[#This Row],[Week]]&amp;", "&amp;Table13[[#This Row],[Month]]&amp;" "&amp;Table13[[#This Row],[FY]]</f>
        <v>Week 46, MAY FY19</v>
      </c>
      <c r="I47" s="2" t="str">
        <f>Table13[[#This Row],[Month]]&amp;", "&amp;Table13[[#This Row],[FY]]</f>
        <v>MAY, FY19</v>
      </c>
      <c r="J47" s="2" t="str">
        <f>"Q"&amp;Table13[[#This Row],[QTR]]&amp;", "&amp;Table13[[#This Row],[FY]]</f>
        <v>Q4, FY19</v>
      </c>
    </row>
    <row r="48" spans="1:10" x14ac:dyDescent="0.25">
      <c r="A48" s="1">
        <f t="shared" si="3"/>
        <v>43598</v>
      </c>
      <c r="B48" s="1">
        <f t="shared" si="3"/>
        <v>43604</v>
      </c>
      <c r="C48" s="2" t="s">
        <v>239</v>
      </c>
      <c r="D48" s="2" t="s">
        <v>236</v>
      </c>
      <c r="E48" s="2">
        <f t="shared" si="1"/>
        <v>4</v>
      </c>
      <c r="F48" s="2" t="s">
        <v>183</v>
      </c>
      <c r="G48" s="2" t="str">
        <f>Table13[[#This Row],[Month]]&amp;", "&amp;Table13[[#This Row],[FY]]</f>
        <v>MAY, FY19</v>
      </c>
      <c r="H48" s="2" t="str">
        <f>Table13[[#This Row],[Week]]&amp;", "&amp;Table13[[#This Row],[Month]]&amp;" "&amp;Table13[[#This Row],[FY]]</f>
        <v>Week 47, MAY FY19</v>
      </c>
      <c r="I48" s="2" t="str">
        <f>Table13[[#This Row],[Month]]&amp;", "&amp;Table13[[#This Row],[FY]]</f>
        <v>MAY, FY19</v>
      </c>
      <c r="J48" s="2" t="str">
        <f>"Q"&amp;Table13[[#This Row],[QTR]]&amp;", "&amp;Table13[[#This Row],[FY]]</f>
        <v>Q4, FY19</v>
      </c>
    </row>
    <row r="49" spans="1:10" x14ac:dyDescent="0.25">
      <c r="A49" s="1">
        <f t="shared" si="3"/>
        <v>43605</v>
      </c>
      <c r="B49" s="1">
        <f t="shared" si="3"/>
        <v>43611</v>
      </c>
      <c r="C49" s="2" t="s">
        <v>240</v>
      </c>
      <c r="D49" s="2" t="s">
        <v>236</v>
      </c>
      <c r="E49" s="2">
        <f t="shared" si="1"/>
        <v>4</v>
      </c>
      <c r="F49" s="2" t="s">
        <v>183</v>
      </c>
      <c r="G49" s="2" t="str">
        <f>Table13[[#This Row],[Month]]&amp;", "&amp;Table13[[#This Row],[FY]]</f>
        <v>MAY, FY19</v>
      </c>
      <c r="H49" s="2" t="str">
        <f>Table13[[#This Row],[Week]]&amp;", "&amp;Table13[[#This Row],[Month]]&amp;" "&amp;Table13[[#This Row],[FY]]</f>
        <v>Week 48, MAY FY19</v>
      </c>
      <c r="I49" s="2" t="str">
        <f>Table13[[#This Row],[Month]]&amp;", "&amp;Table13[[#This Row],[FY]]</f>
        <v>MAY, FY19</v>
      </c>
      <c r="J49" s="2" t="str">
        <f>"Q"&amp;Table13[[#This Row],[QTR]]&amp;", "&amp;Table13[[#This Row],[FY]]</f>
        <v>Q4, FY19</v>
      </c>
    </row>
    <row r="50" spans="1:10" x14ac:dyDescent="0.25">
      <c r="A50" s="1">
        <f t="shared" si="3"/>
        <v>43612</v>
      </c>
      <c r="B50" s="1">
        <f t="shared" si="3"/>
        <v>43618</v>
      </c>
      <c r="C50" s="2" t="s">
        <v>241</v>
      </c>
      <c r="D50" s="2" t="s">
        <v>242</v>
      </c>
      <c r="E50" s="2">
        <f t="shared" si="1"/>
        <v>4</v>
      </c>
      <c r="F50" s="2" t="s">
        <v>183</v>
      </c>
      <c r="G50" s="2" t="str">
        <f>Table13[[#This Row],[Month]]&amp;", "&amp;Table13[[#This Row],[FY]]</f>
        <v>JUN, FY19</v>
      </c>
      <c r="H50" s="2" t="str">
        <f>Table13[[#This Row],[Week]]&amp;", "&amp;Table13[[#This Row],[Month]]&amp;" "&amp;Table13[[#This Row],[FY]]</f>
        <v>Week 49, JUN FY19</v>
      </c>
      <c r="I50" s="2" t="str">
        <f>Table13[[#This Row],[Month]]&amp;", "&amp;Table13[[#This Row],[FY]]</f>
        <v>JUN, FY19</v>
      </c>
      <c r="J50" s="2" t="str">
        <f>"Q"&amp;Table13[[#This Row],[QTR]]&amp;", "&amp;Table13[[#This Row],[FY]]</f>
        <v>Q4, FY19</v>
      </c>
    </row>
    <row r="51" spans="1:10" x14ac:dyDescent="0.25">
      <c r="A51" s="1">
        <f t="shared" ref="A51:B66" si="4">A50+7</f>
        <v>43619</v>
      </c>
      <c r="B51" s="1">
        <f t="shared" si="4"/>
        <v>43625</v>
      </c>
      <c r="C51" s="2" t="s">
        <v>243</v>
      </c>
      <c r="D51" s="2" t="s">
        <v>242</v>
      </c>
      <c r="E51" s="2">
        <f t="shared" si="1"/>
        <v>4</v>
      </c>
      <c r="F51" s="2" t="s">
        <v>183</v>
      </c>
      <c r="G51" s="2" t="str">
        <f>Table13[[#This Row],[Month]]&amp;", "&amp;Table13[[#This Row],[FY]]</f>
        <v>JUN, FY19</v>
      </c>
      <c r="H51" s="2" t="str">
        <f>Table13[[#This Row],[Week]]&amp;", "&amp;Table13[[#This Row],[Month]]&amp;" "&amp;Table13[[#This Row],[FY]]</f>
        <v>Week 50, JUN FY19</v>
      </c>
      <c r="I51" s="2" t="str">
        <f>Table13[[#This Row],[Month]]&amp;", "&amp;Table13[[#This Row],[FY]]</f>
        <v>JUN, FY19</v>
      </c>
      <c r="J51" s="2" t="str">
        <f>"Q"&amp;Table13[[#This Row],[QTR]]&amp;", "&amp;Table13[[#This Row],[FY]]</f>
        <v>Q4, FY19</v>
      </c>
    </row>
    <row r="52" spans="1:10" x14ac:dyDescent="0.25">
      <c r="A52" s="1">
        <f t="shared" si="4"/>
        <v>43626</v>
      </c>
      <c r="B52" s="1">
        <f t="shared" si="4"/>
        <v>43632</v>
      </c>
      <c r="C52" s="2" t="s">
        <v>244</v>
      </c>
      <c r="D52" s="2" t="s">
        <v>242</v>
      </c>
      <c r="E52" s="2">
        <f t="shared" si="1"/>
        <v>4</v>
      </c>
      <c r="F52" s="2" t="s">
        <v>183</v>
      </c>
      <c r="G52" s="2" t="str">
        <f>Table13[[#This Row],[Month]]&amp;", "&amp;Table13[[#This Row],[FY]]</f>
        <v>JUN, FY19</v>
      </c>
      <c r="H52" s="2" t="str">
        <f>Table13[[#This Row],[Week]]&amp;", "&amp;Table13[[#This Row],[Month]]&amp;" "&amp;Table13[[#This Row],[FY]]</f>
        <v>Week 51, JUN FY19</v>
      </c>
      <c r="I52" s="2" t="str">
        <f>Table13[[#This Row],[Month]]&amp;", "&amp;Table13[[#This Row],[FY]]</f>
        <v>JUN, FY19</v>
      </c>
      <c r="J52" s="2" t="str">
        <f>"Q"&amp;Table13[[#This Row],[QTR]]&amp;", "&amp;Table13[[#This Row],[FY]]</f>
        <v>Q4, FY19</v>
      </c>
    </row>
    <row r="53" spans="1:10" x14ac:dyDescent="0.25">
      <c r="A53" s="1">
        <f t="shared" si="4"/>
        <v>43633</v>
      </c>
      <c r="B53" s="1">
        <f>B52+7</f>
        <v>43639</v>
      </c>
      <c r="C53" s="2" t="s">
        <v>245</v>
      </c>
      <c r="D53" s="2" t="s">
        <v>242</v>
      </c>
      <c r="E53" s="2">
        <f t="shared" si="1"/>
        <v>4</v>
      </c>
      <c r="F53" s="2" t="s">
        <v>183</v>
      </c>
      <c r="G53" s="2" t="str">
        <f>Table13[[#This Row],[Month]]&amp;", "&amp;Table13[[#This Row],[FY]]</f>
        <v>JUN, FY19</v>
      </c>
      <c r="H53" s="2" t="str">
        <f>Table13[[#This Row],[Week]]&amp;", "&amp;Table13[[#This Row],[Month]]&amp;" "&amp;Table13[[#This Row],[FY]]</f>
        <v>Week 52, JUN FY19</v>
      </c>
      <c r="I53" s="2" t="str">
        <f>Table13[[#This Row],[Month]]&amp;", "&amp;Table13[[#This Row],[FY]]</f>
        <v>JUN, FY19</v>
      </c>
      <c r="J53" s="2" t="str">
        <f>"Q"&amp;Table13[[#This Row],[QTR]]&amp;", "&amp;Table13[[#This Row],[FY]]</f>
        <v>Q4, FY19</v>
      </c>
    </row>
    <row r="54" spans="1:10" x14ac:dyDescent="0.25">
      <c r="A54" s="1">
        <f t="shared" si="4"/>
        <v>43640</v>
      </c>
      <c r="B54" s="1">
        <f t="shared" si="4"/>
        <v>43646</v>
      </c>
      <c r="C54" s="2" t="s">
        <v>246</v>
      </c>
      <c r="D54" s="2" t="s">
        <v>242</v>
      </c>
      <c r="E54" s="2">
        <v>4</v>
      </c>
      <c r="F54" s="2" t="s">
        <v>183</v>
      </c>
      <c r="G54" s="2" t="str">
        <f>Table13[[#This Row],[Month]]&amp;", "&amp;Table13[[#This Row],[FY]]</f>
        <v>JUN, FY19</v>
      </c>
      <c r="H54" s="2" t="str">
        <f>Table13[[#This Row],[Week]]&amp;", "&amp;Table13[[#This Row],[Month]]&amp;" "&amp;Table13[[#This Row],[FY]]</f>
        <v>Week 53, JUN FY19</v>
      </c>
      <c r="I54" s="2" t="str">
        <f>Table13[[#This Row],[Month]]&amp;", "&amp;Table13[[#This Row],[FY]]</f>
        <v>JUN, FY19</v>
      </c>
      <c r="J54" s="2" t="str">
        <f>"Q"&amp;Table13[[#This Row],[QTR]]&amp;", "&amp;Table13[[#This Row],[FY]]</f>
        <v>Q4, FY19</v>
      </c>
    </row>
    <row r="55" spans="1:10" x14ac:dyDescent="0.25">
      <c r="A55" s="1">
        <f t="shared" si="4"/>
        <v>43647</v>
      </c>
      <c r="B55" s="1">
        <f t="shared" si="4"/>
        <v>43653</v>
      </c>
      <c r="C55" s="2" t="s">
        <v>181</v>
      </c>
      <c r="D55" s="2" t="s">
        <v>182</v>
      </c>
      <c r="E55" s="2">
        <v>1</v>
      </c>
      <c r="F55" s="2" t="s">
        <v>247</v>
      </c>
      <c r="G55" s="2" t="str">
        <f>Table13[[#This Row],[Month]]&amp;", "&amp;Table13[[#This Row],[FY]]</f>
        <v>JUL, FY20</v>
      </c>
      <c r="H55" s="2" t="str">
        <f>Table13[[#This Row],[Week]]&amp;", "&amp;Table13[[#This Row],[Month]]&amp;" "&amp;Table13[[#This Row],[FY]]</f>
        <v>Week 1, JUL FY20</v>
      </c>
      <c r="I55" s="2" t="str">
        <f>Table13[[#This Row],[Month]]&amp;", "&amp;Table13[[#This Row],[FY]]</f>
        <v>JUL, FY20</v>
      </c>
      <c r="J55" s="2" t="str">
        <f>"Q"&amp;Table13[[#This Row],[QTR]]&amp;", "&amp;Table13[[#This Row],[FY]]</f>
        <v>Q1, FY20</v>
      </c>
    </row>
    <row r="56" spans="1:10" x14ac:dyDescent="0.25">
      <c r="A56" s="1">
        <f t="shared" si="4"/>
        <v>43654</v>
      </c>
      <c r="B56" s="1">
        <f t="shared" si="4"/>
        <v>43660</v>
      </c>
      <c r="C56" s="2" t="s">
        <v>184</v>
      </c>
      <c r="D56" s="2" t="s">
        <v>182</v>
      </c>
      <c r="E56" s="2">
        <v>1</v>
      </c>
      <c r="F56" s="2" t="s">
        <v>247</v>
      </c>
      <c r="G56" s="2" t="str">
        <f>Table13[[#This Row],[Month]]&amp;", "&amp;Table13[[#This Row],[FY]]</f>
        <v>JUL, FY20</v>
      </c>
      <c r="H56" s="2" t="str">
        <f>Table13[[#This Row],[Week]]&amp;", "&amp;Table13[[#This Row],[Month]]&amp;" "&amp;Table13[[#This Row],[FY]]</f>
        <v>Week 2, JUL FY20</v>
      </c>
      <c r="I56" s="2" t="str">
        <f>Table13[[#This Row],[Month]]&amp;", "&amp;Table13[[#This Row],[FY]]</f>
        <v>JUL, FY20</v>
      </c>
      <c r="J56" s="2" t="str">
        <f>"Q"&amp;Table13[[#This Row],[QTR]]&amp;", "&amp;Table13[[#This Row],[FY]]</f>
        <v>Q1, FY20</v>
      </c>
    </row>
    <row r="57" spans="1:10" x14ac:dyDescent="0.25">
      <c r="A57" s="1">
        <f t="shared" si="4"/>
        <v>43661</v>
      </c>
      <c r="B57" s="1">
        <f t="shared" si="4"/>
        <v>43667</v>
      </c>
      <c r="C57" s="2" t="s">
        <v>185</v>
      </c>
      <c r="D57" s="2" t="s">
        <v>182</v>
      </c>
      <c r="E57" s="2">
        <v>1</v>
      </c>
      <c r="F57" s="2" t="s">
        <v>247</v>
      </c>
      <c r="G57" s="2" t="str">
        <f>Table13[[#This Row],[Month]]&amp;", "&amp;Table13[[#This Row],[FY]]</f>
        <v>JUL, FY20</v>
      </c>
      <c r="H57" s="2" t="str">
        <f>Table13[[#This Row],[Week]]&amp;", "&amp;Table13[[#This Row],[Month]]&amp;" "&amp;Table13[[#This Row],[FY]]</f>
        <v>Week 3, JUL FY20</v>
      </c>
      <c r="I57" s="2" t="str">
        <f>Table13[[#This Row],[Month]]&amp;", "&amp;Table13[[#This Row],[FY]]</f>
        <v>JUL, FY20</v>
      </c>
      <c r="J57" s="2" t="str">
        <f>"Q"&amp;Table13[[#This Row],[QTR]]&amp;", "&amp;Table13[[#This Row],[FY]]</f>
        <v>Q1, FY20</v>
      </c>
    </row>
    <row r="58" spans="1:10" x14ac:dyDescent="0.25">
      <c r="A58" s="1">
        <f t="shared" si="4"/>
        <v>43668</v>
      </c>
      <c r="B58" s="1">
        <f t="shared" si="4"/>
        <v>43674</v>
      </c>
      <c r="C58" s="2" t="s">
        <v>186</v>
      </c>
      <c r="D58" s="2" t="s">
        <v>182</v>
      </c>
      <c r="E58" s="2">
        <v>1</v>
      </c>
      <c r="F58" s="2" t="s">
        <v>247</v>
      </c>
      <c r="G58" s="2" t="str">
        <f>Table13[[#This Row],[Month]]&amp;", "&amp;Table13[[#This Row],[FY]]</f>
        <v>JUL, FY20</v>
      </c>
      <c r="H58" s="2" t="str">
        <f>Table13[[#This Row],[Week]]&amp;", "&amp;Table13[[#This Row],[Month]]&amp;" "&amp;Table13[[#This Row],[FY]]</f>
        <v>Week 4, JUL FY20</v>
      </c>
      <c r="I58" s="2" t="str">
        <f>Table13[[#This Row],[Month]]&amp;", "&amp;Table13[[#This Row],[FY]]</f>
        <v>JUL, FY20</v>
      </c>
      <c r="J58" s="2" t="str">
        <f>"Q"&amp;Table13[[#This Row],[QTR]]&amp;", "&amp;Table13[[#This Row],[FY]]</f>
        <v>Q1, FY20</v>
      </c>
    </row>
    <row r="59" spans="1:10" x14ac:dyDescent="0.25">
      <c r="A59" s="1">
        <f t="shared" si="4"/>
        <v>43675</v>
      </c>
      <c r="B59" s="1">
        <f t="shared" si="4"/>
        <v>43681</v>
      </c>
      <c r="C59" s="2" t="s">
        <v>187</v>
      </c>
      <c r="D59" s="2" t="s">
        <v>188</v>
      </c>
      <c r="E59" s="2">
        <v>1</v>
      </c>
      <c r="F59" s="2" t="s">
        <v>247</v>
      </c>
      <c r="G59" s="2" t="str">
        <f>Table13[[#This Row],[Month]]&amp;", "&amp;Table13[[#This Row],[FY]]</f>
        <v>AUG, FY20</v>
      </c>
      <c r="H59" s="2" t="str">
        <f>Table13[[#This Row],[Week]]&amp;", "&amp;Table13[[#This Row],[Month]]&amp;" "&amp;Table13[[#This Row],[FY]]</f>
        <v>Week 5, AUG FY20</v>
      </c>
      <c r="I59" s="2" t="str">
        <f>Table13[[#This Row],[Month]]&amp;", "&amp;Table13[[#This Row],[FY]]</f>
        <v>AUG, FY20</v>
      </c>
      <c r="J59" s="2" t="str">
        <f>"Q"&amp;Table13[[#This Row],[QTR]]&amp;", "&amp;Table13[[#This Row],[FY]]</f>
        <v>Q1, FY20</v>
      </c>
    </row>
    <row r="60" spans="1:10" x14ac:dyDescent="0.25">
      <c r="A60" s="1">
        <f t="shared" si="4"/>
        <v>43682</v>
      </c>
      <c r="B60" s="1">
        <f t="shared" si="4"/>
        <v>43688</v>
      </c>
      <c r="C60" s="2" t="s">
        <v>189</v>
      </c>
      <c r="D60" s="2" t="s">
        <v>188</v>
      </c>
      <c r="E60" s="2">
        <v>1</v>
      </c>
      <c r="F60" s="2" t="s">
        <v>247</v>
      </c>
      <c r="G60" s="2" t="str">
        <f>Table13[[#This Row],[Month]]&amp;", "&amp;Table13[[#This Row],[FY]]</f>
        <v>AUG, FY20</v>
      </c>
      <c r="H60" s="2" t="str">
        <f>Table13[[#This Row],[Week]]&amp;", "&amp;Table13[[#This Row],[Month]]&amp;" "&amp;Table13[[#This Row],[FY]]</f>
        <v>Week 6, AUG FY20</v>
      </c>
      <c r="I60" s="2" t="str">
        <f>Table13[[#This Row],[Month]]&amp;", "&amp;Table13[[#This Row],[FY]]</f>
        <v>AUG, FY20</v>
      </c>
      <c r="J60" s="2" t="str">
        <f>"Q"&amp;Table13[[#This Row],[QTR]]&amp;", "&amp;Table13[[#This Row],[FY]]</f>
        <v>Q1, FY20</v>
      </c>
    </row>
    <row r="61" spans="1:10" x14ac:dyDescent="0.25">
      <c r="A61" s="1">
        <f t="shared" si="4"/>
        <v>43689</v>
      </c>
      <c r="B61" s="1">
        <f t="shared" si="4"/>
        <v>43695</v>
      </c>
      <c r="C61" s="2" t="s">
        <v>190</v>
      </c>
      <c r="D61" s="2" t="s">
        <v>188</v>
      </c>
      <c r="E61" s="2">
        <v>1</v>
      </c>
      <c r="F61" s="2" t="s">
        <v>247</v>
      </c>
      <c r="G61" s="2" t="str">
        <f>Table13[[#This Row],[Month]]&amp;", "&amp;Table13[[#This Row],[FY]]</f>
        <v>AUG, FY20</v>
      </c>
      <c r="H61" s="2" t="str">
        <f>Table13[[#This Row],[Week]]&amp;", "&amp;Table13[[#This Row],[Month]]&amp;" "&amp;Table13[[#This Row],[FY]]</f>
        <v>Week 7, AUG FY20</v>
      </c>
      <c r="I61" s="2" t="str">
        <f>Table13[[#This Row],[Month]]&amp;", "&amp;Table13[[#This Row],[FY]]</f>
        <v>AUG, FY20</v>
      </c>
      <c r="J61" s="2" t="str">
        <f>"Q"&amp;Table13[[#This Row],[QTR]]&amp;", "&amp;Table13[[#This Row],[FY]]</f>
        <v>Q1, FY20</v>
      </c>
    </row>
    <row r="62" spans="1:10" x14ac:dyDescent="0.25">
      <c r="A62" s="1">
        <f t="shared" si="4"/>
        <v>43696</v>
      </c>
      <c r="B62" s="1">
        <f t="shared" si="4"/>
        <v>43702</v>
      </c>
      <c r="C62" s="2" t="s">
        <v>191</v>
      </c>
      <c r="D62" s="2" t="s">
        <v>188</v>
      </c>
      <c r="E62" s="2">
        <v>1</v>
      </c>
      <c r="F62" s="2" t="s">
        <v>247</v>
      </c>
      <c r="G62" s="2" t="str">
        <f>Table13[[#This Row],[Month]]&amp;", "&amp;Table13[[#This Row],[FY]]</f>
        <v>AUG, FY20</v>
      </c>
      <c r="H62" s="2" t="str">
        <f>Table13[[#This Row],[Week]]&amp;", "&amp;Table13[[#This Row],[Month]]&amp;" "&amp;Table13[[#This Row],[FY]]</f>
        <v>Week 8, AUG FY20</v>
      </c>
      <c r="I62" s="2" t="str">
        <f>Table13[[#This Row],[Month]]&amp;", "&amp;Table13[[#This Row],[FY]]</f>
        <v>AUG, FY20</v>
      </c>
      <c r="J62" s="2" t="str">
        <f>"Q"&amp;Table13[[#This Row],[QTR]]&amp;", "&amp;Table13[[#This Row],[FY]]</f>
        <v>Q1, FY20</v>
      </c>
    </row>
    <row r="63" spans="1:10" x14ac:dyDescent="0.25">
      <c r="A63" s="1">
        <f t="shared" si="4"/>
        <v>43703</v>
      </c>
      <c r="B63" s="1">
        <f t="shared" si="4"/>
        <v>43709</v>
      </c>
      <c r="C63" s="2" t="s">
        <v>192</v>
      </c>
      <c r="D63" s="2" t="s">
        <v>188</v>
      </c>
      <c r="E63" s="2">
        <v>1</v>
      </c>
      <c r="F63" s="2" t="s">
        <v>247</v>
      </c>
      <c r="G63" s="2" t="str">
        <f>Table13[[#This Row],[Month]]&amp;", "&amp;Table13[[#This Row],[FY]]</f>
        <v>AUG, FY20</v>
      </c>
      <c r="H63" s="2" t="str">
        <f>Table13[[#This Row],[Week]]&amp;", "&amp;Table13[[#This Row],[Month]]&amp;" "&amp;Table13[[#This Row],[FY]]</f>
        <v>Week 9, AUG FY20</v>
      </c>
      <c r="I63" s="2" t="str">
        <f>Table13[[#This Row],[Month]]&amp;", "&amp;Table13[[#This Row],[FY]]</f>
        <v>AUG, FY20</v>
      </c>
      <c r="J63" s="2" t="str">
        <f>"Q"&amp;Table13[[#This Row],[QTR]]&amp;", "&amp;Table13[[#This Row],[FY]]</f>
        <v>Q1, FY20</v>
      </c>
    </row>
    <row r="64" spans="1:10" x14ac:dyDescent="0.25">
      <c r="A64" s="1">
        <f t="shared" si="4"/>
        <v>43710</v>
      </c>
      <c r="B64" s="1">
        <f t="shared" si="4"/>
        <v>43716</v>
      </c>
      <c r="C64" s="2" t="s">
        <v>193</v>
      </c>
      <c r="D64" s="2" t="s">
        <v>194</v>
      </c>
      <c r="E64" s="2">
        <v>1</v>
      </c>
      <c r="F64" s="2" t="s">
        <v>247</v>
      </c>
      <c r="G64" s="2" t="str">
        <f>Table13[[#This Row],[Month]]&amp;", "&amp;Table13[[#This Row],[FY]]</f>
        <v>SEP, FY20</v>
      </c>
      <c r="H64" s="2" t="str">
        <f>Table13[[#This Row],[Week]]&amp;", "&amp;Table13[[#This Row],[Month]]&amp;" "&amp;Table13[[#This Row],[FY]]</f>
        <v>Week 10, SEP FY20</v>
      </c>
      <c r="I64" s="2" t="str">
        <f>Table13[[#This Row],[Month]]&amp;", "&amp;Table13[[#This Row],[FY]]</f>
        <v>SEP, FY20</v>
      </c>
      <c r="J64" s="2" t="str">
        <f>"Q"&amp;Table13[[#This Row],[QTR]]&amp;", "&amp;Table13[[#This Row],[FY]]</f>
        <v>Q1, FY20</v>
      </c>
    </row>
    <row r="65" spans="1:10" x14ac:dyDescent="0.25">
      <c r="A65" s="1">
        <f t="shared" si="4"/>
        <v>43717</v>
      </c>
      <c r="B65" s="1">
        <f t="shared" si="4"/>
        <v>43723</v>
      </c>
      <c r="C65" s="2" t="s">
        <v>195</v>
      </c>
      <c r="D65" s="2" t="s">
        <v>194</v>
      </c>
      <c r="E65" s="2">
        <v>1</v>
      </c>
      <c r="F65" s="2" t="s">
        <v>247</v>
      </c>
      <c r="G65" s="2" t="str">
        <f>Table13[[#This Row],[Month]]&amp;", "&amp;Table13[[#This Row],[FY]]</f>
        <v>SEP, FY20</v>
      </c>
      <c r="H65" s="2" t="str">
        <f>Table13[[#This Row],[Week]]&amp;", "&amp;Table13[[#This Row],[Month]]&amp;" "&amp;Table13[[#This Row],[FY]]</f>
        <v>Week 11, SEP FY20</v>
      </c>
      <c r="I65" s="2" t="str">
        <f>Table13[[#This Row],[Month]]&amp;", "&amp;Table13[[#This Row],[FY]]</f>
        <v>SEP, FY20</v>
      </c>
      <c r="J65" s="2" t="str">
        <f>"Q"&amp;Table13[[#This Row],[QTR]]&amp;", "&amp;Table13[[#This Row],[FY]]</f>
        <v>Q1, FY20</v>
      </c>
    </row>
    <row r="66" spans="1:10" x14ac:dyDescent="0.25">
      <c r="A66" s="1">
        <f t="shared" si="4"/>
        <v>43724</v>
      </c>
      <c r="B66" s="1">
        <f t="shared" si="4"/>
        <v>43730</v>
      </c>
      <c r="C66" s="2" t="s">
        <v>196</v>
      </c>
      <c r="D66" s="2" t="s">
        <v>194</v>
      </c>
      <c r="E66" s="2">
        <v>1</v>
      </c>
      <c r="F66" s="2" t="s">
        <v>247</v>
      </c>
      <c r="G66" s="2" t="str">
        <f>Table13[[#This Row],[Month]]&amp;", "&amp;Table13[[#This Row],[FY]]</f>
        <v>SEP, FY20</v>
      </c>
      <c r="H66" s="2" t="str">
        <f>Table13[[#This Row],[Week]]&amp;", "&amp;Table13[[#This Row],[Month]]&amp;" "&amp;Table13[[#This Row],[FY]]</f>
        <v>Week 12, SEP FY20</v>
      </c>
      <c r="I66" s="2" t="str">
        <f>Table13[[#This Row],[Month]]&amp;", "&amp;Table13[[#This Row],[FY]]</f>
        <v>SEP, FY20</v>
      </c>
      <c r="J66" s="2" t="str">
        <f>"Q"&amp;Table13[[#This Row],[QTR]]&amp;", "&amp;Table13[[#This Row],[FY]]</f>
        <v>Q1, FY20</v>
      </c>
    </row>
    <row r="67" spans="1:10" x14ac:dyDescent="0.25">
      <c r="A67" s="1">
        <f t="shared" ref="A67:B82" si="5">A66+7</f>
        <v>43731</v>
      </c>
      <c r="B67" s="1">
        <f t="shared" si="5"/>
        <v>43737</v>
      </c>
      <c r="C67" s="2" t="s">
        <v>197</v>
      </c>
      <c r="D67" s="2" t="s">
        <v>194</v>
      </c>
      <c r="E67" s="2">
        <v>1</v>
      </c>
      <c r="F67" s="2" t="s">
        <v>247</v>
      </c>
      <c r="G67" s="2" t="str">
        <f>Table13[[#This Row],[Month]]&amp;", "&amp;Table13[[#This Row],[FY]]</f>
        <v>SEP, FY20</v>
      </c>
      <c r="H67" s="2" t="str">
        <f>Table13[[#This Row],[Week]]&amp;", "&amp;Table13[[#This Row],[Month]]&amp;" "&amp;Table13[[#This Row],[FY]]</f>
        <v>Week 13, SEP FY20</v>
      </c>
      <c r="I67" s="2" t="str">
        <f>Table13[[#This Row],[Month]]&amp;", "&amp;Table13[[#This Row],[FY]]</f>
        <v>SEP, FY20</v>
      </c>
      <c r="J67" s="2" t="str">
        <f>"Q"&amp;Table13[[#This Row],[QTR]]&amp;", "&amp;Table13[[#This Row],[FY]]</f>
        <v>Q1, FY20</v>
      </c>
    </row>
    <row r="68" spans="1:10" x14ac:dyDescent="0.25">
      <c r="A68" s="1">
        <f t="shared" si="5"/>
        <v>43738</v>
      </c>
      <c r="B68" s="1">
        <f t="shared" si="5"/>
        <v>43744</v>
      </c>
      <c r="C68" s="2" t="s">
        <v>198</v>
      </c>
      <c r="D68" s="2" t="s">
        <v>199</v>
      </c>
      <c r="E68" s="2">
        <f t="shared" ref="E68:E105" si="6">E55+1</f>
        <v>2</v>
      </c>
      <c r="F68" s="2" t="s">
        <v>247</v>
      </c>
      <c r="G68" s="2" t="str">
        <f>Table13[[#This Row],[Month]]&amp;", "&amp;Table13[[#This Row],[FY]]</f>
        <v>OCT, FY20</v>
      </c>
      <c r="H68" s="2" t="str">
        <f>Table13[[#This Row],[Week]]&amp;", "&amp;Table13[[#This Row],[Month]]&amp;" "&amp;Table13[[#This Row],[FY]]</f>
        <v>Week 14, OCT FY20</v>
      </c>
      <c r="I68" s="2" t="str">
        <f>Table13[[#This Row],[Month]]&amp;", "&amp;Table13[[#This Row],[FY]]</f>
        <v>OCT, FY20</v>
      </c>
      <c r="J68" s="2" t="str">
        <f>"Q"&amp;Table13[[#This Row],[QTR]]&amp;", "&amp;Table13[[#This Row],[FY]]</f>
        <v>Q2, FY20</v>
      </c>
    </row>
    <row r="69" spans="1:10" x14ac:dyDescent="0.25">
      <c r="A69" s="1">
        <f t="shared" si="5"/>
        <v>43745</v>
      </c>
      <c r="B69" s="1">
        <f t="shared" si="5"/>
        <v>43751</v>
      </c>
      <c r="C69" s="2" t="s">
        <v>200</v>
      </c>
      <c r="D69" s="2" t="s">
        <v>199</v>
      </c>
      <c r="E69" s="2">
        <f t="shared" si="6"/>
        <v>2</v>
      </c>
      <c r="F69" s="2" t="s">
        <v>247</v>
      </c>
      <c r="G69" s="2" t="str">
        <f>Table13[[#This Row],[Month]]&amp;", "&amp;Table13[[#This Row],[FY]]</f>
        <v>OCT, FY20</v>
      </c>
      <c r="H69" s="2" t="str">
        <f>Table13[[#This Row],[Week]]&amp;", "&amp;Table13[[#This Row],[Month]]&amp;" "&amp;Table13[[#This Row],[FY]]</f>
        <v>Week 15, OCT FY20</v>
      </c>
      <c r="I69" s="2" t="str">
        <f>Table13[[#This Row],[Month]]&amp;", "&amp;Table13[[#This Row],[FY]]</f>
        <v>OCT, FY20</v>
      </c>
      <c r="J69" s="2" t="str">
        <f>"Q"&amp;Table13[[#This Row],[QTR]]&amp;", "&amp;Table13[[#This Row],[FY]]</f>
        <v>Q2, FY20</v>
      </c>
    </row>
    <row r="70" spans="1:10" x14ac:dyDescent="0.25">
      <c r="A70" s="1">
        <f t="shared" si="5"/>
        <v>43752</v>
      </c>
      <c r="B70" s="1">
        <f t="shared" si="5"/>
        <v>43758</v>
      </c>
      <c r="C70" s="2" t="s">
        <v>201</v>
      </c>
      <c r="D70" s="2" t="s">
        <v>199</v>
      </c>
      <c r="E70" s="2">
        <f t="shared" si="6"/>
        <v>2</v>
      </c>
      <c r="F70" s="2" t="s">
        <v>247</v>
      </c>
      <c r="G70" s="2" t="str">
        <f>Table13[[#This Row],[Month]]&amp;", "&amp;Table13[[#This Row],[FY]]</f>
        <v>OCT, FY20</v>
      </c>
      <c r="H70" s="2" t="str">
        <f>Table13[[#This Row],[Week]]&amp;", "&amp;Table13[[#This Row],[Month]]&amp;" "&amp;Table13[[#This Row],[FY]]</f>
        <v>Week 16, OCT FY20</v>
      </c>
      <c r="I70" s="2" t="str">
        <f>Table13[[#This Row],[Month]]&amp;", "&amp;Table13[[#This Row],[FY]]</f>
        <v>OCT, FY20</v>
      </c>
      <c r="J70" s="2" t="str">
        <f>"Q"&amp;Table13[[#This Row],[QTR]]&amp;", "&amp;Table13[[#This Row],[FY]]</f>
        <v>Q2, FY20</v>
      </c>
    </row>
    <row r="71" spans="1:10" x14ac:dyDescent="0.25">
      <c r="A71" s="1">
        <f t="shared" si="5"/>
        <v>43759</v>
      </c>
      <c r="B71" s="1">
        <f t="shared" si="5"/>
        <v>43765</v>
      </c>
      <c r="C71" s="2" t="s">
        <v>202</v>
      </c>
      <c r="D71" s="2" t="s">
        <v>199</v>
      </c>
      <c r="E71" s="2">
        <f t="shared" si="6"/>
        <v>2</v>
      </c>
      <c r="F71" s="2" t="s">
        <v>247</v>
      </c>
      <c r="G71" s="2" t="str">
        <f>Table13[[#This Row],[Month]]&amp;", "&amp;Table13[[#This Row],[FY]]</f>
        <v>OCT, FY20</v>
      </c>
      <c r="H71" s="2" t="str">
        <f>Table13[[#This Row],[Week]]&amp;", "&amp;Table13[[#This Row],[Month]]&amp;" "&amp;Table13[[#This Row],[FY]]</f>
        <v>Week 17, OCT FY20</v>
      </c>
      <c r="I71" s="2" t="str">
        <f>Table13[[#This Row],[Month]]&amp;", "&amp;Table13[[#This Row],[FY]]</f>
        <v>OCT, FY20</v>
      </c>
      <c r="J71" s="2" t="str">
        <f>"Q"&amp;Table13[[#This Row],[QTR]]&amp;", "&amp;Table13[[#This Row],[FY]]</f>
        <v>Q2, FY20</v>
      </c>
    </row>
    <row r="72" spans="1:10" x14ac:dyDescent="0.25">
      <c r="A72" s="1">
        <f t="shared" si="5"/>
        <v>43766</v>
      </c>
      <c r="B72" s="1">
        <f t="shared" si="5"/>
        <v>43772</v>
      </c>
      <c r="C72" s="2" t="s">
        <v>203</v>
      </c>
      <c r="D72" s="2" t="s">
        <v>204</v>
      </c>
      <c r="E72" s="2">
        <f t="shared" si="6"/>
        <v>2</v>
      </c>
      <c r="F72" s="2" t="s">
        <v>247</v>
      </c>
      <c r="G72" s="2" t="str">
        <f>Table13[[#This Row],[Month]]&amp;", "&amp;Table13[[#This Row],[FY]]</f>
        <v>NOV, FY20</v>
      </c>
      <c r="H72" s="2" t="str">
        <f>Table13[[#This Row],[Week]]&amp;", "&amp;Table13[[#This Row],[Month]]&amp;" "&amp;Table13[[#This Row],[FY]]</f>
        <v>Week 18, NOV FY20</v>
      </c>
      <c r="I72" s="2" t="str">
        <f>Table13[[#This Row],[Month]]&amp;", "&amp;Table13[[#This Row],[FY]]</f>
        <v>NOV, FY20</v>
      </c>
      <c r="J72" s="2" t="str">
        <f>"Q"&amp;Table13[[#This Row],[QTR]]&amp;", "&amp;Table13[[#This Row],[FY]]</f>
        <v>Q2, FY20</v>
      </c>
    </row>
    <row r="73" spans="1:10" x14ac:dyDescent="0.25">
      <c r="A73" s="1">
        <f t="shared" si="5"/>
        <v>43773</v>
      </c>
      <c r="B73" s="1">
        <f t="shared" si="5"/>
        <v>43779</v>
      </c>
      <c r="C73" s="2" t="s">
        <v>205</v>
      </c>
      <c r="D73" s="2" t="s">
        <v>204</v>
      </c>
      <c r="E73" s="2">
        <f t="shared" si="6"/>
        <v>2</v>
      </c>
      <c r="F73" s="2" t="s">
        <v>247</v>
      </c>
      <c r="G73" s="2" t="str">
        <f>Table13[[#This Row],[Month]]&amp;", "&amp;Table13[[#This Row],[FY]]</f>
        <v>NOV, FY20</v>
      </c>
      <c r="H73" s="2" t="str">
        <f>Table13[[#This Row],[Week]]&amp;", "&amp;Table13[[#This Row],[Month]]&amp;" "&amp;Table13[[#This Row],[FY]]</f>
        <v>Week 19, NOV FY20</v>
      </c>
      <c r="I73" s="2" t="str">
        <f>Table13[[#This Row],[Month]]&amp;", "&amp;Table13[[#This Row],[FY]]</f>
        <v>NOV, FY20</v>
      </c>
      <c r="J73" s="2" t="str">
        <f>"Q"&amp;Table13[[#This Row],[QTR]]&amp;", "&amp;Table13[[#This Row],[FY]]</f>
        <v>Q2, FY20</v>
      </c>
    </row>
    <row r="74" spans="1:10" x14ac:dyDescent="0.25">
      <c r="A74" s="1">
        <f t="shared" si="5"/>
        <v>43780</v>
      </c>
      <c r="B74" s="1">
        <f t="shared" si="5"/>
        <v>43786</v>
      </c>
      <c r="C74" s="2" t="s">
        <v>206</v>
      </c>
      <c r="D74" s="2" t="s">
        <v>204</v>
      </c>
      <c r="E74" s="2">
        <f t="shared" si="6"/>
        <v>2</v>
      </c>
      <c r="F74" s="2" t="s">
        <v>247</v>
      </c>
      <c r="G74" s="2" t="str">
        <f>Table13[[#This Row],[Month]]&amp;", "&amp;Table13[[#This Row],[FY]]</f>
        <v>NOV, FY20</v>
      </c>
      <c r="H74" s="2" t="str">
        <f>Table13[[#This Row],[Week]]&amp;", "&amp;Table13[[#This Row],[Month]]&amp;" "&amp;Table13[[#This Row],[FY]]</f>
        <v>Week 20, NOV FY20</v>
      </c>
      <c r="I74" s="2" t="str">
        <f>Table13[[#This Row],[Month]]&amp;", "&amp;Table13[[#This Row],[FY]]</f>
        <v>NOV, FY20</v>
      </c>
      <c r="J74" s="2" t="str">
        <f>"Q"&amp;Table13[[#This Row],[QTR]]&amp;", "&amp;Table13[[#This Row],[FY]]</f>
        <v>Q2, FY20</v>
      </c>
    </row>
    <row r="75" spans="1:10" x14ac:dyDescent="0.25">
      <c r="A75" s="1">
        <f t="shared" si="5"/>
        <v>43787</v>
      </c>
      <c r="B75" s="1">
        <f t="shared" si="5"/>
        <v>43793</v>
      </c>
      <c r="C75" s="2" t="s">
        <v>207</v>
      </c>
      <c r="D75" s="2" t="s">
        <v>204</v>
      </c>
      <c r="E75" s="2">
        <f t="shared" si="6"/>
        <v>2</v>
      </c>
      <c r="F75" s="2" t="s">
        <v>247</v>
      </c>
      <c r="G75" s="2" t="str">
        <f>Table13[[#This Row],[Month]]&amp;", "&amp;Table13[[#This Row],[FY]]</f>
        <v>NOV, FY20</v>
      </c>
      <c r="H75" s="2" t="str">
        <f>Table13[[#This Row],[Week]]&amp;", "&amp;Table13[[#This Row],[Month]]&amp;" "&amp;Table13[[#This Row],[FY]]</f>
        <v>Week 21, NOV FY20</v>
      </c>
      <c r="I75" s="2" t="str">
        <f>Table13[[#This Row],[Month]]&amp;", "&amp;Table13[[#This Row],[FY]]</f>
        <v>NOV, FY20</v>
      </c>
      <c r="J75" s="2" t="str">
        <f>"Q"&amp;Table13[[#This Row],[QTR]]&amp;", "&amp;Table13[[#This Row],[FY]]</f>
        <v>Q2, FY20</v>
      </c>
    </row>
    <row r="76" spans="1:10" x14ac:dyDescent="0.25">
      <c r="A76" s="1">
        <f t="shared" si="5"/>
        <v>43794</v>
      </c>
      <c r="B76" s="1">
        <f t="shared" si="5"/>
        <v>43800</v>
      </c>
      <c r="C76" s="2" t="s">
        <v>208</v>
      </c>
      <c r="D76" s="2" t="s">
        <v>204</v>
      </c>
      <c r="E76" s="2">
        <f t="shared" si="6"/>
        <v>2</v>
      </c>
      <c r="F76" s="2" t="s">
        <v>247</v>
      </c>
      <c r="G76" s="2" t="str">
        <f>Table13[[#This Row],[Month]]&amp;", "&amp;Table13[[#This Row],[FY]]</f>
        <v>NOV, FY20</v>
      </c>
      <c r="H76" s="2" t="str">
        <f>Table13[[#This Row],[Week]]&amp;", "&amp;Table13[[#This Row],[Month]]&amp;" "&amp;Table13[[#This Row],[FY]]</f>
        <v>Week 22, NOV FY20</v>
      </c>
      <c r="I76" s="2" t="str">
        <f>Table13[[#This Row],[Month]]&amp;", "&amp;Table13[[#This Row],[FY]]</f>
        <v>NOV, FY20</v>
      </c>
      <c r="J76" s="2" t="str">
        <f>"Q"&amp;Table13[[#This Row],[QTR]]&amp;", "&amp;Table13[[#This Row],[FY]]</f>
        <v>Q2, FY20</v>
      </c>
    </row>
    <row r="77" spans="1:10" x14ac:dyDescent="0.25">
      <c r="A77" s="1">
        <f t="shared" si="5"/>
        <v>43801</v>
      </c>
      <c r="B77" s="1">
        <f t="shared" si="5"/>
        <v>43807</v>
      </c>
      <c r="C77" s="2" t="s">
        <v>209</v>
      </c>
      <c r="D77" s="2" t="s">
        <v>210</v>
      </c>
      <c r="E77" s="2">
        <f t="shared" si="6"/>
        <v>2</v>
      </c>
      <c r="F77" s="2" t="s">
        <v>247</v>
      </c>
      <c r="G77" s="2" t="str">
        <f>Table13[[#This Row],[Month]]&amp;", "&amp;Table13[[#This Row],[FY]]</f>
        <v>DEC, FY20</v>
      </c>
      <c r="H77" s="2" t="str">
        <f>Table13[[#This Row],[Week]]&amp;", "&amp;Table13[[#This Row],[Month]]&amp;" "&amp;Table13[[#This Row],[FY]]</f>
        <v>Week 23, DEC FY20</v>
      </c>
      <c r="I77" s="2" t="str">
        <f>Table13[[#This Row],[Month]]&amp;", "&amp;Table13[[#This Row],[FY]]</f>
        <v>DEC, FY20</v>
      </c>
      <c r="J77" s="2" t="str">
        <f>"Q"&amp;Table13[[#This Row],[QTR]]&amp;", "&amp;Table13[[#This Row],[FY]]</f>
        <v>Q2, FY20</v>
      </c>
    </row>
    <row r="78" spans="1:10" x14ac:dyDescent="0.25">
      <c r="A78" s="1">
        <f t="shared" si="5"/>
        <v>43808</v>
      </c>
      <c r="B78" s="1">
        <f t="shared" si="5"/>
        <v>43814</v>
      </c>
      <c r="C78" s="2" t="s">
        <v>211</v>
      </c>
      <c r="D78" s="2" t="s">
        <v>210</v>
      </c>
      <c r="E78" s="2">
        <f t="shared" si="6"/>
        <v>2</v>
      </c>
      <c r="F78" s="2" t="s">
        <v>247</v>
      </c>
      <c r="G78" s="2" t="str">
        <f>Table13[[#This Row],[Month]]&amp;", "&amp;Table13[[#This Row],[FY]]</f>
        <v>DEC, FY20</v>
      </c>
      <c r="H78" s="2" t="str">
        <f>Table13[[#This Row],[Week]]&amp;", "&amp;Table13[[#This Row],[Month]]&amp;" "&amp;Table13[[#This Row],[FY]]</f>
        <v>Week 24, DEC FY20</v>
      </c>
      <c r="I78" s="2" t="str">
        <f>Table13[[#This Row],[Month]]&amp;", "&amp;Table13[[#This Row],[FY]]</f>
        <v>DEC, FY20</v>
      </c>
      <c r="J78" s="2" t="str">
        <f>"Q"&amp;Table13[[#This Row],[QTR]]&amp;", "&amp;Table13[[#This Row],[FY]]</f>
        <v>Q2, FY20</v>
      </c>
    </row>
    <row r="79" spans="1:10" x14ac:dyDescent="0.25">
      <c r="A79" s="1">
        <f t="shared" si="5"/>
        <v>43815</v>
      </c>
      <c r="B79" s="1">
        <f t="shared" si="5"/>
        <v>43821</v>
      </c>
      <c r="C79" s="2" t="s">
        <v>212</v>
      </c>
      <c r="D79" s="2" t="s">
        <v>210</v>
      </c>
      <c r="E79" s="2">
        <f t="shared" si="6"/>
        <v>2</v>
      </c>
      <c r="F79" s="2" t="s">
        <v>247</v>
      </c>
      <c r="G79" s="2" t="str">
        <f>Table13[[#This Row],[Month]]&amp;", "&amp;Table13[[#This Row],[FY]]</f>
        <v>DEC, FY20</v>
      </c>
      <c r="H79" s="2" t="str">
        <f>Table13[[#This Row],[Week]]&amp;", "&amp;Table13[[#This Row],[Month]]&amp;" "&amp;Table13[[#This Row],[FY]]</f>
        <v>Week 25, DEC FY20</v>
      </c>
      <c r="I79" s="2" t="str">
        <f>Table13[[#This Row],[Month]]&amp;", "&amp;Table13[[#This Row],[FY]]</f>
        <v>DEC, FY20</v>
      </c>
      <c r="J79" s="2" t="str">
        <f>"Q"&amp;Table13[[#This Row],[QTR]]&amp;", "&amp;Table13[[#This Row],[FY]]</f>
        <v>Q2, FY20</v>
      </c>
    </row>
    <row r="80" spans="1:10" x14ac:dyDescent="0.25">
      <c r="A80" s="1">
        <f t="shared" si="5"/>
        <v>43822</v>
      </c>
      <c r="B80" s="1">
        <f t="shared" si="5"/>
        <v>43828</v>
      </c>
      <c r="C80" s="2" t="s">
        <v>213</v>
      </c>
      <c r="D80" s="2" t="s">
        <v>210</v>
      </c>
      <c r="E80" s="2">
        <v>2</v>
      </c>
      <c r="F80" s="2" t="s">
        <v>247</v>
      </c>
      <c r="G80" s="2" t="str">
        <f>Table13[[#This Row],[Month]]&amp;", "&amp;Table13[[#This Row],[FY]]</f>
        <v>DEC, FY20</v>
      </c>
      <c r="H80" s="2" t="str">
        <f>Table13[[#This Row],[Week]]&amp;", "&amp;Table13[[#This Row],[Month]]&amp;" "&amp;Table13[[#This Row],[FY]]</f>
        <v>Week 26, DEC FY20</v>
      </c>
      <c r="I80" s="2" t="str">
        <f>Table13[[#This Row],[Month]]&amp;", "&amp;Table13[[#This Row],[FY]]</f>
        <v>DEC, FY20</v>
      </c>
      <c r="J80" s="2" t="str">
        <f>"Q"&amp;Table13[[#This Row],[QTR]]&amp;", "&amp;Table13[[#This Row],[FY]]</f>
        <v>Q2, FY20</v>
      </c>
    </row>
    <row r="81" spans="1:10" x14ac:dyDescent="0.25">
      <c r="A81" s="1">
        <f t="shared" si="5"/>
        <v>43829</v>
      </c>
      <c r="B81" s="1">
        <f t="shared" si="5"/>
        <v>43835</v>
      </c>
      <c r="C81" s="2" t="s">
        <v>214</v>
      </c>
      <c r="D81" s="2" t="s">
        <v>215</v>
      </c>
      <c r="E81" s="2">
        <f t="shared" si="6"/>
        <v>3</v>
      </c>
      <c r="F81" s="2" t="s">
        <v>247</v>
      </c>
      <c r="G81" s="2" t="str">
        <f>Table13[[#This Row],[Month]]&amp;", "&amp;Table13[[#This Row],[FY]]</f>
        <v>JAN, FY20</v>
      </c>
      <c r="H81" s="2" t="str">
        <f>Table13[[#This Row],[Week]]&amp;", "&amp;Table13[[#This Row],[Month]]&amp;" "&amp;Table13[[#This Row],[FY]]</f>
        <v>Week 27, JAN FY20</v>
      </c>
      <c r="I81" s="2" t="str">
        <f>Table13[[#This Row],[Month]]&amp;", "&amp;Table13[[#This Row],[FY]]</f>
        <v>JAN, FY20</v>
      </c>
      <c r="J81" s="2" t="str">
        <f>"Q"&amp;Table13[[#This Row],[QTR]]&amp;", "&amp;Table13[[#This Row],[FY]]</f>
        <v>Q3, FY20</v>
      </c>
    </row>
    <row r="82" spans="1:10" x14ac:dyDescent="0.25">
      <c r="A82" s="1">
        <f t="shared" si="5"/>
        <v>43836</v>
      </c>
      <c r="B82" s="1">
        <f t="shared" si="5"/>
        <v>43842</v>
      </c>
      <c r="C82" s="2" t="s">
        <v>216</v>
      </c>
      <c r="D82" s="2" t="s">
        <v>215</v>
      </c>
      <c r="E82" s="2">
        <f t="shared" si="6"/>
        <v>3</v>
      </c>
      <c r="F82" s="2" t="s">
        <v>247</v>
      </c>
      <c r="G82" s="2" t="str">
        <f>Table13[[#This Row],[Month]]&amp;", "&amp;Table13[[#This Row],[FY]]</f>
        <v>JAN, FY20</v>
      </c>
      <c r="H82" s="2" t="str">
        <f>Table13[[#This Row],[Week]]&amp;", "&amp;Table13[[#This Row],[Month]]&amp;" "&amp;Table13[[#This Row],[FY]]</f>
        <v>Week 28, JAN FY20</v>
      </c>
      <c r="I82" s="2" t="str">
        <f>Table13[[#This Row],[Month]]&amp;", "&amp;Table13[[#This Row],[FY]]</f>
        <v>JAN, FY20</v>
      </c>
      <c r="J82" s="2" t="str">
        <f>"Q"&amp;Table13[[#This Row],[QTR]]&amp;", "&amp;Table13[[#This Row],[FY]]</f>
        <v>Q3, FY20</v>
      </c>
    </row>
    <row r="83" spans="1:10" x14ac:dyDescent="0.25">
      <c r="A83" s="1">
        <f t="shared" ref="A83:B98" si="7">A82+7</f>
        <v>43843</v>
      </c>
      <c r="B83" s="1">
        <f t="shared" si="7"/>
        <v>43849</v>
      </c>
      <c r="C83" s="2" t="s">
        <v>217</v>
      </c>
      <c r="D83" s="2" t="s">
        <v>215</v>
      </c>
      <c r="E83" s="2">
        <f t="shared" si="6"/>
        <v>3</v>
      </c>
      <c r="F83" s="2" t="s">
        <v>247</v>
      </c>
      <c r="G83" s="2" t="str">
        <f>Table13[[#This Row],[Month]]&amp;", "&amp;Table13[[#This Row],[FY]]</f>
        <v>JAN, FY20</v>
      </c>
      <c r="H83" s="2" t="str">
        <f>Table13[[#This Row],[Week]]&amp;", "&amp;Table13[[#This Row],[Month]]&amp;" "&amp;Table13[[#This Row],[FY]]</f>
        <v>Week 29, JAN FY20</v>
      </c>
      <c r="I83" s="2" t="str">
        <f>Table13[[#This Row],[Month]]&amp;", "&amp;Table13[[#This Row],[FY]]</f>
        <v>JAN, FY20</v>
      </c>
      <c r="J83" s="2" t="str">
        <f>"Q"&amp;Table13[[#This Row],[QTR]]&amp;", "&amp;Table13[[#This Row],[FY]]</f>
        <v>Q3, FY20</v>
      </c>
    </row>
    <row r="84" spans="1:10" x14ac:dyDescent="0.25">
      <c r="A84" s="1">
        <f t="shared" si="7"/>
        <v>43850</v>
      </c>
      <c r="B84" s="1">
        <f t="shared" si="7"/>
        <v>43856</v>
      </c>
      <c r="C84" s="2" t="s">
        <v>218</v>
      </c>
      <c r="D84" s="2" t="s">
        <v>215</v>
      </c>
      <c r="E84" s="2">
        <f t="shared" si="6"/>
        <v>3</v>
      </c>
      <c r="F84" s="2" t="s">
        <v>247</v>
      </c>
      <c r="G84" s="2" t="str">
        <f>Table13[[#This Row],[Month]]&amp;", "&amp;Table13[[#This Row],[FY]]</f>
        <v>JAN, FY20</v>
      </c>
      <c r="H84" s="2" t="str">
        <f>Table13[[#This Row],[Week]]&amp;", "&amp;Table13[[#This Row],[Month]]&amp;" "&amp;Table13[[#This Row],[FY]]</f>
        <v>Week 30, JAN FY20</v>
      </c>
      <c r="I84" s="2" t="str">
        <f>Table13[[#This Row],[Month]]&amp;", "&amp;Table13[[#This Row],[FY]]</f>
        <v>JAN, FY20</v>
      </c>
      <c r="J84" s="2" t="str">
        <f>"Q"&amp;Table13[[#This Row],[QTR]]&amp;", "&amp;Table13[[#This Row],[FY]]</f>
        <v>Q3, FY20</v>
      </c>
    </row>
    <row r="85" spans="1:10" x14ac:dyDescent="0.25">
      <c r="A85" s="1">
        <f t="shared" si="7"/>
        <v>43857</v>
      </c>
      <c r="B85" s="1">
        <f t="shared" si="7"/>
        <v>43863</v>
      </c>
      <c r="C85" s="2" t="s">
        <v>219</v>
      </c>
      <c r="D85" s="2" t="s">
        <v>220</v>
      </c>
      <c r="E85" s="2">
        <f t="shared" si="6"/>
        <v>3</v>
      </c>
      <c r="F85" s="2" t="s">
        <v>247</v>
      </c>
      <c r="G85" s="2" t="str">
        <f>Table13[[#This Row],[Month]]&amp;", "&amp;Table13[[#This Row],[FY]]</f>
        <v>FEB, FY20</v>
      </c>
      <c r="H85" s="2" t="str">
        <f>Table13[[#This Row],[Week]]&amp;", "&amp;Table13[[#This Row],[Month]]&amp;" "&amp;Table13[[#This Row],[FY]]</f>
        <v>Week 31, FEB FY20</v>
      </c>
      <c r="I85" s="2" t="str">
        <f>Table13[[#This Row],[Month]]&amp;", "&amp;Table13[[#This Row],[FY]]</f>
        <v>FEB, FY20</v>
      </c>
      <c r="J85" s="2" t="str">
        <f>"Q"&amp;Table13[[#This Row],[QTR]]&amp;", "&amp;Table13[[#This Row],[FY]]</f>
        <v>Q3, FY20</v>
      </c>
    </row>
    <row r="86" spans="1:10" x14ac:dyDescent="0.25">
      <c r="A86" s="1">
        <f t="shared" si="7"/>
        <v>43864</v>
      </c>
      <c r="B86" s="1">
        <f t="shared" si="7"/>
        <v>43870</v>
      </c>
      <c r="C86" s="2" t="s">
        <v>221</v>
      </c>
      <c r="D86" s="2" t="s">
        <v>220</v>
      </c>
      <c r="E86" s="2">
        <f t="shared" si="6"/>
        <v>3</v>
      </c>
      <c r="F86" s="2" t="s">
        <v>247</v>
      </c>
      <c r="G86" s="2" t="str">
        <f>Table13[[#This Row],[Month]]&amp;", "&amp;Table13[[#This Row],[FY]]</f>
        <v>FEB, FY20</v>
      </c>
      <c r="H86" s="2" t="str">
        <f>Table13[[#This Row],[Week]]&amp;", "&amp;Table13[[#This Row],[Month]]&amp;" "&amp;Table13[[#This Row],[FY]]</f>
        <v>Week 32, FEB FY20</v>
      </c>
      <c r="I86" s="2" t="str">
        <f>Table13[[#This Row],[Month]]&amp;", "&amp;Table13[[#This Row],[FY]]</f>
        <v>FEB, FY20</v>
      </c>
      <c r="J86" s="2" t="str">
        <f>"Q"&amp;Table13[[#This Row],[QTR]]&amp;", "&amp;Table13[[#This Row],[FY]]</f>
        <v>Q3, FY20</v>
      </c>
    </row>
    <row r="87" spans="1:10" x14ac:dyDescent="0.25">
      <c r="A87" s="1">
        <f t="shared" si="7"/>
        <v>43871</v>
      </c>
      <c r="B87" s="1">
        <f t="shared" si="7"/>
        <v>43877</v>
      </c>
      <c r="C87" s="2" t="s">
        <v>222</v>
      </c>
      <c r="D87" s="2" t="s">
        <v>220</v>
      </c>
      <c r="E87" s="2">
        <f t="shared" si="6"/>
        <v>3</v>
      </c>
      <c r="F87" s="2" t="s">
        <v>247</v>
      </c>
      <c r="G87" s="2" t="str">
        <f>Table13[[#This Row],[Month]]&amp;", "&amp;Table13[[#This Row],[FY]]</f>
        <v>FEB, FY20</v>
      </c>
      <c r="H87" s="2" t="str">
        <f>Table13[[#This Row],[Week]]&amp;", "&amp;Table13[[#This Row],[Month]]&amp;" "&amp;Table13[[#This Row],[FY]]</f>
        <v>Week 33, FEB FY20</v>
      </c>
      <c r="I87" s="2" t="str">
        <f>Table13[[#This Row],[Month]]&amp;", "&amp;Table13[[#This Row],[FY]]</f>
        <v>FEB, FY20</v>
      </c>
      <c r="J87" s="2" t="str">
        <f>"Q"&amp;Table13[[#This Row],[QTR]]&amp;", "&amp;Table13[[#This Row],[FY]]</f>
        <v>Q3, FY20</v>
      </c>
    </row>
    <row r="88" spans="1:10" x14ac:dyDescent="0.25">
      <c r="A88" s="1">
        <f t="shared" si="7"/>
        <v>43878</v>
      </c>
      <c r="B88" s="1">
        <f t="shared" si="7"/>
        <v>43884</v>
      </c>
      <c r="C88" s="2" t="s">
        <v>223</v>
      </c>
      <c r="D88" s="2" t="s">
        <v>220</v>
      </c>
      <c r="E88" s="2">
        <f t="shared" si="6"/>
        <v>3</v>
      </c>
      <c r="F88" s="2" t="s">
        <v>247</v>
      </c>
      <c r="G88" s="2" t="str">
        <f>Table13[[#This Row],[Month]]&amp;", "&amp;Table13[[#This Row],[FY]]</f>
        <v>FEB, FY20</v>
      </c>
      <c r="H88" s="2" t="str">
        <f>Table13[[#This Row],[Week]]&amp;", "&amp;Table13[[#This Row],[Month]]&amp;" "&amp;Table13[[#This Row],[FY]]</f>
        <v>Week 34, FEB FY20</v>
      </c>
      <c r="I88" s="2" t="str">
        <f>Table13[[#This Row],[Month]]&amp;", "&amp;Table13[[#This Row],[FY]]</f>
        <v>FEB, FY20</v>
      </c>
      <c r="J88" s="2" t="str">
        <f>"Q"&amp;Table13[[#This Row],[QTR]]&amp;", "&amp;Table13[[#This Row],[FY]]</f>
        <v>Q3, FY20</v>
      </c>
    </row>
    <row r="89" spans="1:10" x14ac:dyDescent="0.25">
      <c r="A89" s="1">
        <f t="shared" si="7"/>
        <v>43885</v>
      </c>
      <c r="B89" s="1">
        <f t="shared" si="7"/>
        <v>43891</v>
      </c>
      <c r="C89" s="2" t="s">
        <v>224</v>
      </c>
      <c r="D89" s="2" t="s">
        <v>220</v>
      </c>
      <c r="E89" s="2">
        <f t="shared" si="6"/>
        <v>3</v>
      </c>
      <c r="F89" s="2" t="s">
        <v>247</v>
      </c>
      <c r="G89" s="2" t="str">
        <f>Table13[[#This Row],[Month]]&amp;", "&amp;Table13[[#This Row],[FY]]</f>
        <v>FEB, FY20</v>
      </c>
      <c r="H89" s="2" t="str">
        <f>Table13[[#This Row],[Week]]&amp;", "&amp;Table13[[#This Row],[Month]]&amp;" "&amp;Table13[[#This Row],[FY]]</f>
        <v>Week 35, FEB FY20</v>
      </c>
      <c r="I89" s="2" t="str">
        <f>Table13[[#This Row],[Month]]&amp;", "&amp;Table13[[#This Row],[FY]]</f>
        <v>FEB, FY20</v>
      </c>
      <c r="J89" s="2" t="str">
        <f>"Q"&amp;Table13[[#This Row],[QTR]]&amp;", "&amp;Table13[[#This Row],[FY]]</f>
        <v>Q3, FY20</v>
      </c>
    </row>
    <row r="90" spans="1:10" x14ac:dyDescent="0.25">
      <c r="A90" s="1">
        <f t="shared" si="7"/>
        <v>43892</v>
      </c>
      <c r="B90" s="1">
        <f t="shared" si="7"/>
        <v>43898</v>
      </c>
      <c r="C90" s="2" t="s">
        <v>225</v>
      </c>
      <c r="D90" s="2" t="s">
        <v>226</v>
      </c>
      <c r="E90" s="2">
        <f t="shared" si="6"/>
        <v>3</v>
      </c>
      <c r="F90" s="2" t="s">
        <v>247</v>
      </c>
      <c r="G90" s="2" t="str">
        <f>Table13[[#This Row],[Month]]&amp;", "&amp;Table13[[#This Row],[FY]]</f>
        <v>MAR, FY20</v>
      </c>
      <c r="H90" s="2" t="str">
        <f>Table13[[#This Row],[Week]]&amp;", "&amp;Table13[[#This Row],[Month]]&amp;" "&amp;Table13[[#This Row],[FY]]</f>
        <v>Week 36, MAR FY20</v>
      </c>
      <c r="I90" s="2" t="str">
        <f>Table13[[#This Row],[Month]]&amp;", "&amp;Table13[[#This Row],[FY]]</f>
        <v>MAR, FY20</v>
      </c>
      <c r="J90" s="2" t="str">
        <f>"Q"&amp;Table13[[#This Row],[QTR]]&amp;", "&amp;Table13[[#This Row],[FY]]</f>
        <v>Q3, FY20</v>
      </c>
    </row>
    <row r="91" spans="1:10" x14ac:dyDescent="0.25">
      <c r="A91" s="1">
        <f t="shared" si="7"/>
        <v>43899</v>
      </c>
      <c r="B91" s="1">
        <f t="shared" si="7"/>
        <v>43905</v>
      </c>
      <c r="C91" s="2" t="s">
        <v>227</v>
      </c>
      <c r="D91" s="2" t="s">
        <v>226</v>
      </c>
      <c r="E91" s="2">
        <f t="shared" si="6"/>
        <v>3</v>
      </c>
      <c r="F91" s="2" t="s">
        <v>247</v>
      </c>
      <c r="G91" s="2" t="str">
        <f>Table13[[#This Row],[Month]]&amp;", "&amp;Table13[[#This Row],[FY]]</f>
        <v>MAR, FY20</v>
      </c>
      <c r="H91" s="2" t="str">
        <f>Table13[[#This Row],[Week]]&amp;", "&amp;Table13[[#This Row],[Month]]&amp;" "&amp;Table13[[#This Row],[FY]]</f>
        <v>Week 37, MAR FY20</v>
      </c>
      <c r="I91" s="2" t="str">
        <f>Table13[[#This Row],[Month]]&amp;", "&amp;Table13[[#This Row],[FY]]</f>
        <v>MAR, FY20</v>
      </c>
      <c r="J91" s="2" t="str">
        <f>"Q"&amp;Table13[[#This Row],[QTR]]&amp;", "&amp;Table13[[#This Row],[FY]]</f>
        <v>Q3, FY20</v>
      </c>
    </row>
    <row r="92" spans="1:10" x14ac:dyDescent="0.25">
      <c r="A92" s="1">
        <f t="shared" si="7"/>
        <v>43906</v>
      </c>
      <c r="B92" s="1">
        <f t="shared" si="7"/>
        <v>43912</v>
      </c>
      <c r="C92" s="2" t="s">
        <v>228</v>
      </c>
      <c r="D92" s="2" t="s">
        <v>226</v>
      </c>
      <c r="E92" s="2">
        <f t="shared" si="6"/>
        <v>3</v>
      </c>
      <c r="F92" s="2" t="s">
        <v>247</v>
      </c>
      <c r="G92" s="2" t="str">
        <f>Table13[[#This Row],[Month]]&amp;", "&amp;Table13[[#This Row],[FY]]</f>
        <v>MAR, FY20</v>
      </c>
      <c r="H92" s="2" t="str">
        <f>Table13[[#This Row],[Week]]&amp;", "&amp;Table13[[#This Row],[Month]]&amp;" "&amp;Table13[[#This Row],[FY]]</f>
        <v>Week 38, MAR FY20</v>
      </c>
      <c r="I92" s="2" t="str">
        <f>Table13[[#This Row],[Month]]&amp;", "&amp;Table13[[#This Row],[FY]]</f>
        <v>MAR, FY20</v>
      </c>
      <c r="J92" s="2" t="str">
        <f>"Q"&amp;Table13[[#This Row],[QTR]]&amp;", "&amp;Table13[[#This Row],[FY]]</f>
        <v>Q3, FY20</v>
      </c>
    </row>
    <row r="93" spans="1:10" x14ac:dyDescent="0.25">
      <c r="A93" s="1">
        <f t="shared" si="7"/>
        <v>43913</v>
      </c>
      <c r="B93" s="1">
        <f t="shared" si="7"/>
        <v>43919</v>
      </c>
      <c r="C93" s="2" t="s">
        <v>229</v>
      </c>
      <c r="D93" s="2" t="s">
        <v>226</v>
      </c>
      <c r="E93" s="2">
        <v>3</v>
      </c>
      <c r="F93" s="2" t="s">
        <v>247</v>
      </c>
      <c r="G93" s="2" t="str">
        <f>Table13[[#This Row],[Month]]&amp;", "&amp;Table13[[#This Row],[FY]]</f>
        <v>MAR, FY20</v>
      </c>
      <c r="H93" s="2" t="str">
        <f>Table13[[#This Row],[Week]]&amp;", "&amp;Table13[[#This Row],[Month]]&amp;" "&amp;Table13[[#This Row],[FY]]</f>
        <v>Week 39, MAR FY20</v>
      </c>
      <c r="I93" s="2" t="str">
        <f>Table13[[#This Row],[Month]]&amp;", "&amp;Table13[[#This Row],[FY]]</f>
        <v>MAR, FY20</v>
      </c>
      <c r="J93" s="2" t="str">
        <f>"Q"&amp;Table13[[#This Row],[QTR]]&amp;", "&amp;Table13[[#This Row],[FY]]</f>
        <v>Q3, FY20</v>
      </c>
    </row>
    <row r="94" spans="1:10" x14ac:dyDescent="0.25">
      <c r="A94" s="1">
        <f t="shared" si="7"/>
        <v>43920</v>
      </c>
      <c r="B94" s="1">
        <f t="shared" si="7"/>
        <v>43926</v>
      </c>
      <c r="C94" s="2" t="s">
        <v>230</v>
      </c>
      <c r="D94" s="2" t="s">
        <v>231</v>
      </c>
      <c r="E94" s="2">
        <f t="shared" si="6"/>
        <v>4</v>
      </c>
      <c r="F94" s="2" t="s">
        <v>247</v>
      </c>
      <c r="G94" s="2" t="str">
        <f>Table13[[#This Row],[Month]]&amp;", "&amp;Table13[[#This Row],[FY]]</f>
        <v>APR, FY20</v>
      </c>
      <c r="H94" s="2" t="str">
        <f>Table13[[#This Row],[Week]]&amp;", "&amp;Table13[[#This Row],[Month]]&amp;" "&amp;Table13[[#This Row],[FY]]</f>
        <v>Week 40, APR FY20</v>
      </c>
      <c r="I94" s="2" t="str">
        <f>Table13[[#This Row],[Month]]&amp;", "&amp;Table13[[#This Row],[FY]]</f>
        <v>APR, FY20</v>
      </c>
      <c r="J94" s="2" t="str">
        <f>"Q"&amp;Table13[[#This Row],[QTR]]&amp;", "&amp;Table13[[#This Row],[FY]]</f>
        <v>Q4, FY20</v>
      </c>
    </row>
    <row r="95" spans="1:10" x14ac:dyDescent="0.25">
      <c r="A95" s="1">
        <f t="shared" si="7"/>
        <v>43927</v>
      </c>
      <c r="B95" s="1">
        <f t="shared" si="7"/>
        <v>43933</v>
      </c>
      <c r="C95" s="2" t="s">
        <v>232</v>
      </c>
      <c r="D95" s="2" t="s">
        <v>231</v>
      </c>
      <c r="E95" s="2">
        <f t="shared" si="6"/>
        <v>4</v>
      </c>
      <c r="F95" s="2" t="s">
        <v>247</v>
      </c>
      <c r="G95" s="2" t="str">
        <f>Table13[[#This Row],[Month]]&amp;", "&amp;Table13[[#This Row],[FY]]</f>
        <v>APR, FY20</v>
      </c>
      <c r="H95" s="2" t="str">
        <f>Table13[[#This Row],[Week]]&amp;", "&amp;Table13[[#This Row],[Month]]&amp;" "&amp;Table13[[#This Row],[FY]]</f>
        <v>Week 41, APR FY20</v>
      </c>
      <c r="I95" s="2" t="str">
        <f>Table13[[#This Row],[Month]]&amp;", "&amp;Table13[[#This Row],[FY]]</f>
        <v>APR, FY20</v>
      </c>
      <c r="J95" s="2" t="str">
        <f>"Q"&amp;Table13[[#This Row],[QTR]]&amp;", "&amp;Table13[[#This Row],[FY]]</f>
        <v>Q4, FY20</v>
      </c>
    </row>
    <row r="96" spans="1:10" x14ac:dyDescent="0.25">
      <c r="A96" s="1">
        <f t="shared" si="7"/>
        <v>43934</v>
      </c>
      <c r="B96" s="1">
        <f t="shared" si="7"/>
        <v>43940</v>
      </c>
      <c r="C96" s="2" t="s">
        <v>233</v>
      </c>
      <c r="D96" s="2" t="s">
        <v>231</v>
      </c>
      <c r="E96" s="2">
        <f t="shared" si="6"/>
        <v>4</v>
      </c>
      <c r="F96" s="2" t="s">
        <v>247</v>
      </c>
      <c r="G96" s="2" t="str">
        <f>Table13[[#This Row],[Month]]&amp;", "&amp;Table13[[#This Row],[FY]]</f>
        <v>APR, FY20</v>
      </c>
      <c r="H96" s="2" t="str">
        <f>Table13[[#This Row],[Week]]&amp;", "&amp;Table13[[#This Row],[Month]]&amp;" "&amp;Table13[[#This Row],[FY]]</f>
        <v>Week 42, APR FY20</v>
      </c>
      <c r="I96" s="2" t="str">
        <f>Table13[[#This Row],[Month]]&amp;", "&amp;Table13[[#This Row],[FY]]</f>
        <v>APR, FY20</v>
      </c>
      <c r="J96" s="2" t="str">
        <f>"Q"&amp;Table13[[#This Row],[QTR]]&amp;", "&amp;Table13[[#This Row],[FY]]</f>
        <v>Q4, FY20</v>
      </c>
    </row>
    <row r="97" spans="1:10" x14ac:dyDescent="0.25">
      <c r="A97" s="1">
        <f t="shared" si="7"/>
        <v>43941</v>
      </c>
      <c r="B97" s="1">
        <f t="shared" si="7"/>
        <v>43947</v>
      </c>
      <c r="C97" s="2" t="s">
        <v>234</v>
      </c>
      <c r="D97" s="2" t="s">
        <v>231</v>
      </c>
      <c r="E97" s="2">
        <f t="shared" si="6"/>
        <v>4</v>
      </c>
      <c r="F97" s="2" t="s">
        <v>247</v>
      </c>
      <c r="G97" s="2" t="str">
        <f>Table13[[#This Row],[Month]]&amp;", "&amp;Table13[[#This Row],[FY]]</f>
        <v>APR, FY20</v>
      </c>
      <c r="H97" s="2" t="str">
        <f>Table13[[#This Row],[Week]]&amp;", "&amp;Table13[[#This Row],[Month]]&amp;" "&amp;Table13[[#This Row],[FY]]</f>
        <v>Week 43, APR FY20</v>
      </c>
      <c r="I97" s="2" t="str">
        <f>Table13[[#This Row],[Month]]&amp;", "&amp;Table13[[#This Row],[FY]]</f>
        <v>APR, FY20</v>
      </c>
      <c r="J97" s="2" t="str">
        <f>"Q"&amp;Table13[[#This Row],[QTR]]&amp;", "&amp;Table13[[#This Row],[FY]]</f>
        <v>Q4, FY20</v>
      </c>
    </row>
    <row r="98" spans="1:10" x14ac:dyDescent="0.25">
      <c r="A98" s="1">
        <f t="shared" si="7"/>
        <v>43948</v>
      </c>
      <c r="B98" s="1">
        <f t="shared" si="7"/>
        <v>43954</v>
      </c>
      <c r="C98" s="2" t="s">
        <v>235</v>
      </c>
      <c r="D98" s="2" t="s">
        <v>236</v>
      </c>
      <c r="E98" s="2">
        <f t="shared" si="6"/>
        <v>4</v>
      </c>
      <c r="F98" s="2" t="s">
        <v>247</v>
      </c>
      <c r="G98" s="2" t="str">
        <f>Table13[[#This Row],[Month]]&amp;", "&amp;Table13[[#This Row],[FY]]</f>
        <v>MAY, FY20</v>
      </c>
      <c r="H98" s="2" t="str">
        <f>Table13[[#This Row],[Week]]&amp;", "&amp;Table13[[#This Row],[Month]]&amp;" "&amp;Table13[[#This Row],[FY]]</f>
        <v>Week 44, MAY FY20</v>
      </c>
      <c r="I98" s="2" t="str">
        <f>Table13[[#This Row],[Month]]&amp;", "&amp;Table13[[#This Row],[FY]]</f>
        <v>MAY, FY20</v>
      </c>
      <c r="J98" s="2" t="str">
        <f>"Q"&amp;Table13[[#This Row],[QTR]]&amp;", "&amp;Table13[[#This Row],[FY]]</f>
        <v>Q4, FY20</v>
      </c>
    </row>
    <row r="99" spans="1:10" x14ac:dyDescent="0.25">
      <c r="A99" s="1">
        <f t="shared" ref="A99:B114" si="8">A98+7</f>
        <v>43955</v>
      </c>
      <c r="B99" s="1">
        <f t="shared" si="8"/>
        <v>43961</v>
      </c>
      <c r="C99" s="2" t="s">
        <v>237</v>
      </c>
      <c r="D99" s="2" t="s">
        <v>236</v>
      </c>
      <c r="E99" s="2">
        <f t="shared" si="6"/>
        <v>4</v>
      </c>
      <c r="F99" s="2" t="s">
        <v>247</v>
      </c>
      <c r="G99" s="2" t="str">
        <f>Table13[[#This Row],[Month]]&amp;", "&amp;Table13[[#This Row],[FY]]</f>
        <v>MAY, FY20</v>
      </c>
      <c r="H99" s="2" t="str">
        <f>Table13[[#This Row],[Week]]&amp;", "&amp;Table13[[#This Row],[Month]]&amp;" "&amp;Table13[[#This Row],[FY]]</f>
        <v>Week 45, MAY FY20</v>
      </c>
      <c r="I99" s="2" t="str">
        <f>Table13[[#This Row],[Month]]&amp;", "&amp;Table13[[#This Row],[FY]]</f>
        <v>MAY, FY20</v>
      </c>
      <c r="J99" s="2" t="str">
        <f>"Q"&amp;Table13[[#This Row],[QTR]]&amp;", "&amp;Table13[[#This Row],[FY]]</f>
        <v>Q4, FY20</v>
      </c>
    </row>
    <row r="100" spans="1:10" x14ac:dyDescent="0.25">
      <c r="A100" s="1">
        <f t="shared" si="8"/>
        <v>43962</v>
      </c>
      <c r="B100" s="1">
        <f t="shared" si="8"/>
        <v>43968</v>
      </c>
      <c r="C100" s="2" t="s">
        <v>238</v>
      </c>
      <c r="D100" s="2" t="s">
        <v>236</v>
      </c>
      <c r="E100" s="2">
        <f t="shared" si="6"/>
        <v>4</v>
      </c>
      <c r="F100" s="2" t="s">
        <v>247</v>
      </c>
      <c r="G100" s="2" t="str">
        <f>Table13[[#This Row],[Month]]&amp;", "&amp;Table13[[#This Row],[FY]]</f>
        <v>MAY, FY20</v>
      </c>
      <c r="H100" s="2" t="str">
        <f>Table13[[#This Row],[Week]]&amp;", "&amp;Table13[[#This Row],[Month]]&amp;" "&amp;Table13[[#This Row],[FY]]</f>
        <v>Week 46, MAY FY20</v>
      </c>
      <c r="I100" s="2" t="str">
        <f>Table13[[#This Row],[Month]]&amp;", "&amp;Table13[[#This Row],[FY]]</f>
        <v>MAY, FY20</v>
      </c>
      <c r="J100" s="2" t="str">
        <f>"Q"&amp;Table13[[#This Row],[QTR]]&amp;", "&amp;Table13[[#This Row],[FY]]</f>
        <v>Q4, FY20</v>
      </c>
    </row>
    <row r="101" spans="1:10" x14ac:dyDescent="0.25">
      <c r="A101" s="1">
        <f t="shared" si="8"/>
        <v>43969</v>
      </c>
      <c r="B101" s="1">
        <f t="shared" si="8"/>
        <v>43975</v>
      </c>
      <c r="C101" s="2" t="s">
        <v>239</v>
      </c>
      <c r="D101" s="2" t="s">
        <v>236</v>
      </c>
      <c r="E101" s="2">
        <f t="shared" si="6"/>
        <v>4</v>
      </c>
      <c r="F101" s="2" t="s">
        <v>247</v>
      </c>
      <c r="G101" s="2" t="str">
        <f>Table13[[#This Row],[Month]]&amp;", "&amp;Table13[[#This Row],[FY]]</f>
        <v>MAY, FY20</v>
      </c>
      <c r="H101" s="2" t="str">
        <f>Table13[[#This Row],[Week]]&amp;", "&amp;Table13[[#This Row],[Month]]&amp;" "&amp;Table13[[#This Row],[FY]]</f>
        <v>Week 47, MAY FY20</v>
      </c>
      <c r="I101" s="2" t="str">
        <f>Table13[[#This Row],[Month]]&amp;", "&amp;Table13[[#This Row],[FY]]</f>
        <v>MAY, FY20</v>
      </c>
      <c r="J101" s="2" t="str">
        <f>"Q"&amp;Table13[[#This Row],[QTR]]&amp;", "&amp;Table13[[#This Row],[FY]]</f>
        <v>Q4, FY20</v>
      </c>
    </row>
    <row r="102" spans="1:10" x14ac:dyDescent="0.25">
      <c r="A102" s="1">
        <f t="shared" si="8"/>
        <v>43976</v>
      </c>
      <c r="B102" s="1">
        <f t="shared" si="8"/>
        <v>43982</v>
      </c>
      <c r="C102" s="2" t="s">
        <v>240</v>
      </c>
      <c r="D102" s="2" t="s">
        <v>236</v>
      </c>
      <c r="E102" s="2">
        <f t="shared" si="6"/>
        <v>4</v>
      </c>
      <c r="F102" s="2" t="s">
        <v>247</v>
      </c>
      <c r="G102" s="2" t="str">
        <f>Table13[[#This Row],[Month]]&amp;", "&amp;Table13[[#This Row],[FY]]</f>
        <v>MAY, FY20</v>
      </c>
      <c r="H102" s="2" t="str">
        <f>Table13[[#This Row],[Week]]&amp;", "&amp;Table13[[#This Row],[Month]]&amp;" "&amp;Table13[[#This Row],[FY]]</f>
        <v>Week 48, MAY FY20</v>
      </c>
      <c r="I102" s="2" t="str">
        <f>Table13[[#This Row],[Month]]&amp;", "&amp;Table13[[#This Row],[FY]]</f>
        <v>MAY, FY20</v>
      </c>
      <c r="J102" s="2" t="str">
        <f>"Q"&amp;Table13[[#This Row],[QTR]]&amp;", "&amp;Table13[[#This Row],[FY]]</f>
        <v>Q4, FY20</v>
      </c>
    </row>
    <row r="103" spans="1:10" x14ac:dyDescent="0.25">
      <c r="A103" s="1">
        <f t="shared" si="8"/>
        <v>43983</v>
      </c>
      <c r="B103" s="1">
        <f t="shared" si="8"/>
        <v>43989</v>
      </c>
      <c r="C103" s="2" t="s">
        <v>241</v>
      </c>
      <c r="D103" s="2" t="s">
        <v>242</v>
      </c>
      <c r="E103" s="2">
        <f t="shared" si="6"/>
        <v>4</v>
      </c>
      <c r="F103" s="2" t="s">
        <v>247</v>
      </c>
      <c r="G103" s="2" t="str">
        <f>Table13[[#This Row],[Month]]&amp;", "&amp;Table13[[#This Row],[FY]]</f>
        <v>JUN, FY20</v>
      </c>
      <c r="H103" s="2" t="str">
        <f>Table13[[#This Row],[Week]]&amp;", "&amp;Table13[[#This Row],[Month]]&amp;" "&amp;Table13[[#This Row],[FY]]</f>
        <v>Week 49, JUN FY20</v>
      </c>
      <c r="I103" s="2" t="str">
        <f>Table13[[#This Row],[Month]]&amp;", "&amp;Table13[[#This Row],[FY]]</f>
        <v>JUN, FY20</v>
      </c>
      <c r="J103" s="2" t="str">
        <f>"Q"&amp;Table13[[#This Row],[QTR]]&amp;", "&amp;Table13[[#This Row],[FY]]</f>
        <v>Q4, FY20</v>
      </c>
    </row>
    <row r="104" spans="1:10" x14ac:dyDescent="0.25">
      <c r="A104" s="1">
        <f t="shared" si="8"/>
        <v>43990</v>
      </c>
      <c r="B104" s="1">
        <f t="shared" si="8"/>
        <v>43996</v>
      </c>
      <c r="C104" s="2" t="s">
        <v>243</v>
      </c>
      <c r="D104" s="2" t="s">
        <v>242</v>
      </c>
      <c r="E104" s="2">
        <f t="shared" si="6"/>
        <v>4</v>
      </c>
      <c r="F104" s="2" t="s">
        <v>247</v>
      </c>
      <c r="G104" s="2" t="str">
        <f>Table13[[#This Row],[Month]]&amp;", "&amp;Table13[[#This Row],[FY]]</f>
        <v>JUN, FY20</v>
      </c>
      <c r="H104" s="2" t="str">
        <f>Table13[[#This Row],[Week]]&amp;", "&amp;Table13[[#This Row],[Month]]&amp;" "&amp;Table13[[#This Row],[FY]]</f>
        <v>Week 50, JUN FY20</v>
      </c>
      <c r="I104" s="2" t="str">
        <f>Table13[[#This Row],[Month]]&amp;", "&amp;Table13[[#This Row],[FY]]</f>
        <v>JUN, FY20</v>
      </c>
      <c r="J104" s="2" t="str">
        <f>"Q"&amp;Table13[[#This Row],[QTR]]&amp;", "&amp;Table13[[#This Row],[FY]]</f>
        <v>Q4, FY20</v>
      </c>
    </row>
    <row r="105" spans="1:10" x14ac:dyDescent="0.25">
      <c r="A105" s="1">
        <f t="shared" si="8"/>
        <v>43997</v>
      </c>
      <c r="B105" s="1">
        <f t="shared" si="8"/>
        <v>44003</v>
      </c>
      <c r="C105" s="2" t="s">
        <v>244</v>
      </c>
      <c r="D105" s="2" t="s">
        <v>242</v>
      </c>
      <c r="E105" s="2">
        <f t="shared" si="6"/>
        <v>4</v>
      </c>
      <c r="F105" s="2" t="s">
        <v>247</v>
      </c>
      <c r="G105" s="2" t="str">
        <f>Table13[[#This Row],[Month]]&amp;", "&amp;Table13[[#This Row],[FY]]</f>
        <v>JUN, FY20</v>
      </c>
      <c r="H105" s="2" t="str">
        <f>Table13[[#This Row],[Week]]&amp;", "&amp;Table13[[#This Row],[Month]]&amp;" "&amp;Table13[[#This Row],[FY]]</f>
        <v>Week 51, JUN FY20</v>
      </c>
      <c r="I105" s="2" t="str">
        <f>Table13[[#This Row],[Month]]&amp;", "&amp;Table13[[#This Row],[FY]]</f>
        <v>JUN, FY20</v>
      </c>
      <c r="J105" s="2" t="str">
        <f>"Q"&amp;Table13[[#This Row],[QTR]]&amp;", "&amp;Table13[[#This Row],[FY]]</f>
        <v>Q4, FY20</v>
      </c>
    </row>
    <row r="106" spans="1:10" x14ac:dyDescent="0.25">
      <c r="A106" s="1">
        <f t="shared" si="8"/>
        <v>44004</v>
      </c>
      <c r="B106" s="1">
        <f t="shared" si="8"/>
        <v>44010</v>
      </c>
      <c r="C106" s="2" t="s">
        <v>245</v>
      </c>
      <c r="D106" s="2" t="s">
        <v>242</v>
      </c>
      <c r="E106" s="2">
        <v>4</v>
      </c>
      <c r="F106" s="2" t="s">
        <v>248</v>
      </c>
      <c r="G106" s="2" t="str">
        <f>Table13[[#This Row],[Month]]&amp;", "&amp;Table13[[#This Row],[FY]]</f>
        <v>JUN, FY21</v>
      </c>
      <c r="H106" s="2" t="str">
        <f>Table13[[#This Row],[Week]]&amp;", "&amp;Table13[[#This Row],[Month]]&amp;" "&amp;Table13[[#This Row],[FY]]</f>
        <v>Week 52, JUN FY21</v>
      </c>
      <c r="I106" s="2" t="str">
        <f>Table13[[#This Row],[Month]]&amp;", "&amp;Table13[[#This Row],[FY]]</f>
        <v>JUN, FY21</v>
      </c>
      <c r="J106" s="2" t="str">
        <f>"Q"&amp;Table13[[#This Row],[QTR]]&amp;", "&amp;Table13[[#This Row],[FY]]</f>
        <v>Q4, FY21</v>
      </c>
    </row>
    <row r="107" spans="1:10" x14ac:dyDescent="0.25">
      <c r="A107" s="1">
        <f t="shared" si="8"/>
        <v>44011</v>
      </c>
      <c r="B107" s="1">
        <f t="shared" si="8"/>
        <v>44017</v>
      </c>
      <c r="C107" s="2" t="s">
        <v>181</v>
      </c>
      <c r="D107" s="2" t="s">
        <v>182</v>
      </c>
      <c r="E107" s="2">
        <v>1</v>
      </c>
      <c r="F107" s="2" t="s">
        <v>248</v>
      </c>
      <c r="G107" s="2" t="str">
        <f>Table13[[#This Row],[Month]]&amp;", "&amp;Table13[[#This Row],[FY]]</f>
        <v>JUL, FY21</v>
      </c>
      <c r="H107" s="2" t="str">
        <f>Table13[[#This Row],[Week]]&amp;", "&amp;Table13[[#This Row],[Month]]&amp;" "&amp;Table13[[#This Row],[FY]]</f>
        <v>Week 1, JUL FY21</v>
      </c>
      <c r="I107" s="2" t="str">
        <f>Table13[[#This Row],[Month]]&amp;", "&amp;Table13[[#This Row],[FY]]</f>
        <v>JUL, FY21</v>
      </c>
      <c r="J107" s="2" t="str">
        <f>"Q"&amp;Table13[[#This Row],[QTR]]&amp;", "&amp;Table13[[#This Row],[FY]]</f>
        <v>Q1, FY21</v>
      </c>
    </row>
    <row r="108" spans="1:10" x14ac:dyDescent="0.25">
      <c r="A108" s="1">
        <f t="shared" si="8"/>
        <v>44018</v>
      </c>
      <c r="B108" s="1">
        <f t="shared" si="8"/>
        <v>44024</v>
      </c>
      <c r="C108" s="2" t="s">
        <v>184</v>
      </c>
      <c r="D108" s="2" t="s">
        <v>182</v>
      </c>
      <c r="E108" s="2">
        <v>1</v>
      </c>
      <c r="F108" s="2" t="s">
        <v>248</v>
      </c>
      <c r="G108" s="2" t="str">
        <f>Table13[[#This Row],[Month]]&amp;", "&amp;Table13[[#This Row],[FY]]</f>
        <v>JUL, FY21</v>
      </c>
      <c r="H108" s="2" t="str">
        <f>Table13[[#This Row],[Week]]&amp;", "&amp;Table13[[#This Row],[Month]]&amp;" "&amp;Table13[[#This Row],[FY]]</f>
        <v>Week 2, JUL FY21</v>
      </c>
      <c r="I108" s="2" t="str">
        <f>Table13[[#This Row],[Month]]&amp;", "&amp;Table13[[#This Row],[FY]]</f>
        <v>JUL, FY21</v>
      </c>
      <c r="J108" s="2" t="str">
        <f>"Q"&amp;Table13[[#This Row],[QTR]]&amp;", "&amp;Table13[[#This Row],[FY]]</f>
        <v>Q1, FY21</v>
      </c>
    </row>
    <row r="109" spans="1:10" x14ac:dyDescent="0.25">
      <c r="A109" s="1">
        <f t="shared" si="8"/>
        <v>44025</v>
      </c>
      <c r="B109" s="1">
        <f t="shared" si="8"/>
        <v>44031</v>
      </c>
      <c r="C109" s="2" t="s">
        <v>185</v>
      </c>
      <c r="D109" s="2" t="s">
        <v>182</v>
      </c>
      <c r="E109" s="2">
        <v>1</v>
      </c>
      <c r="F109" s="2" t="s">
        <v>248</v>
      </c>
      <c r="G109" s="2" t="str">
        <f>Table13[[#This Row],[Month]]&amp;", "&amp;Table13[[#This Row],[FY]]</f>
        <v>JUL, FY21</v>
      </c>
      <c r="H109" s="2" t="str">
        <f>Table13[[#This Row],[Week]]&amp;", "&amp;Table13[[#This Row],[Month]]&amp;" "&amp;Table13[[#This Row],[FY]]</f>
        <v>Week 3, JUL FY21</v>
      </c>
      <c r="I109" s="2" t="str">
        <f>Table13[[#This Row],[Month]]&amp;", "&amp;Table13[[#This Row],[FY]]</f>
        <v>JUL, FY21</v>
      </c>
      <c r="J109" s="2" t="str">
        <f>"Q"&amp;Table13[[#This Row],[QTR]]&amp;", "&amp;Table13[[#This Row],[FY]]</f>
        <v>Q1, FY21</v>
      </c>
    </row>
    <row r="110" spans="1:10" x14ac:dyDescent="0.25">
      <c r="A110" s="1">
        <f t="shared" si="8"/>
        <v>44032</v>
      </c>
      <c r="B110" s="1">
        <f t="shared" si="8"/>
        <v>44038</v>
      </c>
      <c r="C110" s="2" t="s">
        <v>186</v>
      </c>
      <c r="D110" s="2" t="s">
        <v>182</v>
      </c>
      <c r="E110" s="2">
        <v>1</v>
      </c>
      <c r="F110" s="2" t="s">
        <v>248</v>
      </c>
      <c r="G110" s="2" t="str">
        <f>Table13[[#This Row],[Month]]&amp;", "&amp;Table13[[#This Row],[FY]]</f>
        <v>JUL, FY21</v>
      </c>
      <c r="H110" s="2" t="str">
        <f>Table13[[#This Row],[Week]]&amp;", "&amp;Table13[[#This Row],[Month]]&amp;" "&amp;Table13[[#This Row],[FY]]</f>
        <v>Week 4, JUL FY21</v>
      </c>
      <c r="I110" s="2" t="str">
        <f>Table13[[#This Row],[Month]]&amp;", "&amp;Table13[[#This Row],[FY]]</f>
        <v>JUL, FY21</v>
      </c>
      <c r="J110" s="2" t="str">
        <f>"Q"&amp;Table13[[#This Row],[QTR]]&amp;", "&amp;Table13[[#This Row],[FY]]</f>
        <v>Q1, FY21</v>
      </c>
    </row>
    <row r="111" spans="1:10" x14ac:dyDescent="0.25">
      <c r="A111" s="1">
        <f t="shared" si="8"/>
        <v>44039</v>
      </c>
      <c r="B111" s="1">
        <f t="shared" si="8"/>
        <v>44045</v>
      </c>
      <c r="C111" s="2" t="s">
        <v>187</v>
      </c>
      <c r="D111" s="2" t="s">
        <v>188</v>
      </c>
      <c r="E111" s="2">
        <v>1</v>
      </c>
      <c r="F111" s="2" t="s">
        <v>248</v>
      </c>
      <c r="G111" s="2" t="str">
        <f>Table13[[#This Row],[Month]]&amp;", "&amp;Table13[[#This Row],[FY]]</f>
        <v>AUG, FY21</v>
      </c>
      <c r="H111" s="2" t="str">
        <f>Table13[[#This Row],[Week]]&amp;", "&amp;Table13[[#This Row],[Month]]&amp;" "&amp;Table13[[#This Row],[FY]]</f>
        <v>Week 5, AUG FY21</v>
      </c>
      <c r="I111" s="2" t="str">
        <f>Table13[[#This Row],[Month]]&amp;", "&amp;Table13[[#This Row],[FY]]</f>
        <v>AUG, FY21</v>
      </c>
      <c r="J111" s="2" t="str">
        <f>"Q"&amp;Table13[[#This Row],[QTR]]&amp;", "&amp;Table13[[#This Row],[FY]]</f>
        <v>Q1, FY21</v>
      </c>
    </row>
    <row r="112" spans="1:10" x14ac:dyDescent="0.25">
      <c r="A112" s="1">
        <f t="shared" si="8"/>
        <v>44046</v>
      </c>
      <c r="B112" s="1">
        <f t="shared" si="8"/>
        <v>44052</v>
      </c>
      <c r="C112" s="2" t="s">
        <v>189</v>
      </c>
      <c r="D112" s="2" t="s">
        <v>188</v>
      </c>
      <c r="E112" s="2">
        <v>1</v>
      </c>
      <c r="F112" s="2" t="s">
        <v>248</v>
      </c>
      <c r="G112" s="2" t="str">
        <f>Table13[[#This Row],[Month]]&amp;", "&amp;Table13[[#This Row],[FY]]</f>
        <v>AUG, FY21</v>
      </c>
      <c r="H112" s="2" t="str">
        <f>Table13[[#This Row],[Week]]&amp;", "&amp;Table13[[#This Row],[Month]]&amp;" "&amp;Table13[[#This Row],[FY]]</f>
        <v>Week 6, AUG FY21</v>
      </c>
      <c r="I112" s="2" t="str">
        <f>Table13[[#This Row],[Month]]&amp;", "&amp;Table13[[#This Row],[FY]]</f>
        <v>AUG, FY21</v>
      </c>
      <c r="J112" s="2" t="str">
        <f>"Q"&amp;Table13[[#This Row],[QTR]]&amp;", "&amp;Table13[[#This Row],[FY]]</f>
        <v>Q1, FY21</v>
      </c>
    </row>
    <row r="113" spans="1:10" x14ac:dyDescent="0.25">
      <c r="A113" s="1">
        <f t="shared" si="8"/>
        <v>44053</v>
      </c>
      <c r="B113" s="1">
        <f t="shared" si="8"/>
        <v>44059</v>
      </c>
      <c r="C113" s="2" t="s">
        <v>190</v>
      </c>
      <c r="D113" s="2" t="s">
        <v>188</v>
      </c>
      <c r="E113" s="2">
        <v>1</v>
      </c>
      <c r="F113" s="2" t="s">
        <v>248</v>
      </c>
      <c r="G113" s="2" t="str">
        <f>Table13[[#This Row],[Month]]&amp;", "&amp;Table13[[#This Row],[FY]]</f>
        <v>AUG, FY21</v>
      </c>
      <c r="H113" s="2" t="str">
        <f>Table13[[#This Row],[Week]]&amp;", "&amp;Table13[[#This Row],[Month]]&amp;" "&amp;Table13[[#This Row],[FY]]</f>
        <v>Week 7, AUG FY21</v>
      </c>
      <c r="I113" s="2" t="str">
        <f>Table13[[#This Row],[Month]]&amp;", "&amp;Table13[[#This Row],[FY]]</f>
        <v>AUG, FY21</v>
      </c>
      <c r="J113" s="2" t="str">
        <f>"Q"&amp;Table13[[#This Row],[QTR]]&amp;", "&amp;Table13[[#This Row],[FY]]</f>
        <v>Q1, FY21</v>
      </c>
    </row>
    <row r="114" spans="1:10" x14ac:dyDescent="0.25">
      <c r="A114" s="1">
        <f t="shared" si="8"/>
        <v>44060</v>
      </c>
      <c r="B114" s="1">
        <f t="shared" si="8"/>
        <v>44066</v>
      </c>
      <c r="C114" s="2" t="s">
        <v>191</v>
      </c>
      <c r="D114" s="2" t="s">
        <v>188</v>
      </c>
      <c r="E114" s="2">
        <v>1</v>
      </c>
      <c r="F114" s="2" t="s">
        <v>248</v>
      </c>
      <c r="G114" s="2" t="str">
        <f>Table13[[#This Row],[Month]]&amp;", "&amp;Table13[[#This Row],[FY]]</f>
        <v>AUG, FY21</v>
      </c>
      <c r="H114" s="2" t="str">
        <f>Table13[[#This Row],[Week]]&amp;", "&amp;Table13[[#This Row],[Month]]&amp;" "&amp;Table13[[#This Row],[FY]]</f>
        <v>Week 8, AUG FY21</v>
      </c>
      <c r="I114" s="2" t="str">
        <f>Table13[[#This Row],[Month]]&amp;", "&amp;Table13[[#This Row],[FY]]</f>
        <v>AUG, FY21</v>
      </c>
      <c r="J114" s="2" t="str">
        <f>"Q"&amp;Table13[[#This Row],[QTR]]&amp;", "&amp;Table13[[#This Row],[FY]]</f>
        <v>Q1, FY21</v>
      </c>
    </row>
    <row r="115" spans="1:10" x14ac:dyDescent="0.25">
      <c r="A115" s="1">
        <f t="shared" ref="A115:B130" si="9">A114+7</f>
        <v>44067</v>
      </c>
      <c r="B115" s="1">
        <f t="shared" si="9"/>
        <v>44073</v>
      </c>
      <c r="C115" s="2" t="s">
        <v>192</v>
      </c>
      <c r="D115" s="2" t="s">
        <v>188</v>
      </c>
      <c r="E115" s="2">
        <v>1</v>
      </c>
      <c r="F115" s="2" t="s">
        <v>248</v>
      </c>
      <c r="G115" s="2" t="str">
        <f>Table13[[#This Row],[Month]]&amp;", "&amp;Table13[[#This Row],[FY]]</f>
        <v>AUG, FY21</v>
      </c>
      <c r="H115" s="2" t="str">
        <f>Table13[[#This Row],[Week]]&amp;", "&amp;Table13[[#This Row],[Month]]&amp;" "&amp;Table13[[#This Row],[FY]]</f>
        <v>Week 9, AUG FY21</v>
      </c>
      <c r="I115" s="2" t="str">
        <f>Table13[[#This Row],[Month]]&amp;", "&amp;Table13[[#This Row],[FY]]</f>
        <v>AUG, FY21</v>
      </c>
      <c r="J115" s="2" t="str">
        <f>"Q"&amp;Table13[[#This Row],[QTR]]&amp;", "&amp;Table13[[#This Row],[FY]]</f>
        <v>Q1, FY21</v>
      </c>
    </row>
    <row r="116" spans="1:10" x14ac:dyDescent="0.25">
      <c r="A116" s="1">
        <f t="shared" si="9"/>
        <v>44074</v>
      </c>
      <c r="B116" s="1">
        <f t="shared" si="9"/>
        <v>44080</v>
      </c>
      <c r="C116" s="2" t="s">
        <v>193</v>
      </c>
      <c r="D116" s="2" t="s">
        <v>194</v>
      </c>
      <c r="E116" s="2">
        <v>1</v>
      </c>
      <c r="F116" s="2" t="s">
        <v>248</v>
      </c>
      <c r="G116" s="2" t="str">
        <f>Table13[[#This Row],[Month]]&amp;", "&amp;Table13[[#This Row],[FY]]</f>
        <v>SEP, FY21</v>
      </c>
      <c r="H116" s="2" t="str">
        <f>Table13[[#This Row],[Week]]&amp;", "&amp;Table13[[#This Row],[Month]]&amp;" "&amp;Table13[[#This Row],[FY]]</f>
        <v>Week 10, SEP FY21</v>
      </c>
      <c r="I116" s="2" t="str">
        <f>Table13[[#This Row],[Month]]&amp;", "&amp;Table13[[#This Row],[FY]]</f>
        <v>SEP, FY21</v>
      </c>
      <c r="J116" s="2" t="str">
        <f>"Q"&amp;Table13[[#This Row],[QTR]]&amp;", "&amp;Table13[[#This Row],[FY]]</f>
        <v>Q1, FY21</v>
      </c>
    </row>
    <row r="117" spans="1:10" x14ac:dyDescent="0.25">
      <c r="A117" s="1">
        <f t="shared" si="9"/>
        <v>44081</v>
      </c>
      <c r="B117" s="1">
        <f t="shared" si="9"/>
        <v>44087</v>
      </c>
      <c r="C117" s="2" t="s">
        <v>195</v>
      </c>
      <c r="D117" s="2" t="s">
        <v>194</v>
      </c>
      <c r="E117" s="2">
        <v>1</v>
      </c>
      <c r="F117" s="2" t="s">
        <v>248</v>
      </c>
      <c r="G117" s="2" t="str">
        <f>Table13[[#This Row],[Month]]&amp;", "&amp;Table13[[#This Row],[FY]]</f>
        <v>SEP, FY21</v>
      </c>
      <c r="H117" s="2" t="str">
        <f>Table13[[#This Row],[Week]]&amp;", "&amp;Table13[[#This Row],[Month]]&amp;" "&amp;Table13[[#This Row],[FY]]</f>
        <v>Week 11, SEP FY21</v>
      </c>
      <c r="I117" s="2" t="str">
        <f>Table13[[#This Row],[Month]]&amp;", "&amp;Table13[[#This Row],[FY]]</f>
        <v>SEP, FY21</v>
      </c>
      <c r="J117" s="2" t="str">
        <f>"Q"&amp;Table13[[#This Row],[QTR]]&amp;", "&amp;Table13[[#This Row],[FY]]</f>
        <v>Q1, FY21</v>
      </c>
    </row>
    <row r="118" spans="1:10" x14ac:dyDescent="0.25">
      <c r="A118" s="1">
        <f t="shared" si="9"/>
        <v>44088</v>
      </c>
      <c r="B118" s="1">
        <f t="shared" si="9"/>
        <v>44094</v>
      </c>
      <c r="C118" s="2" t="s">
        <v>196</v>
      </c>
      <c r="D118" s="2" t="s">
        <v>194</v>
      </c>
      <c r="E118" s="2">
        <v>1</v>
      </c>
      <c r="F118" s="2" t="s">
        <v>248</v>
      </c>
      <c r="G118" s="2" t="str">
        <f>Table13[[#This Row],[Month]]&amp;", "&amp;Table13[[#This Row],[FY]]</f>
        <v>SEP, FY21</v>
      </c>
      <c r="H118" s="2" t="str">
        <f>Table13[[#This Row],[Week]]&amp;", "&amp;Table13[[#This Row],[Month]]&amp;" "&amp;Table13[[#This Row],[FY]]</f>
        <v>Week 12, SEP FY21</v>
      </c>
      <c r="I118" s="2" t="str">
        <f>Table13[[#This Row],[Month]]&amp;", "&amp;Table13[[#This Row],[FY]]</f>
        <v>SEP, FY21</v>
      </c>
      <c r="J118" s="2" t="str">
        <f>"Q"&amp;Table13[[#This Row],[QTR]]&amp;", "&amp;Table13[[#This Row],[FY]]</f>
        <v>Q1, FY21</v>
      </c>
    </row>
    <row r="119" spans="1:10" x14ac:dyDescent="0.25">
      <c r="A119" s="1">
        <f t="shared" si="9"/>
        <v>44095</v>
      </c>
      <c r="B119" s="1">
        <f t="shared" si="9"/>
        <v>44101</v>
      </c>
      <c r="C119" s="2" t="s">
        <v>197</v>
      </c>
      <c r="D119" s="2" t="s">
        <v>194</v>
      </c>
      <c r="E119" s="2">
        <v>2</v>
      </c>
      <c r="F119" s="2" t="s">
        <v>248</v>
      </c>
      <c r="G119" s="2" t="str">
        <f>Table13[[#This Row],[Month]]&amp;", "&amp;Table13[[#This Row],[FY]]</f>
        <v>SEP, FY21</v>
      </c>
      <c r="H119" s="2" t="str">
        <f>Table13[[#This Row],[Week]]&amp;", "&amp;Table13[[#This Row],[Month]]&amp;" "&amp;Table13[[#This Row],[FY]]</f>
        <v>Week 13, SEP FY21</v>
      </c>
      <c r="I119" s="2" t="str">
        <f>Table13[[#This Row],[Month]]&amp;", "&amp;Table13[[#This Row],[FY]]</f>
        <v>SEP, FY21</v>
      </c>
      <c r="J119" s="2" t="str">
        <f>"Q"&amp;Table13[[#This Row],[QTR]]&amp;", "&amp;Table13[[#This Row],[FY]]</f>
        <v>Q2, FY21</v>
      </c>
    </row>
    <row r="120" spans="1:10" x14ac:dyDescent="0.25">
      <c r="A120" s="1">
        <f t="shared" si="9"/>
        <v>44102</v>
      </c>
      <c r="B120" s="1">
        <f t="shared" si="9"/>
        <v>44108</v>
      </c>
      <c r="C120" s="2" t="s">
        <v>198</v>
      </c>
      <c r="D120" s="2" t="s">
        <v>199</v>
      </c>
      <c r="E120" s="2">
        <f t="shared" ref="E120:E157" si="10">E107+1</f>
        <v>2</v>
      </c>
      <c r="F120" s="2" t="s">
        <v>248</v>
      </c>
      <c r="G120" s="2" t="str">
        <f>Table13[[#This Row],[Month]]&amp;", "&amp;Table13[[#This Row],[FY]]</f>
        <v>OCT, FY21</v>
      </c>
      <c r="H120" s="2" t="str">
        <f>Table13[[#This Row],[Week]]&amp;", "&amp;Table13[[#This Row],[Month]]&amp;" "&amp;Table13[[#This Row],[FY]]</f>
        <v>Week 14, OCT FY21</v>
      </c>
      <c r="I120" s="2" t="str">
        <f>Table13[[#This Row],[Month]]&amp;", "&amp;Table13[[#This Row],[FY]]</f>
        <v>OCT, FY21</v>
      </c>
      <c r="J120" s="2" t="str">
        <f>"Q"&amp;Table13[[#This Row],[QTR]]&amp;", "&amp;Table13[[#This Row],[FY]]</f>
        <v>Q2, FY21</v>
      </c>
    </row>
    <row r="121" spans="1:10" x14ac:dyDescent="0.25">
      <c r="A121" s="1">
        <f t="shared" si="9"/>
        <v>44109</v>
      </c>
      <c r="B121" s="1">
        <f t="shared" si="9"/>
        <v>44115</v>
      </c>
      <c r="C121" s="2" t="s">
        <v>200</v>
      </c>
      <c r="D121" s="2" t="s">
        <v>199</v>
      </c>
      <c r="E121" s="2">
        <f t="shared" si="10"/>
        <v>2</v>
      </c>
      <c r="F121" s="2" t="s">
        <v>248</v>
      </c>
      <c r="G121" s="2" t="str">
        <f>Table13[[#This Row],[Month]]&amp;", "&amp;Table13[[#This Row],[FY]]</f>
        <v>OCT, FY21</v>
      </c>
      <c r="H121" s="2" t="str">
        <f>Table13[[#This Row],[Week]]&amp;", "&amp;Table13[[#This Row],[Month]]&amp;" "&amp;Table13[[#This Row],[FY]]</f>
        <v>Week 15, OCT FY21</v>
      </c>
      <c r="I121" s="2" t="str">
        <f>Table13[[#This Row],[Month]]&amp;", "&amp;Table13[[#This Row],[FY]]</f>
        <v>OCT, FY21</v>
      </c>
      <c r="J121" s="2" t="str">
        <f>"Q"&amp;Table13[[#This Row],[QTR]]&amp;", "&amp;Table13[[#This Row],[FY]]</f>
        <v>Q2, FY21</v>
      </c>
    </row>
    <row r="122" spans="1:10" x14ac:dyDescent="0.25">
      <c r="A122" s="1">
        <f t="shared" si="9"/>
        <v>44116</v>
      </c>
      <c r="B122" s="1">
        <f t="shared" si="9"/>
        <v>44122</v>
      </c>
      <c r="C122" s="2" t="s">
        <v>201</v>
      </c>
      <c r="D122" s="2" t="s">
        <v>199</v>
      </c>
      <c r="E122" s="2">
        <f t="shared" si="10"/>
        <v>2</v>
      </c>
      <c r="F122" s="2" t="s">
        <v>248</v>
      </c>
      <c r="G122" s="2" t="str">
        <f>Table13[[#This Row],[Month]]&amp;", "&amp;Table13[[#This Row],[FY]]</f>
        <v>OCT, FY21</v>
      </c>
      <c r="H122" s="2" t="str">
        <f>Table13[[#This Row],[Week]]&amp;", "&amp;Table13[[#This Row],[Month]]&amp;" "&amp;Table13[[#This Row],[FY]]</f>
        <v>Week 16, OCT FY21</v>
      </c>
      <c r="I122" s="2" t="str">
        <f>Table13[[#This Row],[Month]]&amp;", "&amp;Table13[[#This Row],[FY]]</f>
        <v>OCT, FY21</v>
      </c>
      <c r="J122" s="2" t="str">
        <f>"Q"&amp;Table13[[#This Row],[QTR]]&amp;", "&amp;Table13[[#This Row],[FY]]</f>
        <v>Q2, FY21</v>
      </c>
    </row>
    <row r="123" spans="1:10" x14ac:dyDescent="0.25">
      <c r="A123" s="1">
        <f t="shared" si="9"/>
        <v>44123</v>
      </c>
      <c r="B123" s="1">
        <f t="shared" si="9"/>
        <v>44129</v>
      </c>
      <c r="C123" s="2" t="s">
        <v>202</v>
      </c>
      <c r="D123" s="2" t="s">
        <v>199</v>
      </c>
      <c r="E123" s="2">
        <f t="shared" si="10"/>
        <v>2</v>
      </c>
      <c r="F123" s="2" t="s">
        <v>248</v>
      </c>
      <c r="G123" s="2" t="str">
        <f>Table13[[#This Row],[Month]]&amp;", "&amp;Table13[[#This Row],[FY]]</f>
        <v>OCT, FY21</v>
      </c>
      <c r="H123" s="2" t="str">
        <f>Table13[[#This Row],[Week]]&amp;", "&amp;Table13[[#This Row],[Month]]&amp;" "&amp;Table13[[#This Row],[FY]]</f>
        <v>Week 17, OCT FY21</v>
      </c>
      <c r="I123" s="2" t="str">
        <f>Table13[[#This Row],[Month]]&amp;", "&amp;Table13[[#This Row],[FY]]</f>
        <v>OCT, FY21</v>
      </c>
      <c r="J123" s="2" t="str">
        <f>"Q"&amp;Table13[[#This Row],[QTR]]&amp;", "&amp;Table13[[#This Row],[FY]]</f>
        <v>Q2, FY21</v>
      </c>
    </row>
    <row r="124" spans="1:10" x14ac:dyDescent="0.25">
      <c r="A124" s="1">
        <f t="shared" si="9"/>
        <v>44130</v>
      </c>
      <c r="B124" s="1">
        <f t="shared" si="9"/>
        <v>44136</v>
      </c>
      <c r="C124" s="2" t="s">
        <v>203</v>
      </c>
      <c r="D124" s="2" t="s">
        <v>204</v>
      </c>
      <c r="E124" s="2">
        <f t="shared" si="10"/>
        <v>2</v>
      </c>
      <c r="F124" s="2" t="s">
        <v>248</v>
      </c>
      <c r="G124" s="2" t="str">
        <f>Table13[[#This Row],[Month]]&amp;", "&amp;Table13[[#This Row],[FY]]</f>
        <v>NOV, FY21</v>
      </c>
      <c r="H124" s="2" t="str">
        <f>Table13[[#This Row],[Week]]&amp;", "&amp;Table13[[#This Row],[Month]]&amp;" "&amp;Table13[[#This Row],[FY]]</f>
        <v>Week 18, NOV FY21</v>
      </c>
      <c r="I124" s="2" t="str">
        <f>Table13[[#This Row],[Month]]&amp;", "&amp;Table13[[#This Row],[FY]]</f>
        <v>NOV, FY21</v>
      </c>
      <c r="J124" s="2" t="str">
        <f>"Q"&amp;Table13[[#This Row],[QTR]]&amp;", "&amp;Table13[[#This Row],[FY]]</f>
        <v>Q2, FY21</v>
      </c>
    </row>
    <row r="125" spans="1:10" x14ac:dyDescent="0.25">
      <c r="A125" s="1">
        <f t="shared" si="9"/>
        <v>44137</v>
      </c>
      <c r="B125" s="1">
        <f t="shared" si="9"/>
        <v>44143</v>
      </c>
      <c r="C125" s="2" t="s">
        <v>205</v>
      </c>
      <c r="D125" s="2" t="s">
        <v>204</v>
      </c>
      <c r="E125" s="2">
        <f t="shared" si="10"/>
        <v>2</v>
      </c>
      <c r="F125" s="2" t="s">
        <v>248</v>
      </c>
      <c r="G125" s="2" t="str">
        <f>Table13[[#This Row],[Month]]&amp;", "&amp;Table13[[#This Row],[FY]]</f>
        <v>NOV, FY21</v>
      </c>
      <c r="H125" s="2" t="str">
        <f>Table13[[#This Row],[Week]]&amp;", "&amp;Table13[[#This Row],[Month]]&amp;" "&amp;Table13[[#This Row],[FY]]</f>
        <v>Week 19, NOV FY21</v>
      </c>
      <c r="I125" s="2" t="str">
        <f>Table13[[#This Row],[Month]]&amp;", "&amp;Table13[[#This Row],[FY]]</f>
        <v>NOV, FY21</v>
      </c>
      <c r="J125" s="2" t="str">
        <f>"Q"&amp;Table13[[#This Row],[QTR]]&amp;", "&amp;Table13[[#This Row],[FY]]</f>
        <v>Q2, FY21</v>
      </c>
    </row>
    <row r="126" spans="1:10" x14ac:dyDescent="0.25">
      <c r="A126" s="1">
        <f t="shared" si="9"/>
        <v>44144</v>
      </c>
      <c r="B126" s="1">
        <f t="shared" si="9"/>
        <v>44150</v>
      </c>
      <c r="C126" s="2" t="s">
        <v>206</v>
      </c>
      <c r="D126" s="2" t="s">
        <v>204</v>
      </c>
      <c r="E126" s="2">
        <f t="shared" si="10"/>
        <v>2</v>
      </c>
      <c r="F126" s="2" t="s">
        <v>248</v>
      </c>
      <c r="G126" s="2" t="str">
        <f>Table13[[#This Row],[Month]]&amp;", "&amp;Table13[[#This Row],[FY]]</f>
        <v>NOV, FY21</v>
      </c>
      <c r="H126" s="2" t="str">
        <f>Table13[[#This Row],[Week]]&amp;", "&amp;Table13[[#This Row],[Month]]&amp;" "&amp;Table13[[#This Row],[FY]]</f>
        <v>Week 20, NOV FY21</v>
      </c>
      <c r="I126" s="2" t="str">
        <f>Table13[[#This Row],[Month]]&amp;", "&amp;Table13[[#This Row],[FY]]</f>
        <v>NOV, FY21</v>
      </c>
      <c r="J126" s="2" t="str">
        <f>"Q"&amp;Table13[[#This Row],[QTR]]&amp;", "&amp;Table13[[#This Row],[FY]]</f>
        <v>Q2, FY21</v>
      </c>
    </row>
    <row r="127" spans="1:10" x14ac:dyDescent="0.25">
      <c r="A127" s="1">
        <f t="shared" si="9"/>
        <v>44151</v>
      </c>
      <c r="B127" s="1">
        <f t="shared" si="9"/>
        <v>44157</v>
      </c>
      <c r="C127" s="2" t="s">
        <v>207</v>
      </c>
      <c r="D127" s="2" t="s">
        <v>204</v>
      </c>
      <c r="E127" s="2">
        <f t="shared" si="10"/>
        <v>2</v>
      </c>
      <c r="F127" s="2" t="s">
        <v>248</v>
      </c>
      <c r="G127" s="2" t="str">
        <f>Table13[[#This Row],[Month]]&amp;", "&amp;Table13[[#This Row],[FY]]</f>
        <v>NOV, FY21</v>
      </c>
      <c r="H127" s="2" t="str">
        <f>Table13[[#This Row],[Week]]&amp;", "&amp;Table13[[#This Row],[Month]]&amp;" "&amp;Table13[[#This Row],[FY]]</f>
        <v>Week 21, NOV FY21</v>
      </c>
      <c r="I127" s="2" t="str">
        <f>Table13[[#This Row],[Month]]&amp;", "&amp;Table13[[#This Row],[FY]]</f>
        <v>NOV, FY21</v>
      </c>
      <c r="J127" s="2" t="str">
        <f>"Q"&amp;Table13[[#This Row],[QTR]]&amp;", "&amp;Table13[[#This Row],[FY]]</f>
        <v>Q2, FY21</v>
      </c>
    </row>
    <row r="128" spans="1:10" x14ac:dyDescent="0.25">
      <c r="A128" s="1">
        <f t="shared" si="9"/>
        <v>44158</v>
      </c>
      <c r="B128" s="1">
        <f t="shared" si="9"/>
        <v>44164</v>
      </c>
      <c r="C128" s="2" t="s">
        <v>208</v>
      </c>
      <c r="D128" s="2" t="s">
        <v>204</v>
      </c>
      <c r="E128" s="2">
        <f t="shared" si="10"/>
        <v>2</v>
      </c>
      <c r="F128" s="2" t="s">
        <v>248</v>
      </c>
      <c r="G128" s="2" t="str">
        <f>Table13[[#This Row],[Month]]&amp;", "&amp;Table13[[#This Row],[FY]]</f>
        <v>NOV, FY21</v>
      </c>
      <c r="H128" s="2" t="str">
        <f>Table13[[#This Row],[Week]]&amp;", "&amp;Table13[[#This Row],[Month]]&amp;" "&amp;Table13[[#This Row],[FY]]</f>
        <v>Week 22, NOV FY21</v>
      </c>
      <c r="I128" s="2" t="str">
        <f>Table13[[#This Row],[Month]]&amp;", "&amp;Table13[[#This Row],[FY]]</f>
        <v>NOV, FY21</v>
      </c>
      <c r="J128" s="2" t="str">
        <f>"Q"&amp;Table13[[#This Row],[QTR]]&amp;", "&amp;Table13[[#This Row],[FY]]</f>
        <v>Q2, FY21</v>
      </c>
    </row>
    <row r="129" spans="1:10" x14ac:dyDescent="0.25">
      <c r="A129" s="1">
        <f t="shared" si="9"/>
        <v>44165</v>
      </c>
      <c r="B129" s="1">
        <f t="shared" si="9"/>
        <v>44171</v>
      </c>
      <c r="C129" s="2" t="s">
        <v>209</v>
      </c>
      <c r="D129" s="2" t="s">
        <v>210</v>
      </c>
      <c r="E129" s="2">
        <f t="shared" si="10"/>
        <v>2</v>
      </c>
      <c r="F129" s="2" t="s">
        <v>248</v>
      </c>
      <c r="G129" s="2" t="str">
        <f>Table13[[#This Row],[Month]]&amp;", "&amp;Table13[[#This Row],[FY]]</f>
        <v>DEC, FY21</v>
      </c>
      <c r="H129" s="2" t="str">
        <f>Table13[[#This Row],[Week]]&amp;", "&amp;Table13[[#This Row],[Month]]&amp;" "&amp;Table13[[#This Row],[FY]]</f>
        <v>Week 23, DEC FY21</v>
      </c>
      <c r="I129" s="2" t="str">
        <f>Table13[[#This Row],[Month]]&amp;", "&amp;Table13[[#This Row],[FY]]</f>
        <v>DEC, FY21</v>
      </c>
      <c r="J129" s="2" t="str">
        <f>"Q"&amp;Table13[[#This Row],[QTR]]&amp;", "&amp;Table13[[#This Row],[FY]]</f>
        <v>Q2, FY21</v>
      </c>
    </row>
    <row r="130" spans="1:10" x14ac:dyDescent="0.25">
      <c r="A130" s="1">
        <f t="shared" si="9"/>
        <v>44172</v>
      </c>
      <c r="B130" s="1">
        <f t="shared" si="9"/>
        <v>44178</v>
      </c>
      <c r="C130" s="2" t="s">
        <v>211</v>
      </c>
      <c r="D130" s="2" t="s">
        <v>210</v>
      </c>
      <c r="E130" s="2">
        <f t="shared" si="10"/>
        <v>2</v>
      </c>
      <c r="F130" s="2" t="s">
        <v>248</v>
      </c>
      <c r="G130" s="2" t="str">
        <f>Table13[[#This Row],[Month]]&amp;", "&amp;Table13[[#This Row],[FY]]</f>
        <v>DEC, FY21</v>
      </c>
      <c r="H130" s="2" t="str">
        <f>Table13[[#This Row],[Week]]&amp;", "&amp;Table13[[#This Row],[Month]]&amp;" "&amp;Table13[[#This Row],[FY]]</f>
        <v>Week 24, DEC FY21</v>
      </c>
      <c r="I130" s="2" t="str">
        <f>Table13[[#This Row],[Month]]&amp;", "&amp;Table13[[#This Row],[FY]]</f>
        <v>DEC, FY21</v>
      </c>
      <c r="J130" s="2" t="str">
        <f>"Q"&amp;Table13[[#This Row],[QTR]]&amp;", "&amp;Table13[[#This Row],[FY]]</f>
        <v>Q2, FY21</v>
      </c>
    </row>
    <row r="131" spans="1:10" x14ac:dyDescent="0.25">
      <c r="A131" s="1">
        <f t="shared" ref="A131:B146" si="11">A130+7</f>
        <v>44179</v>
      </c>
      <c r="B131" s="1">
        <f t="shared" si="11"/>
        <v>44185</v>
      </c>
      <c r="C131" s="2" t="s">
        <v>212</v>
      </c>
      <c r="D131" s="2" t="s">
        <v>210</v>
      </c>
      <c r="E131" s="2">
        <f t="shared" si="10"/>
        <v>2</v>
      </c>
      <c r="F131" s="2" t="s">
        <v>248</v>
      </c>
      <c r="G131" s="2" t="str">
        <f>Table13[[#This Row],[Month]]&amp;", "&amp;Table13[[#This Row],[FY]]</f>
        <v>DEC, FY21</v>
      </c>
      <c r="H131" s="2" t="str">
        <f>Table13[[#This Row],[Week]]&amp;", "&amp;Table13[[#This Row],[Month]]&amp;" "&amp;Table13[[#This Row],[FY]]</f>
        <v>Week 25, DEC FY21</v>
      </c>
      <c r="I131" s="2" t="str">
        <f>Table13[[#This Row],[Month]]&amp;", "&amp;Table13[[#This Row],[FY]]</f>
        <v>DEC, FY21</v>
      </c>
      <c r="J131" s="2" t="str">
        <f>"Q"&amp;Table13[[#This Row],[QTR]]&amp;", "&amp;Table13[[#This Row],[FY]]</f>
        <v>Q2, FY21</v>
      </c>
    </row>
    <row r="132" spans="1:10" x14ac:dyDescent="0.25">
      <c r="A132" s="1">
        <f t="shared" si="11"/>
        <v>44186</v>
      </c>
      <c r="B132" s="1">
        <f t="shared" si="11"/>
        <v>44192</v>
      </c>
      <c r="C132" s="2" t="s">
        <v>213</v>
      </c>
      <c r="D132" s="2" t="s">
        <v>210</v>
      </c>
      <c r="E132" s="2">
        <f t="shared" si="10"/>
        <v>3</v>
      </c>
      <c r="F132" s="2" t="s">
        <v>248</v>
      </c>
      <c r="G132" s="2" t="str">
        <f>Table13[[#This Row],[Month]]&amp;", "&amp;Table13[[#This Row],[FY]]</f>
        <v>DEC, FY21</v>
      </c>
      <c r="H132" s="2" t="str">
        <f>Table13[[#This Row],[Week]]&amp;", "&amp;Table13[[#This Row],[Month]]&amp;" "&amp;Table13[[#This Row],[FY]]</f>
        <v>Week 26, DEC FY21</v>
      </c>
      <c r="I132" s="2" t="str">
        <f>Table13[[#This Row],[Month]]&amp;", "&amp;Table13[[#This Row],[FY]]</f>
        <v>DEC, FY21</v>
      </c>
      <c r="J132" s="2" t="str">
        <f>"Q"&amp;Table13[[#This Row],[QTR]]&amp;", "&amp;Table13[[#This Row],[FY]]</f>
        <v>Q3, FY21</v>
      </c>
    </row>
    <row r="133" spans="1:10" x14ac:dyDescent="0.25">
      <c r="A133" s="1">
        <f t="shared" si="11"/>
        <v>44193</v>
      </c>
      <c r="B133" s="1">
        <f t="shared" si="11"/>
        <v>44199</v>
      </c>
      <c r="C133" s="2" t="s">
        <v>214</v>
      </c>
      <c r="D133" s="2" t="s">
        <v>215</v>
      </c>
      <c r="E133" s="2">
        <f t="shared" si="10"/>
        <v>3</v>
      </c>
      <c r="F133" s="2" t="s">
        <v>248</v>
      </c>
      <c r="G133" s="2" t="str">
        <f>Table13[[#This Row],[Month]]&amp;", "&amp;Table13[[#This Row],[FY]]</f>
        <v>JAN, FY21</v>
      </c>
      <c r="H133" s="2" t="str">
        <f>Table13[[#This Row],[Week]]&amp;", "&amp;Table13[[#This Row],[Month]]&amp;" "&amp;Table13[[#This Row],[FY]]</f>
        <v>Week 27, JAN FY21</v>
      </c>
      <c r="I133" s="2" t="str">
        <f>Table13[[#This Row],[Month]]&amp;", "&amp;Table13[[#This Row],[FY]]</f>
        <v>JAN, FY21</v>
      </c>
      <c r="J133" s="2" t="str">
        <f>"Q"&amp;Table13[[#This Row],[QTR]]&amp;", "&amp;Table13[[#This Row],[FY]]</f>
        <v>Q3, FY21</v>
      </c>
    </row>
    <row r="134" spans="1:10" x14ac:dyDescent="0.25">
      <c r="A134" s="1">
        <f t="shared" si="11"/>
        <v>44200</v>
      </c>
      <c r="B134" s="1">
        <f t="shared" si="11"/>
        <v>44206</v>
      </c>
      <c r="C134" s="2" t="s">
        <v>216</v>
      </c>
      <c r="D134" s="2" t="s">
        <v>215</v>
      </c>
      <c r="E134" s="2">
        <f t="shared" si="10"/>
        <v>3</v>
      </c>
      <c r="F134" s="2" t="s">
        <v>248</v>
      </c>
      <c r="G134" s="2" t="str">
        <f>Table13[[#This Row],[Month]]&amp;", "&amp;Table13[[#This Row],[FY]]</f>
        <v>JAN, FY21</v>
      </c>
      <c r="H134" s="2" t="str">
        <f>Table13[[#This Row],[Week]]&amp;", "&amp;Table13[[#This Row],[Month]]&amp;" "&amp;Table13[[#This Row],[FY]]</f>
        <v>Week 28, JAN FY21</v>
      </c>
      <c r="I134" s="2" t="str">
        <f>Table13[[#This Row],[Month]]&amp;", "&amp;Table13[[#This Row],[FY]]</f>
        <v>JAN, FY21</v>
      </c>
      <c r="J134" s="2" t="str">
        <f>"Q"&amp;Table13[[#This Row],[QTR]]&amp;", "&amp;Table13[[#This Row],[FY]]</f>
        <v>Q3, FY21</v>
      </c>
    </row>
    <row r="135" spans="1:10" x14ac:dyDescent="0.25">
      <c r="A135" s="1">
        <f t="shared" si="11"/>
        <v>44207</v>
      </c>
      <c r="B135" s="1">
        <f t="shared" si="11"/>
        <v>44213</v>
      </c>
      <c r="C135" s="2" t="s">
        <v>217</v>
      </c>
      <c r="D135" s="2" t="s">
        <v>215</v>
      </c>
      <c r="E135" s="2">
        <f t="shared" si="10"/>
        <v>3</v>
      </c>
      <c r="F135" s="2" t="s">
        <v>248</v>
      </c>
      <c r="G135" s="2" t="str">
        <f>Table13[[#This Row],[Month]]&amp;", "&amp;Table13[[#This Row],[FY]]</f>
        <v>JAN, FY21</v>
      </c>
      <c r="H135" s="2" t="str">
        <f>Table13[[#This Row],[Week]]&amp;", "&amp;Table13[[#This Row],[Month]]&amp;" "&amp;Table13[[#This Row],[FY]]</f>
        <v>Week 29, JAN FY21</v>
      </c>
      <c r="I135" s="2" t="str">
        <f>Table13[[#This Row],[Month]]&amp;", "&amp;Table13[[#This Row],[FY]]</f>
        <v>JAN, FY21</v>
      </c>
      <c r="J135" s="2" t="str">
        <f>"Q"&amp;Table13[[#This Row],[QTR]]&amp;", "&amp;Table13[[#This Row],[FY]]</f>
        <v>Q3, FY21</v>
      </c>
    </row>
    <row r="136" spans="1:10" x14ac:dyDescent="0.25">
      <c r="A136" s="1">
        <f t="shared" si="11"/>
        <v>44214</v>
      </c>
      <c r="B136" s="1">
        <f t="shared" si="11"/>
        <v>44220</v>
      </c>
      <c r="C136" s="2" t="s">
        <v>218</v>
      </c>
      <c r="D136" s="2" t="s">
        <v>215</v>
      </c>
      <c r="E136" s="2">
        <f t="shared" si="10"/>
        <v>3</v>
      </c>
      <c r="F136" s="2" t="s">
        <v>248</v>
      </c>
      <c r="G136" s="2" t="str">
        <f>Table13[[#This Row],[Month]]&amp;", "&amp;Table13[[#This Row],[FY]]</f>
        <v>JAN, FY21</v>
      </c>
      <c r="H136" s="2" t="str">
        <f>Table13[[#This Row],[Week]]&amp;", "&amp;Table13[[#This Row],[Month]]&amp;" "&amp;Table13[[#This Row],[FY]]</f>
        <v>Week 30, JAN FY21</v>
      </c>
      <c r="I136" s="2" t="str">
        <f>Table13[[#This Row],[Month]]&amp;", "&amp;Table13[[#This Row],[FY]]</f>
        <v>JAN, FY21</v>
      </c>
      <c r="J136" s="2" t="str">
        <f>"Q"&amp;Table13[[#This Row],[QTR]]&amp;", "&amp;Table13[[#This Row],[FY]]</f>
        <v>Q3, FY21</v>
      </c>
    </row>
    <row r="137" spans="1:10" x14ac:dyDescent="0.25">
      <c r="A137" s="1">
        <f t="shared" si="11"/>
        <v>44221</v>
      </c>
      <c r="B137" s="1">
        <f t="shared" si="11"/>
        <v>44227</v>
      </c>
      <c r="C137" s="2" t="s">
        <v>219</v>
      </c>
      <c r="D137" s="2" t="s">
        <v>220</v>
      </c>
      <c r="E137" s="2">
        <f t="shared" si="10"/>
        <v>3</v>
      </c>
      <c r="F137" s="2" t="s">
        <v>248</v>
      </c>
      <c r="G137" s="2" t="str">
        <f>Table13[[#This Row],[Month]]&amp;", "&amp;Table13[[#This Row],[FY]]</f>
        <v>FEB, FY21</v>
      </c>
      <c r="H137" s="2" t="str">
        <f>Table13[[#This Row],[Week]]&amp;", "&amp;Table13[[#This Row],[Month]]&amp;" "&amp;Table13[[#This Row],[FY]]</f>
        <v>Week 31, FEB FY21</v>
      </c>
      <c r="I137" s="2" t="str">
        <f>Table13[[#This Row],[Month]]&amp;", "&amp;Table13[[#This Row],[FY]]</f>
        <v>FEB, FY21</v>
      </c>
      <c r="J137" s="2" t="str">
        <f>"Q"&amp;Table13[[#This Row],[QTR]]&amp;", "&amp;Table13[[#This Row],[FY]]</f>
        <v>Q3, FY21</v>
      </c>
    </row>
    <row r="138" spans="1:10" x14ac:dyDescent="0.25">
      <c r="A138" s="1">
        <f t="shared" si="11"/>
        <v>44228</v>
      </c>
      <c r="B138" s="1">
        <f t="shared" si="11"/>
        <v>44234</v>
      </c>
      <c r="C138" s="2" t="s">
        <v>221</v>
      </c>
      <c r="D138" s="2" t="s">
        <v>220</v>
      </c>
      <c r="E138" s="2">
        <f t="shared" si="10"/>
        <v>3</v>
      </c>
      <c r="F138" s="2" t="s">
        <v>248</v>
      </c>
      <c r="G138" s="2" t="str">
        <f>Table13[[#This Row],[Month]]&amp;", "&amp;Table13[[#This Row],[FY]]</f>
        <v>FEB, FY21</v>
      </c>
      <c r="H138" s="2" t="str">
        <f>Table13[[#This Row],[Week]]&amp;", "&amp;Table13[[#This Row],[Month]]&amp;" "&amp;Table13[[#This Row],[FY]]</f>
        <v>Week 32, FEB FY21</v>
      </c>
      <c r="I138" s="2" t="str">
        <f>Table13[[#This Row],[Month]]&amp;", "&amp;Table13[[#This Row],[FY]]</f>
        <v>FEB, FY21</v>
      </c>
      <c r="J138" s="2" t="str">
        <f>"Q"&amp;Table13[[#This Row],[QTR]]&amp;", "&amp;Table13[[#This Row],[FY]]</f>
        <v>Q3, FY21</v>
      </c>
    </row>
    <row r="139" spans="1:10" x14ac:dyDescent="0.25">
      <c r="A139" s="1">
        <f t="shared" si="11"/>
        <v>44235</v>
      </c>
      <c r="B139" s="1">
        <f t="shared" si="11"/>
        <v>44241</v>
      </c>
      <c r="C139" s="2" t="s">
        <v>222</v>
      </c>
      <c r="D139" s="2" t="s">
        <v>220</v>
      </c>
      <c r="E139" s="2">
        <f t="shared" si="10"/>
        <v>3</v>
      </c>
      <c r="F139" s="2" t="s">
        <v>248</v>
      </c>
      <c r="G139" s="2" t="str">
        <f>Table13[[#This Row],[Month]]&amp;", "&amp;Table13[[#This Row],[FY]]</f>
        <v>FEB, FY21</v>
      </c>
      <c r="H139" s="2" t="str">
        <f>Table13[[#This Row],[Week]]&amp;", "&amp;Table13[[#This Row],[Month]]&amp;" "&amp;Table13[[#This Row],[FY]]</f>
        <v>Week 33, FEB FY21</v>
      </c>
      <c r="I139" s="2" t="str">
        <f>Table13[[#This Row],[Month]]&amp;", "&amp;Table13[[#This Row],[FY]]</f>
        <v>FEB, FY21</v>
      </c>
      <c r="J139" s="2" t="str">
        <f>"Q"&amp;Table13[[#This Row],[QTR]]&amp;", "&amp;Table13[[#This Row],[FY]]</f>
        <v>Q3, FY21</v>
      </c>
    </row>
    <row r="140" spans="1:10" x14ac:dyDescent="0.25">
      <c r="A140" s="1">
        <f t="shared" si="11"/>
        <v>44242</v>
      </c>
      <c r="B140" s="1">
        <f t="shared" si="11"/>
        <v>44248</v>
      </c>
      <c r="C140" s="2" t="s">
        <v>223</v>
      </c>
      <c r="D140" s="2" t="s">
        <v>220</v>
      </c>
      <c r="E140" s="2">
        <f t="shared" si="10"/>
        <v>3</v>
      </c>
      <c r="F140" s="2" t="s">
        <v>248</v>
      </c>
      <c r="G140" s="2" t="str">
        <f>Table13[[#This Row],[Month]]&amp;", "&amp;Table13[[#This Row],[FY]]</f>
        <v>FEB, FY21</v>
      </c>
      <c r="H140" s="2" t="str">
        <f>Table13[[#This Row],[Week]]&amp;", "&amp;Table13[[#This Row],[Month]]&amp;" "&amp;Table13[[#This Row],[FY]]</f>
        <v>Week 34, FEB FY21</v>
      </c>
      <c r="I140" s="2" t="str">
        <f>Table13[[#This Row],[Month]]&amp;", "&amp;Table13[[#This Row],[FY]]</f>
        <v>FEB, FY21</v>
      </c>
      <c r="J140" s="2" t="str">
        <f>"Q"&amp;Table13[[#This Row],[QTR]]&amp;", "&amp;Table13[[#This Row],[FY]]</f>
        <v>Q3, FY21</v>
      </c>
    </row>
    <row r="141" spans="1:10" x14ac:dyDescent="0.25">
      <c r="A141" s="1">
        <f t="shared" si="11"/>
        <v>44249</v>
      </c>
      <c r="B141" s="1">
        <f t="shared" si="11"/>
        <v>44255</v>
      </c>
      <c r="C141" s="2" t="s">
        <v>224</v>
      </c>
      <c r="D141" s="2" t="s">
        <v>220</v>
      </c>
      <c r="E141" s="2">
        <f t="shared" si="10"/>
        <v>3</v>
      </c>
      <c r="F141" s="2" t="s">
        <v>248</v>
      </c>
      <c r="G141" s="2" t="str">
        <f>Table13[[#This Row],[Month]]&amp;", "&amp;Table13[[#This Row],[FY]]</f>
        <v>FEB, FY21</v>
      </c>
      <c r="H141" s="2" t="str">
        <f>Table13[[#This Row],[Week]]&amp;", "&amp;Table13[[#This Row],[Month]]&amp;" "&amp;Table13[[#This Row],[FY]]</f>
        <v>Week 35, FEB FY21</v>
      </c>
      <c r="I141" s="2" t="str">
        <f>Table13[[#This Row],[Month]]&amp;", "&amp;Table13[[#This Row],[FY]]</f>
        <v>FEB, FY21</v>
      </c>
      <c r="J141" s="2" t="str">
        <f>"Q"&amp;Table13[[#This Row],[QTR]]&amp;", "&amp;Table13[[#This Row],[FY]]</f>
        <v>Q3, FY21</v>
      </c>
    </row>
    <row r="142" spans="1:10" x14ac:dyDescent="0.25">
      <c r="A142" s="1">
        <f t="shared" si="11"/>
        <v>44256</v>
      </c>
      <c r="B142" s="1">
        <f t="shared" si="11"/>
        <v>44262</v>
      </c>
      <c r="C142" s="2" t="s">
        <v>225</v>
      </c>
      <c r="D142" s="2" t="s">
        <v>226</v>
      </c>
      <c r="E142" s="2">
        <f t="shared" si="10"/>
        <v>3</v>
      </c>
      <c r="F142" s="2" t="s">
        <v>248</v>
      </c>
      <c r="G142" s="2" t="str">
        <f>Table13[[#This Row],[Month]]&amp;", "&amp;Table13[[#This Row],[FY]]</f>
        <v>MAR, FY21</v>
      </c>
      <c r="H142" s="2" t="str">
        <f>Table13[[#This Row],[Week]]&amp;", "&amp;Table13[[#This Row],[Month]]&amp;" "&amp;Table13[[#This Row],[FY]]</f>
        <v>Week 36, MAR FY21</v>
      </c>
      <c r="I142" s="2" t="str">
        <f>Table13[[#This Row],[Month]]&amp;", "&amp;Table13[[#This Row],[FY]]</f>
        <v>MAR, FY21</v>
      </c>
      <c r="J142" s="2" t="str">
        <f>"Q"&amp;Table13[[#This Row],[QTR]]&amp;", "&amp;Table13[[#This Row],[FY]]</f>
        <v>Q3, FY21</v>
      </c>
    </row>
    <row r="143" spans="1:10" x14ac:dyDescent="0.25">
      <c r="A143" s="1">
        <f t="shared" si="11"/>
        <v>44263</v>
      </c>
      <c r="B143" s="1">
        <f t="shared" si="11"/>
        <v>44269</v>
      </c>
      <c r="C143" s="2" t="s">
        <v>227</v>
      </c>
      <c r="D143" s="2" t="s">
        <v>226</v>
      </c>
      <c r="E143" s="2">
        <f t="shared" si="10"/>
        <v>3</v>
      </c>
      <c r="F143" s="2" t="s">
        <v>248</v>
      </c>
      <c r="G143" s="2" t="str">
        <f>Table13[[#This Row],[Month]]&amp;", "&amp;Table13[[#This Row],[FY]]</f>
        <v>MAR, FY21</v>
      </c>
      <c r="H143" s="2" t="str">
        <f>Table13[[#This Row],[Week]]&amp;", "&amp;Table13[[#This Row],[Month]]&amp;" "&amp;Table13[[#This Row],[FY]]</f>
        <v>Week 37, MAR FY21</v>
      </c>
      <c r="I143" s="2" t="str">
        <f>Table13[[#This Row],[Month]]&amp;", "&amp;Table13[[#This Row],[FY]]</f>
        <v>MAR, FY21</v>
      </c>
      <c r="J143" s="2" t="str">
        <f>"Q"&amp;Table13[[#This Row],[QTR]]&amp;", "&amp;Table13[[#This Row],[FY]]</f>
        <v>Q3, FY21</v>
      </c>
    </row>
    <row r="144" spans="1:10" x14ac:dyDescent="0.25">
      <c r="A144" s="1">
        <f t="shared" si="11"/>
        <v>44270</v>
      </c>
      <c r="B144" s="1">
        <f t="shared" si="11"/>
        <v>44276</v>
      </c>
      <c r="C144" s="2" t="s">
        <v>228</v>
      </c>
      <c r="D144" s="2" t="s">
        <v>226</v>
      </c>
      <c r="E144" s="2">
        <f t="shared" si="10"/>
        <v>3</v>
      </c>
      <c r="F144" s="2" t="s">
        <v>248</v>
      </c>
      <c r="G144" s="2" t="str">
        <f>Table13[[#This Row],[Month]]&amp;", "&amp;Table13[[#This Row],[FY]]</f>
        <v>MAR, FY21</v>
      </c>
      <c r="H144" s="2" t="str">
        <f>Table13[[#This Row],[Week]]&amp;", "&amp;Table13[[#This Row],[Month]]&amp;" "&amp;Table13[[#This Row],[FY]]</f>
        <v>Week 38, MAR FY21</v>
      </c>
      <c r="I144" s="2" t="str">
        <f>Table13[[#This Row],[Month]]&amp;", "&amp;Table13[[#This Row],[FY]]</f>
        <v>MAR, FY21</v>
      </c>
      <c r="J144" s="2" t="str">
        <f>"Q"&amp;Table13[[#This Row],[QTR]]&amp;", "&amp;Table13[[#This Row],[FY]]</f>
        <v>Q3, FY21</v>
      </c>
    </row>
    <row r="145" spans="1:10" x14ac:dyDescent="0.25">
      <c r="A145" s="1">
        <f t="shared" si="11"/>
        <v>44277</v>
      </c>
      <c r="B145" s="1">
        <f t="shared" si="11"/>
        <v>44283</v>
      </c>
      <c r="C145" s="2" t="s">
        <v>229</v>
      </c>
      <c r="D145" s="2" t="s">
        <v>226</v>
      </c>
      <c r="E145" s="2">
        <f t="shared" si="10"/>
        <v>4</v>
      </c>
      <c r="F145" s="2" t="s">
        <v>248</v>
      </c>
      <c r="G145" s="2" t="str">
        <f>Table13[[#This Row],[Month]]&amp;", "&amp;Table13[[#This Row],[FY]]</f>
        <v>MAR, FY21</v>
      </c>
      <c r="H145" s="2" t="str">
        <f>Table13[[#This Row],[Week]]&amp;", "&amp;Table13[[#This Row],[Month]]&amp;" "&amp;Table13[[#This Row],[FY]]</f>
        <v>Week 39, MAR FY21</v>
      </c>
      <c r="I145" s="2" t="str">
        <f>Table13[[#This Row],[Month]]&amp;", "&amp;Table13[[#This Row],[FY]]</f>
        <v>MAR, FY21</v>
      </c>
      <c r="J145" s="2" t="str">
        <f>"Q"&amp;Table13[[#This Row],[QTR]]&amp;", "&amp;Table13[[#This Row],[FY]]</f>
        <v>Q4, FY21</v>
      </c>
    </row>
    <row r="146" spans="1:10" x14ac:dyDescent="0.25">
      <c r="A146" s="1">
        <f t="shared" si="11"/>
        <v>44284</v>
      </c>
      <c r="B146" s="1">
        <f t="shared" si="11"/>
        <v>44290</v>
      </c>
      <c r="C146" s="2" t="s">
        <v>230</v>
      </c>
      <c r="D146" s="2" t="s">
        <v>231</v>
      </c>
      <c r="E146" s="2">
        <f t="shared" si="10"/>
        <v>4</v>
      </c>
      <c r="F146" s="2" t="s">
        <v>248</v>
      </c>
      <c r="G146" s="2" t="str">
        <f>Table13[[#This Row],[Month]]&amp;", "&amp;Table13[[#This Row],[FY]]</f>
        <v>APR, FY21</v>
      </c>
      <c r="H146" s="2" t="str">
        <f>Table13[[#This Row],[Week]]&amp;", "&amp;Table13[[#This Row],[Month]]&amp;" "&amp;Table13[[#This Row],[FY]]</f>
        <v>Week 40, APR FY21</v>
      </c>
      <c r="I146" s="2" t="str">
        <f>Table13[[#This Row],[Month]]&amp;", "&amp;Table13[[#This Row],[FY]]</f>
        <v>APR, FY21</v>
      </c>
      <c r="J146" s="2" t="str">
        <f>"Q"&amp;Table13[[#This Row],[QTR]]&amp;", "&amp;Table13[[#This Row],[FY]]</f>
        <v>Q4, FY21</v>
      </c>
    </row>
    <row r="147" spans="1:10" x14ac:dyDescent="0.25">
      <c r="A147" s="1">
        <f t="shared" ref="A147:B157" si="12">A146+7</f>
        <v>44291</v>
      </c>
      <c r="B147" s="1">
        <f t="shared" si="12"/>
        <v>44297</v>
      </c>
      <c r="C147" s="2" t="s">
        <v>232</v>
      </c>
      <c r="D147" s="2" t="s">
        <v>231</v>
      </c>
      <c r="E147" s="2">
        <f t="shared" si="10"/>
        <v>4</v>
      </c>
      <c r="F147" s="2" t="s">
        <v>248</v>
      </c>
      <c r="G147" s="2" t="str">
        <f>Table13[[#This Row],[Month]]&amp;", "&amp;Table13[[#This Row],[FY]]</f>
        <v>APR, FY21</v>
      </c>
      <c r="H147" s="2" t="str">
        <f>Table13[[#This Row],[Week]]&amp;", "&amp;Table13[[#This Row],[Month]]&amp;" "&amp;Table13[[#This Row],[FY]]</f>
        <v>Week 41, APR FY21</v>
      </c>
      <c r="I147" s="2" t="str">
        <f>Table13[[#This Row],[Month]]&amp;", "&amp;Table13[[#This Row],[FY]]</f>
        <v>APR, FY21</v>
      </c>
      <c r="J147" s="2" t="str">
        <f>"Q"&amp;Table13[[#This Row],[QTR]]&amp;", "&amp;Table13[[#This Row],[FY]]</f>
        <v>Q4, FY21</v>
      </c>
    </row>
    <row r="148" spans="1:10" x14ac:dyDescent="0.25">
      <c r="A148" s="1">
        <f t="shared" si="12"/>
        <v>44298</v>
      </c>
      <c r="B148" s="1">
        <f t="shared" si="12"/>
        <v>44304</v>
      </c>
      <c r="C148" s="2" t="s">
        <v>233</v>
      </c>
      <c r="D148" s="2" t="s">
        <v>231</v>
      </c>
      <c r="E148" s="2">
        <f t="shared" si="10"/>
        <v>4</v>
      </c>
      <c r="F148" s="2" t="s">
        <v>248</v>
      </c>
      <c r="G148" s="2" t="str">
        <f>Table13[[#This Row],[Month]]&amp;", "&amp;Table13[[#This Row],[FY]]</f>
        <v>APR, FY21</v>
      </c>
      <c r="H148" s="2" t="str">
        <f>Table13[[#This Row],[Week]]&amp;", "&amp;Table13[[#This Row],[Month]]&amp;" "&amp;Table13[[#This Row],[FY]]</f>
        <v>Week 42, APR FY21</v>
      </c>
      <c r="I148" s="2" t="str">
        <f>Table13[[#This Row],[Month]]&amp;", "&amp;Table13[[#This Row],[FY]]</f>
        <v>APR, FY21</v>
      </c>
      <c r="J148" s="2" t="str">
        <f>"Q"&amp;Table13[[#This Row],[QTR]]&amp;", "&amp;Table13[[#This Row],[FY]]</f>
        <v>Q4, FY21</v>
      </c>
    </row>
    <row r="149" spans="1:10" x14ac:dyDescent="0.25">
      <c r="A149" s="1">
        <f t="shared" si="12"/>
        <v>44305</v>
      </c>
      <c r="B149" s="1">
        <f t="shared" si="12"/>
        <v>44311</v>
      </c>
      <c r="C149" s="2" t="s">
        <v>234</v>
      </c>
      <c r="D149" s="2" t="s">
        <v>231</v>
      </c>
      <c r="E149" s="2">
        <f t="shared" si="10"/>
        <v>4</v>
      </c>
      <c r="F149" s="2" t="s">
        <v>248</v>
      </c>
      <c r="G149" s="2" t="str">
        <f>Table13[[#This Row],[Month]]&amp;", "&amp;Table13[[#This Row],[FY]]</f>
        <v>APR, FY21</v>
      </c>
      <c r="H149" s="2" t="str">
        <f>Table13[[#This Row],[Week]]&amp;", "&amp;Table13[[#This Row],[Month]]&amp;" "&amp;Table13[[#This Row],[FY]]</f>
        <v>Week 43, APR FY21</v>
      </c>
      <c r="I149" s="2" t="str">
        <f>Table13[[#This Row],[Month]]&amp;", "&amp;Table13[[#This Row],[FY]]</f>
        <v>APR, FY21</v>
      </c>
      <c r="J149" s="2" t="str">
        <f>"Q"&amp;Table13[[#This Row],[QTR]]&amp;", "&amp;Table13[[#This Row],[FY]]</f>
        <v>Q4, FY21</v>
      </c>
    </row>
    <row r="150" spans="1:10" x14ac:dyDescent="0.25">
      <c r="A150" s="1">
        <f t="shared" si="12"/>
        <v>44312</v>
      </c>
      <c r="B150" s="1">
        <f t="shared" si="12"/>
        <v>44318</v>
      </c>
      <c r="C150" s="2" t="s">
        <v>235</v>
      </c>
      <c r="D150" s="2" t="s">
        <v>236</v>
      </c>
      <c r="E150" s="2">
        <f t="shared" si="10"/>
        <v>4</v>
      </c>
      <c r="F150" s="2" t="s">
        <v>248</v>
      </c>
      <c r="G150" s="2" t="str">
        <f>Table13[[#This Row],[Month]]&amp;", "&amp;Table13[[#This Row],[FY]]</f>
        <v>MAY, FY21</v>
      </c>
      <c r="H150" s="2" t="str">
        <f>Table13[[#This Row],[Week]]&amp;", "&amp;Table13[[#This Row],[Month]]&amp;" "&amp;Table13[[#This Row],[FY]]</f>
        <v>Week 44, MAY FY21</v>
      </c>
      <c r="I150" s="2" t="str">
        <f>Table13[[#This Row],[Month]]&amp;", "&amp;Table13[[#This Row],[FY]]</f>
        <v>MAY, FY21</v>
      </c>
      <c r="J150" s="2" t="str">
        <f>"Q"&amp;Table13[[#This Row],[QTR]]&amp;", "&amp;Table13[[#This Row],[FY]]</f>
        <v>Q4, FY21</v>
      </c>
    </row>
    <row r="151" spans="1:10" x14ac:dyDescent="0.25">
      <c r="A151" s="1">
        <f t="shared" si="12"/>
        <v>44319</v>
      </c>
      <c r="B151" s="1">
        <f t="shared" si="12"/>
        <v>44325</v>
      </c>
      <c r="C151" s="2" t="s">
        <v>237</v>
      </c>
      <c r="D151" s="2" t="s">
        <v>236</v>
      </c>
      <c r="E151" s="2">
        <f t="shared" si="10"/>
        <v>4</v>
      </c>
      <c r="F151" s="2" t="s">
        <v>248</v>
      </c>
      <c r="G151" s="2" t="str">
        <f>Table13[[#This Row],[Month]]&amp;", "&amp;Table13[[#This Row],[FY]]</f>
        <v>MAY, FY21</v>
      </c>
      <c r="H151" s="2" t="str">
        <f>Table13[[#This Row],[Week]]&amp;", "&amp;Table13[[#This Row],[Month]]&amp;" "&amp;Table13[[#This Row],[FY]]</f>
        <v>Week 45, MAY FY21</v>
      </c>
      <c r="I151" s="2" t="str">
        <f>Table13[[#This Row],[Month]]&amp;", "&amp;Table13[[#This Row],[FY]]</f>
        <v>MAY, FY21</v>
      </c>
      <c r="J151" s="2" t="str">
        <f>"Q"&amp;Table13[[#This Row],[QTR]]&amp;", "&amp;Table13[[#This Row],[FY]]</f>
        <v>Q4, FY21</v>
      </c>
    </row>
    <row r="152" spans="1:10" x14ac:dyDescent="0.25">
      <c r="A152" s="1">
        <f t="shared" si="12"/>
        <v>44326</v>
      </c>
      <c r="B152" s="1">
        <f t="shared" si="12"/>
        <v>44332</v>
      </c>
      <c r="C152" s="2" t="s">
        <v>238</v>
      </c>
      <c r="D152" s="2" t="s">
        <v>236</v>
      </c>
      <c r="E152" s="2">
        <f t="shared" si="10"/>
        <v>4</v>
      </c>
      <c r="F152" s="2" t="s">
        <v>248</v>
      </c>
      <c r="G152" s="2" t="str">
        <f>Table13[[#This Row],[Month]]&amp;", "&amp;Table13[[#This Row],[FY]]</f>
        <v>MAY, FY21</v>
      </c>
      <c r="H152" s="2" t="str">
        <f>Table13[[#This Row],[Week]]&amp;", "&amp;Table13[[#This Row],[Month]]&amp;" "&amp;Table13[[#This Row],[FY]]</f>
        <v>Week 46, MAY FY21</v>
      </c>
      <c r="I152" s="2" t="str">
        <f>Table13[[#This Row],[Month]]&amp;", "&amp;Table13[[#This Row],[FY]]</f>
        <v>MAY, FY21</v>
      </c>
      <c r="J152" s="2" t="str">
        <f>"Q"&amp;Table13[[#This Row],[QTR]]&amp;", "&amp;Table13[[#This Row],[FY]]</f>
        <v>Q4, FY21</v>
      </c>
    </row>
    <row r="153" spans="1:10" x14ac:dyDescent="0.25">
      <c r="A153" s="1">
        <f t="shared" si="12"/>
        <v>44333</v>
      </c>
      <c r="B153" s="1">
        <f t="shared" si="12"/>
        <v>44339</v>
      </c>
      <c r="C153" s="2" t="s">
        <v>239</v>
      </c>
      <c r="D153" s="2" t="s">
        <v>236</v>
      </c>
      <c r="E153" s="2">
        <f t="shared" si="10"/>
        <v>4</v>
      </c>
      <c r="F153" s="2" t="s">
        <v>248</v>
      </c>
      <c r="G153" s="2" t="str">
        <f>Table13[[#This Row],[Month]]&amp;", "&amp;Table13[[#This Row],[FY]]</f>
        <v>MAY, FY21</v>
      </c>
      <c r="H153" s="2" t="str">
        <f>Table13[[#This Row],[Week]]&amp;", "&amp;Table13[[#This Row],[Month]]&amp;" "&amp;Table13[[#This Row],[FY]]</f>
        <v>Week 47, MAY FY21</v>
      </c>
      <c r="I153" s="2" t="str">
        <f>Table13[[#This Row],[Month]]&amp;", "&amp;Table13[[#This Row],[FY]]</f>
        <v>MAY, FY21</v>
      </c>
      <c r="J153" s="2" t="str">
        <f>"Q"&amp;Table13[[#This Row],[QTR]]&amp;", "&amp;Table13[[#This Row],[FY]]</f>
        <v>Q4, FY21</v>
      </c>
    </row>
    <row r="154" spans="1:10" x14ac:dyDescent="0.25">
      <c r="A154" s="1">
        <f t="shared" si="12"/>
        <v>44340</v>
      </c>
      <c r="B154" s="1">
        <f t="shared" si="12"/>
        <v>44346</v>
      </c>
      <c r="C154" s="2" t="s">
        <v>240</v>
      </c>
      <c r="D154" s="2" t="s">
        <v>236</v>
      </c>
      <c r="E154" s="2">
        <f t="shared" si="10"/>
        <v>4</v>
      </c>
      <c r="F154" s="2" t="s">
        <v>248</v>
      </c>
      <c r="G154" s="2" t="str">
        <f>Table13[[#This Row],[Month]]&amp;", "&amp;Table13[[#This Row],[FY]]</f>
        <v>MAY, FY21</v>
      </c>
      <c r="H154" s="2" t="str">
        <f>Table13[[#This Row],[Week]]&amp;", "&amp;Table13[[#This Row],[Month]]&amp;" "&amp;Table13[[#This Row],[FY]]</f>
        <v>Week 48, MAY FY21</v>
      </c>
      <c r="I154" s="2" t="str">
        <f>Table13[[#This Row],[Month]]&amp;", "&amp;Table13[[#This Row],[FY]]</f>
        <v>MAY, FY21</v>
      </c>
      <c r="J154" s="2" t="str">
        <f>"Q"&amp;Table13[[#This Row],[QTR]]&amp;", "&amp;Table13[[#This Row],[FY]]</f>
        <v>Q4, FY21</v>
      </c>
    </row>
    <row r="155" spans="1:10" x14ac:dyDescent="0.25">
      <c r="A155" s="1">
        <f t="shared" si="12"/>
        <v>44347</v>
      </c>
      <c r="B155" s="1">
        <f t="shared" si="12"/>
        <v>44353</v>
      </c>
      <c r="C155" s="2" t="s">
        <v>241</v>
      </c>
      <c r="D155" s="2" t="s">
        <v>242</v>
      </c>
      <c r="E155" s="2">
        <f t="shared" si="10"/>
        <v>4</v>
      </c>
      <c r="F155" s="2" t="s">
        <v>248</v>
      </c>
      <c r="G155" s="2" t="str">
        <f>Table13[[#This Row],[Month]]&amp;", "&amp;Table13[[#This Row],[FY]]</f>
        <v>JUN, FY21</v>
      </c>
      <c r="H155" s="2" t="str">
        <f>Table13[[#This Row],[Week]]&amp;", "&amp;Table13[[#This Row],[Month]]&amp;" "&amp;Table13[[#This Row],[FY]]</f>
        <v>Week 49, JUN FY21</v>
      </c>
      <c r="I155" s="2" t="str">
        <f>Table13[[#This Row],[Month]]&amp;", "&amp;Table13[[#This Row],[FY]]</f>
        <v>JUN, FY21</v>
      </c>
      <c r="J155" s="2" t="str">
        <f>"Q"&amp;Table13[[#This Row],[QTR]]&amp;", "&amp;Table13[[#This Row],[FY]]</f>
        <v>Q4, FY21</v>
      </c>
    </row>
    <row r="156" spans="1:10" x14ac:dyDescent="0.25">
      <c r="A156" s="1">
        <f t="shared" si="12"/>
        <v>44354</v>
      </c>
      <c r="B156" s="1">
        <f t="shared" si="12"/>
        <v>44360</v>
      </c>
      <c r="C156" s="2" t="s">
        <v>243</v>
      </c>
      <c r="D156" s="2" t="s">
        <v>242</v>
      </c>
      <c r="E156" s="2">
        <f t="shared" si="10"/>
        <v>4</v>
      </c>
      <c r="F156" s="2" t="s">
        <v>248</v>
      </c>
      <c r="G156" s="2" t="str">
        <f>Table13[[#This Row],[Month]]&amp;", "&amp;Table13[[#This Row],[FY]]</f>
        <v>JUN, FY21</v>
      </c>
      <c r="H156" s="2" t="str">
        <f>Table13[[#This Row],[Week]]&amp;", "&amp;Table13[[#This Row],[Month]]&amp;" "&amp;Table13[[#This Row],[FY]]</f>
        <v>Week 50, JUN FY21</v>
      </c>
      <c r="I156" s="2" t="str">
        <f>Table13[[#This Row],[Month]]&amp;", "&amp;Table13[[#This Row],[FY]]</f>
        <v>JUN, FY21</v>
      </c>
      <c r="J156" s="2" t="str">
        <f>"Q"&amp;Table13[[#This Row],[QTR]]&amp;", "&amp;Table13[[#This Row],[FY]]</f>
        <v>Q4, FY21</v>
      </c>
    </row>
    <row r="157" spans="1:10" x14ac:dyDescent="0.25">
      <c r="A157" s="1">
        <f t="shared" si="12"/>
        <v>44361</v>
      </c>
      <c r="B157" s="1">
        <f t="shared" si="12"/>
        <v>44367</v>
      </c>
      <c r="C157" s="2" t="s">
        <v>244</v>
      </c>
      <c r="D157" s="2" t="s">
        <v>242</v>
      </c>
      <c r="E157" s="2">
        <f t="shared" si="10"/>
        <v>4</v>
      </c>
      <c r="F157" s="2" t="s">
        <v>248</v>
      </c>
      <c r="G157" s="2" t="str">
        <f>Table13[[#This Row],[Month]]&amp;", "&amp;Table13[[#This Row],[FY]]</f>
        <v>JUN, FY21</v>
      </c>
      <c r="H157" s="2" t="str">
        <f>Table13[[#This Row],[Week]]&amp;", "&amp;Table13[[#This Row],[Month]]&amp;" "&amp;Table13[[#This Row],[FY]]</f>
        <v>Week 51, JUN FY21</v>
      </c>
      <c r="I157" s="2" t="str">
        <f>Table13[[#This Row],[Month]]&amp;", "&amp;Table13[[#This Row],[FY]]</f>
        <v>JUN, FY21</v>
      </c>
      <c r="J157" s="2" t="str">
        <f>"Q"&amp;Table13[[#This Row],[QTR]]&amp;", "&amp;Table13[[#This Row],[FY]]</f>
        <v>Q4, FY21</v>
      </c>
    </row>
    <row r="158" spans="1:10" x14ac:dyDescent="0.25">
      <c r="A158" s="1">
        <f>A157+7</f>
        <v>44368</v>
      </c>
      <c r="B158" s="1">
        <f>B157+7</f>
        <v>44374</v>
      </c>
      <c r="C158" s="2" t="s">
        <v>245</v>
      </c>
      <c r="D158" s="2" t="s">
        <v>242</v>
      </c>
      <c r="E158" s="2">
        <v>4</v>
      </c>
      <c r="F158" s="2" t="s">
        <v>248</v>
      </c>
      <c r="G158" s="2" t="str">
        <f>Table13[[#This Row],[Month]]&amp;", "&amp;Table13[[#This Row],[FY]]</f>
        <v>JUN, FY21</v>
      </c>
      <c r="H158" s="2" t="str">
        <f>Table13[[#This Row],[Week]]&amp;", "&amp;Table13[[#This Row],[Month]]&amp;" "&amp;Table13[[#This Row],[FY]]</f>
        <v>Week 52, JUN FY21</v>
      </c>
      <c r="I158" s="2" t="str">
        <f>Table13[[#This Row],[Month]]&amp;", "&amp;Table13[[#This Row],[FY]]</f>
        <v>JUN, FY21</v>
      </c>
      <c r="J158" s="2" t="str">
        <f>"Q"&amp;Table13[[#This Row],[QTR]]&amp;", "&amp;Table13[[#This Row],[FY]]</f>
        <v>Q4, FY21</v>
      </c>
    </row>
    <row r="159" spans="1:10" x14ac:dyDescent="0.25">
      <c r="A159" s="1">
        <v>44375</v>
      </c>
      <c r="B159" s="1">
        <f>A159+6</f>
        <v>44381</v>
      </c>
      <c r="C159" s="2" t="s">
        <v>181</v>
      </c>
      <c r="D159" s="2" t="s">
        <v>182</v>
      </c>
      <c r="E159" s="2">
        <v>1</v>
      </c>
      <c r="F159" s="2" t="s">
        <v>249</v>
      </c>
      <c r="G159" s="2" t="str">
        <f>Table13[[#This Row],[Month]]&amp;", "&amp;Table13[[#This Row],[FY]]</f>
        <v>JUL, FY22</v>
      </c>
      <c r="H159" s="2" t="str">
        <f>Table13[[#This Row],[Week]]&amp;", "&amp;Table13[[#This Row],[Month]]&amp;" "&amp;Table13[[#This Row],[FY]]</f>
        <v>Week 1, JUL FY22</v>
      </c>
      <c r="I159" s="2" t="str">
        <f>Table13[[#This Row],[Month]]&amp;", "&amp;Table13[[#This Row],[FY]]</f>
        <v>JUL, FY22</v>
      </c>
      <c r="J159" s="2" t="str">
        <f>"Q"&amp;Table13[[#This Row],[QTR]]&amp;", "&amp;Table13[[#This Row],[FY]]</f>
        <v>Q1, FY22</v>
      </c>
    </row>
    <row r="160" spans="1:10" x14ac:dyDescent="0.25">
      <c r="A160" s="1">
        <f t="shared" ref="A160:B175" si="13">A159+7</f>
        <v>44382</v>
      </c>
      <c r="B160" s="1">
        <f t="shared" si="13"/>
        <v>44388</v>
      </c>
      <c r="C160" s="2" t="s">
        <v>184</v>
      </c>
      <c r="D160" s="2" t="s">
        <v>182</v>
      </c>
      <c r="E160" s="2">
        <v>1</v>
      </c>
      <c r="F160" s="2" t="s">
        <v>249</v>
      </c>
      <c r="G160" s="2" t="str">
        <f>Table13[[#This Row],[Month]]&amp;", "&amp;Table13[[#This Row],[FY]]</f>
        <v>JUL, FY22</v>
      </c>
      <c r="H160" s="2" t="str">
        <f>Table13[[#This Row],[Week]]&amp;", "&amp;Table13[[#This Row],[Month]]&amp;" "&amp;Table13[[#This Row],[FY]]</f>
        <v>Week 2, JUL FY22</v>
      </c>
      <c r="I160" s="2" t="str">
        <f>Table13[[#This Row],[Month]]&amp;", "&amp;Table13[[#This Row],[FY]]</f>
        <v>JUL, FY22</v>
      </c>
      <c r="J160" s="2" t="str">
        <f>"Q"&amp;Table13[[#This Row],[QTR]]&amp;", "&amp;Table13[[#This Row],[FY]]</f>
        <v>Q1, FY22</v>
      </c>
    </row>
    <row r="161" spans="1:10" x14ac:dyDescent="0.25">
      <c r="A161" s="1">
        <f t="shared" si="13"/>
        <v>44389</v>
      </c>
      <c r="B161" s="1">
        <f t="shared" si="13"/>
        <v>44395</v>
      </c>
      <c r="C161" s="2" t="s">
        <v>185</v>
      </c>
      <c r="D161" s="2" t="s">
        <v>182</v>
      </c>
      <c r="E161" s="2">
        <v>1</v>
      </c>
      <c r="F161" s="2" t="s">
        <v>249</v>
      </c>
      <c r="G161" s="2" t="str">
        <f>Table13[[#This Row],[Month]]&amp;", "&amp;Table13[[#This Row],[FY]]</f>
        <v>JUL, FY22</v>
      </c>
      <c r="H161" s="2" t="str">
        <f>Table13[[#This Row],[Week]]&amp;", "&amp;Table13[[#This Row],[Month]]&amp;" "&amp;Table13[[#This Row],[FY]]</f>
        <v>Week 3, JUL FY22</v>
      </c>
      <c r="I161" s="2" t="str">
        <f>Table13[[#This Row],[Month]]&amp;", "&amp;Table13[[#This Row],[FY]]</f>
        <v>JUL, FY22</v>
      </c>
      <c r="J161" s="2" t="str">
        <f>"Q"&amp;Table13[[#This Row],[QTR]]&amp;", "&amp;Table13[[#This Row],[FY]]</f>
        <v>Q1, FY22</v>
      </c>
    </row>
    <row r="162" spans="1:10" x14ac:dyDescent="0.25">
      <c r="A162" s="1">
        <f t="shared" si="13"/>
        <v>44396</v>
      </c>
      <c r="B162" s="1">
        <f t="shared" si="13"/>
        <v>44402</v>
      </c>
      <c r="C162" s="2" t="s">
        <v>186</v>
      </c>
      <c r="D162" s="2" t="s">
        <v>182</v>
      </c>
      <c r="E162" s="2">
        <v>1</v>
      </c>
      <c r="F162" s="2" t="s">
        <v>249</v>
      </c>
      <c r="G162" s="2" t="str">
        <f>Table13[[#This Row],[Month]]&amp;", "&amp;Table13[[#This Row],[FY]]</f>
        <v>JUL, FY22</v>
      </c>
      <c r="H162" s="2" t="str">
        <f>Table13[[#This Row],[Week]]&amp;", "&amp;Table13[[#This Row],[Month]]&amp;" "&amp;Table13[[#This Row],[FY]]</f>
        <v>Week 4, JUL FY22</v>
      </c>
      <c r="I162" s="2" t="str">
        <f>Table13[[#This Row],[Month]]&amp;", "&amp;Table13[[#This Row],[FY]]</f>
        <v>JUL, FY22</v>
      </c>
      <c r="J162" s="2" t="str">
        <f>"Q"&amp;Table13[[#This Row],[QTR]]&amp;", "&amp;Table13[[#This Row],[FY]]</f>
        <v>Q1, FY22</v>
      </c>
    </row>
    <row r="163" spans="1:10" x14ac:dyDescent="0.25">
      <c r="A163" s="1">
        <f t="shared" si="13"/>
        <v>44403</v>
      </c>
      <c r="B163" s="1">
        <f t="shared" si="13"/>
        <v>44409</v>
      </c>
      <c r="C163" s="2" t="s">
        <v>187</v>
      </c>
      <c r="D163" s="2" t="s">
        <v>188</v>
      </c>
      <c r="E163" s="2">
        <v>1</v>
      </c>
      <c r="F163" s="2" t="s">
        <v>249</v>
      </c>
      <c r="G163" s="2" t="str">
        <f>Table13[[#This Row],[Month]]&amp;", "&amp;Table13[[#This Row],[FY]]</f>
        <v>AUG, FY22</v>
      </c>
      <c r="H163" s="2" t="str">
        <f>Table13[[#This Row],[Week]]&amp;", "&amp;Table13[[#This Row],[Month]]&amp;" "&amp;Table13[[#This Row],[FY]]</f>
        <v>Week 5, AUG FY22</v>
      </c>
      <c r="I163" s="2" t="str">
        <f>Table13[[#This Row],[Month]]&amp;", "&amp;Table13[[#This Row],[FY]]</f>
        <v>AUG, FY22</v>
      </c>
      <c r="J163" s="2" t="str">
        <f>"Q"&amp;Table13[[#This Row],[QTR]]&amp;", "&amp;Table13[[#This Row],[FY]]</f>
        <v>Q1, FY22</v>
      </c>
    </row>
    <row r="164" spans="1:10" x14ac:dyDescent="0.25">
      <c r="A164" s="1">
        <f t="shared" si="13"/>
        <v>44410</v>
      </c>
      <c r="B164" s="1">
        <f t="shared" si="13"/>
        <v>44416</v>
      </c>
      <c r="C164" s="2" t="s">
        <v>189</v>
      </c>
      <c r="D164" s="2" t="s">
        <v>188</v>
      </c>
      <c r="E164" s="2">
        <v>1</v>
      </c>
      <c r="F164" s="2" t="s">
        <v>249</v>
      </c>
      <c r="G164" s="2" t="str">
        <f>Table13[[#This Row],[Month]]&amp;", "&amp;Table13[[#This Row],[FY]]</f>
        <v>AUG, FY22</v>
      </c>
      <c r="H164" s="2" t="str">
        <f>Table13[[#This Row],[Week]]&amp;", "&amp;Table13[[#This Row],[Month]]&amp;" "&amp;Table13[[#This Row],[FY]]</f>
        <v>Week 6, AUG FY22</v>
      </c>
      <c r="I164" s="2" t="str">
        <f>Table13[[#This Row],[Month]]&amp;", "&amp;Table13[[#This Row],[FY]]</f>
        <v>AUG, FY22</v>
      </c>
      <c r="J164" s="2" t="str">
        <f>"Q"&amp;Table13[[#This Row],[QTR]]&amp;", "&amp;Table13[[#This Row],[FY]]</f>
        <v>Q1, FY22</v>
      </c>
    </row>
    <row r="165" spans="1:10" x14ac:dyDescent="0.25">
      <c r="A165" s="1">
        <f t="shared" si="13"/>
        <v>44417</v>
      </c>
      <c r="B165" s="1">
        <f t="shared" si="13"/>
        <v>44423</v>
      </c>
      <c r="C165" s="2" t="s">
        <v>190</v>
      </c>
      <c r="D165" s="2" t="s">
        <v>188</v>
      </c>
      <c r="E165" s="2">
        <v>1</v>
      </c>
      <c r="F165" s="2" t="s">
        <v>249</v>
      </c>
      <c r="G165" s="2" t="str">
        <f>Table13[[#This Row],[Month]]&amp;", "&amp;Table13[[#This Row],[FY]]</f>
        <v>AUG, FY22</v>
      </c>
      <c r="H165" s="2" t="str">
        <f>Table13[[#This Row],[Week]]&amp;", "&amp;Table13[[#This Row],[Month]]&amp;" "&amp;Table13[[#This Row],[FY]]</f>
        <v>Week 7, AUG FY22</v>
      </c>
      <c r="I165" s="2" t="str">
        <f>Table13[[#This Row],[Month]]&amp;", "&amp;Table13[[#This Row],[FY]]</f>
        <v>AUG, FY22</v>
      </c>
      <c r="J165" s="2" t="str">
        <f>"Q"&amp;Table13[[#This Row],[QTR]]&amp;", "&amp;Table13[[#This Row],[FY]]</f>
        <v>Q1, FY22</v>
      </c>
    </row>
    <row r="166" spans="1:10" x14ac:dyDescent="0.25">
      <c r="A166" s="1">
        <f t="shared" si="13"/>
        <v>44424</v>
      </c>
      <c r="B166" s="1">
        <f t="shared" si="13"/>
        <v>44430</v>
      </c>
      <c r="C166" s="2" t="s">
        <v>191</v>
      </c>
      <c r="D166" s="2" t="s">
        <v>188</v>
      </c>
      <c r="E166" s="2">
        <v>1</v>
      </c>
      <c r="F166" s="2" t="s">
        <v>249</v>
      </c>
      <c r="G166" s="2" t="str">
        <f>Table13[[#This Row],[Month]]&amp;", "&amp;Table13[[#This Row],[FY]]</f>
        <v>AUG, FY22</v>
      </c>
      <c r="H166" s="2" t="str">
        <f>Table13[[#This Row],[Week]]&amp;", "&amp;Table13[[#This Row],[Month]]&amp;" "&amp;Table13[[#This Row],[FY]]</f>
        <v>Week 8, AUG FY22</v>
      </c>
      <c r="I166" s="2" t="str">
        <f>Table13[[#This Row],[Month]]&amp;", "&amp;Table13[[#This Row],[FY]]</f>
        <v>AUG, FY22</v>
      </c>
      <c r="J166" s="2" t="str">
        <f>"Q"&amp;Table13[[#This Row],[QTR]]&amp;", "&amp;Table13[[#This Row],[FY]]</f>
        <v>Q1, FY22</v>
      </c>
    </row>
    <row r="167" spans="1:10" x14ac:dyDescent="0.25">
      <c r="A167" s="1">
        <f t="shared" si="13"/>
        <v>44431</v>
      </c>
      <c r="B167" s="1">
        <f t="shared" si="13"/>
        <v>44437</v>
      </c>
      <c r="C167" s="2" t="s">
        <v>192</v>
      </c>
      <c r="D167" s="2" t="s">
        <v>188</v>
      </c>
      <c r="E167" s="2">
        <v>1</v>
      </c>
      <c r="F167" s="2" t="s">
        <v>249</v>
      </c>
      <c r="G167" s="2" t="str">
        <f>Table13[[#This Row],[Month]]&amp;", "&amp;Table13[[#This Row],[FY]]</f>
        <v>AUG, FY22</v>
      </c>
      <c r="H167" s="2" t="str">
        <f>Table13[[#This Row],[Week]]&amp;", "&amp;Table13[[#This Row],[Month]]&amp;" "&amp;Table13[[#This Row],[FY]]</f>
        <v>Week 9, AUG FY22</v>
      </c>
      <c r="I167" s="2" t="str">
        <f>Table13[[#This Row],[Month]]&amp;", "&amp;Table13[[#This Row],[FY]]</f>
        <v>AUG, FY22</v>
      </c>
      <c r="J167" s="2" t="str">
        <f>"Q"&amp;Table13[[#This Row],[QTR]]&amp;", "&amp;Table13[[#This Row],[FY]]</f>
        <v>Q1, FY22</v>
      </c>
    </row>
    <row r="168" spans="1:10" x14ac:dyDescent="0.25">
      <c r="A168" s="1">
        <f t="shared" si="13"/>
        <v>44438</v>
      </c>
      <c r="B168" s="1">
        <f t="shared" si="13"/>
        <v>44444</v>
      </c>
      <c r="C168" s="2" t="s">
        <v>193</v>
      </c>
      <c r="D168" s="2" t="s">
        <v>194</v>
      </c>
      <c r="E168" s="2">
        <v>1</v>
      </c>
      <c r="F168" s="2" t="s">
        <v>249</v>
      </c>
      <c r="G168" s="2" t="str">
        <f>Table13[[#This Row],[Month]]&amp;", "&amp;Table13[[#This Row],[FY]]</f>
        <v>SEP, FY22</v>
      </c>
      <c r="H168" s="2" t="str">
        <f>Table13[[#This Row],[Week]]&amp;", "&amp;Table13[[#This Row],[Month]]&amp;" "&amp;Table13[[#This Row],[FY]]</f>
        <v>Week 10, SEP FY22</v>
      </c>
      <c r="I168" s="2" t="str">
        <f>Table13[[#This Row],[Month]]&amp;", "&amp;Table13[[#This Row],[FY]]</f>
        <v>SEP, FY22</v>
      </c>
      <c r="J168" s="2" t="str">
        <f>"Q"&amp;Table13[[#This Row],[QTR]]&amp;", "&amp;Table13[[#This Row],[FY]]</f>
        <v>Q1, FY22</v>
      </c>
    </row>
    <row r="169" spans="1:10" x14ac:dyDescent="0.25">
      <c r="A169" s="1">
        <f t="shared" si="13"/>
        <v>44445</v>
      </c>
      <c r="B169" s="1">
        <f t="shared" si="13"/>
        <v>44451</v>
      </c>
      <c r="C169" s="2" t="s">
        <v>195</v>
      </c>
      <c r="D169" s="2" t="s">
        <v>194</v>
      </c>
      <c r="E169" s="2">
        <v>1</v>
      </c>
      <c r="F169" s="2" t="s">
        <v>249</v>
      </c>
      <c r="G169" s="2" t="str">
        <f>Table13[[#This Row],[Month]]&amp;", "&amp;Table13[[#This Row],[FY]]</f>
        <v>SEP, FY22</v>
      </c>
      <c r="H169" s="2" t="str">
        <f>Table13[[#This Row],[Week]]&amp;", "&amp;Table13[[#This Row],[Month]]&amp;" "&amp;Table13[[#This Row],[FY]]</f>
        <v>Week 11, SEP FY22</v>
      </c>
      <c r="I169" s="2" t="str">
        <f>Table13[[#This Row],[Month]]&amp;", "&amp;Table13[[#This Row],[FY]]</f>
        <v>SEP, FY22</v>
      </c>
      <c r="J169" s="2" t="str">
        <f>"Q"&amp;Table13[[#This Row],[QTR]]&amp;", "&amp;Table13[[#This Row],[FY]]</f>
        <v>Q1, FY22</v>
      </c>
    </row>
    <row r="170" spans="1:10" x14ac:dyDescent="0.25">
      <c r="A170" s="1">
        <f t="shared" si="13"/>
        <v>44452</v>
      </c>
      <c r="B170" s="1">
        <f t="shared" si="13"/>
        <v>44458</v>
      </c>
      <c r="C170" s="2" t="s">
        <v>196</v>
      </c>
      <c r="D170" s="2" t="s">
        <v>194</v>
      </c>
      <c r="E170" s="2">
        <v>1</v>
      </c>
      <c r="F170" s="2" t="s">
        <v>249</v>
      </c>
      <c r="G170" s="2" t="str">
        <f>Table13[[#This Row],[Month]]&amp;", "&amp;Table13[[#This Row],[FY]]</f>
        <v>SEP, FY22</v>
      </c>
      <c r="H170" s="2" t="str">
        <f>Table13[[#This Row],[Week]]&amp;", "&amp;Table13[[#This Row],[Month]]&amp;" "&amp;Table13[[#This Row],[FY]]</f>
        <v>Week 12, SEP FY22</v>
      </c>
      <c r="I170" s="2" t="str">
        <f>Table13[[#This Row],[Month]]&amp;", "&amp;Table13[[#This Row],[FY]]</f>
        <v>SEP, FY22</v>
      </c>
      <c r="J170" s="2" t="str">
        <f>"Q"&amp;Table13[[#This Row],[QTR]]&amp;", "&amp;Table13[[#This Row],[FY]]</f>
        <v>Q1, FY22</v>
      </c>
    </row>
    <row r="171" spans="1:10" x14ac:dyDescent="0.25">
      <c r="A171" s="1">
        <f t="shared" si="13"/>
        <v>44459</v>
      </c>
      <c r="B171" s="1">
        <f t="shared" si="13"/>
        <v>44465</v>
      </c>
      <c r="C171" s="2" t="s">
        <v>197</v>
      </c>
      <c r="D171" s="2" t="s">
        <v>194</v>
      </c>
      <c r="E171" s="2">
        <v>1</v>
      </c>
      <c r="F171" s="2" t="s">
        <v>249</v>
      </c>
      <c r="G171" s="2" t="str">
        <f>Table13[[#This Row],[Month]]&amp;", "&amp;Table13[[#This Row],[FY]]</f>
        <v>SEP, FY22</v>
      </c>
      <c r="H171" s="2" t="str">
        <f>Table13[[#This Row],[Week]]&amp;", "&amp;Table13[[#This Row],[Month]]&amp;" "&amp;Table13[[#This Row],[FY]]</f>
        <v>Week 13, SEP FY22</v>
      </c>
      <c r="I171" s="2" t="str">
        <f>Table13[[#This Row],[Month]]&amp;", "&amp;Table13[[#This Row],[FY]]</f>
        <v>SEP, FY22</v>
      </c>
      <c r="J171" s="2" t="str">
        <f>"Q"&amp;Table13[[#This Row],[QTR]]&amp;", "&amp;Table13[[#This Row],[FY]]</f>
        <v>Q1, FY22</v>
      </c>
    </row>
    <row r="172" spans="1:10" x14ac:dyDescent="0.25">
      <c r="A172" s="1">
        <f t="shared" si="13"/>
        <v>44466</v>
      </c>
      <c r="B172" s="1">
        <f t="shared" si="13"/>
        <v>44472</v>
      </c>
      <c r="C172" s="2" t="s">
        <v>198</v>
      </c>
      <c r="D172" s="2" t="s">
        <v>199</v>
      </c>
      <c r="E172" s="2">
        <f>E159+1</f>
        <v>2</v>
      </c>
      <c r="F172" s="2" t="s">
        <v>249</v>
      </c>
      <c r="G172" s="2" t="str">
        <f>Table13[[#This Row],[Month]]&amp;", "&amp;Table13[[#This Row],[FY]]</f>
        <v>OCT, FY22</v>
      </c>
      <c r="H172" s="2" t="str">
        <f>Table13[[#This Row],[Week]]&amp;", "&amp;Table13[[#This Row],[Month]]&amp;" "&amp;Table13[[#This Row],[FY]]</f>
        <v>Week 14, OCT FY22</v>
      </c>
      <c r="I172" s="2" t="str">
        <f>Table13[[#This Row],[Month]]&amp;", "&amp;Table13[[#This Row],[FY]]</f>
        <v>OCT, FY22</v>
      </c>
      <c r="J172" s="2" t="str">
        <f>"Q"&amp;Table13[[#This Row],[QTR]]&amp;", "&amp;Table13[[#This Row],[FY]]</f>
        <v>Q2, FY22</v>
      </c>
    </row>
    <row r="173" spans="1:10" x14ac:dyDescent="0.25">
      <c r="A173" s="1">
        <f t="shared" si="13"/>
        <v>44473</v>
      </c>
      <c r="B173" s="1">
        <f t="shared" si="13"/>
        <v>44479</v>
      </c>
      <c r="C173" s="2" t="s">
        <v>200</v>
      </c>
      <c r="D173" s="2" t="s">
        <v>199</v>
      </c>
      <c r="E173" s="2">
        <f t="shared" ref="E173:E210" si="14">E160+1</f>
        <v>2</v>
      </c>
      <c r="F173" s="2" t="s">
        <v>249</v>
      </c>
      <c r="G173" s="2" t="str">
        <f>Table13[[#This Row],[Month]]&amp;", "&amp;Table13[[#This Row],[FY]]</f>
        <v>OCT, FY22</v>
      </c>
      <c r="H173" s="2" t="str">
        <f>Table13[[#This Row],[Week]]&amp;", "&amp;Table13[[#This Row],[Month]]&amp;" "&amp;Table13[[#This Row],[FY]]</f>
        <v>Week 15, OCT FY22</v>
      </c>
      <c r="I173" s="2" t="str">
        <f>Table13[[#This Row],[Month]]&amp;", "&amp;Table13[[#This Row],[FY]]</f>
        <v>OCT, FY22</v>
      </c>
      <c r="J173" s="2" t="str">
        <f>"Q"&amp;Table13[[#This Row],[QTR]]&amp;", "&amp;Table13[[#This Row],[FY]]</f>
        <v>Q2, FY22</v>
      </c>
    </row>
    <row r="174" spans="1:10" x14ac:dyDescent="0.25">
      <c r="A174" s="1">
        <f t="shared" si="13"/>
        <v>44480</v>
      </c>
      <c r="B174" s="1">
        <f t="shared" si="13"/>
        <v>44486</v>
      </c>
      <c r="C174" s="2" t="s">
        <v>201</v>
      </c>
      <c r="D174" s="2" t="s">
        <v>199</v>
      </c>
      <c r="E174" s="2">
        <f t="shared" si="14"/>
        <v>2</v>
      </c>
      <c r="F174" s="2" t="s">
        <v>249</v>
      </c>
      <c r="G174" s="2" t="str">
        <f>Table13[[#This Row],[Month]]&amp;", "&amp;Table13[[#This Row],[FY]]</f>
        <v>OCT, FY22</v>
      </c>
      <c r="H174" s="2" t="str">
        <f>Table13[[#This Row],[Week]]&amp;", "&amp;Table13[[#This Row],[Month]]&amp;" "&amp;Table13[[#This Row],[FY]]</f>
        <v>Week 16, OCT FY22</v>
      </c>
      <c r="I174" s="2" t="str">
        <f>Table13[[#This Row],[Month]]&amp;", "&amp;Table13[[#This Row],[FY]]</f>
        <v>OCT, FY22</v>
      </c>
      <c r="J174" s="2" t="str">
        <f>"Q"&amp;Table13[[#This Row],[QTR]]&amp;", "&amp;Table13[[#This Row],[FY]]</f>
        <v>Q2, FY22</v>
      </c>
    </row>
    <row r="175" spans="1:10" x14ac:dyDescent="0.25">
      <c r="A175" s="1">
        <f t="shared" si="13"/>
        <v>44487</v>
      </c>
      <c r="B175" s="1">
        <f t="shared" si="13"/>
        <v>44493</v>
      </c>
      <c r="C175" s="2" t="s">
        <v>202</v>
      </c>
      <c r="D175" s="2" t="s">
        <v>199</v>
      </c>
      <c r="E175" s="2">
        <f t="shared" si="14"/>
        <v>2</v>
      </c>
      <c r="F175" s="2" t="s">
        <v>249</v>
      </c>
      <c r="G175" s="2" t="str">
        <f>Table13[[#This Row],[Month]]&amp;", "&amp;Table13[[#This Row],[FY]]</f>
        <v>OCT, FY22</v>
      </c>
      <c r="H175" s="2" t="str">
        <f>Table13[[#This Row],[Week]]&amp;", "&amp;Table13[[#This Row],[Month]]&amp;" "&amp;Table13[[#This Row],[FY]]</f>
        <v>Week 17, OCT FY22</v>
      </c>
      <c r="I175" s="2" t="str">
        <f>Table13[[#This Row],[Month]]&amp;", "&amp;Table13[[#This Row],[FY]]</f>
        <v>OCT, FY22</v>
      </c>
      <c r="J175" s="2" t="str">
        <f>"Q"&amp;Table13[[#This Row],[QTR]]&amp;", "&amp;Table13[[#This Row],[FY]]</f>
        <v>Q2, FY22</v>
      </c>
    </row>
    <row r="176" spans="1:10" x14ac:dyDescent="0.25">
      <c r="A176" s="1">
        <f t="shared" ref="A176:B191" si="15">A175+7</f>
        <v>44494</v>
      </c>
      <c r="B176" s="1">
        <f t="shared" si="15"/>
        <v>44500</v>
      </c>
      <c r="C176" s="2" t="s">
        <v>203</v>
      </c>
      <c r="D176" s="2" t="s">
        <v>204</v>
      </c>
      <c r="E176" s="2">
        <f t="shared" si="14"/>
        <v>2</v>
      </c>
      <c r="F176" s="2" t="s">
        <v>249</v>
      </c>
      <c r="G176" s="2" t="str">
        <f>Table13[[#This Row],[Month]]&amp;", "&amp;Table13[[#This Row],[FY]]</f>
        <v>NOV, FY22</v>
      </c>
      <c r="H176" s="2" t="str">
        <f>Table13[[#This Row],[Week]]&amp;", "&amp;Table13[[#This Row],[Month]]&amp;" "&amp;Table13[[#This Row],[FY]]</f>
        <v>Week 18, NOV FY22</v>
      </c>
      <c r="I176" s="2" t="str">
        <f>Table13[[#This Row],[Month]]&amp;", "&amp;Table13[[#This Row],[FY]]</f>
        <v>NOV, FY22</v>
      </c>
      <c r="J176" s="2" t="str">
        <f>"Q"&amp;Table13[[#This Row],[QTR]]&amp;", "&amp;Table13[[#This Row],[FY]]</f>
        <v>Q2, FY22</v>
      </c>
    </row>
    <row r="177" spans="1:10" x14ac:dyDescent="0.25">
      <c r="A177" s="1">
        <f t="shared" si="15"/>
        <v>44501</v>
      </c>
      <c r="B177" s="1">
        <f t="shared" si="15"/>
        <v>44507</v>
      </c>
      <c r="C177" s="2" t="s">
        <v>205</v>
      </c>
      <c r="D177" s="2" t="s">
        <v>204</v>
      </c>
      <c r="E177" s="2">
        <f t="shared" si="14"/>
        <v>2</v>
      </c>
      <c r="F177" s="2" t="s">
        <v>249</v>
      </c>
      <c r="G177" s="2" t="str">
        <f>Table13[[#This Row],[Month]]&amp;", "&amp;Table13[[#This Row],[FY]]</f>
        <v>NOV, FY22</v>
      </c>
      <c r="H177" s="2" t="str">
        <f>Table13[[#This Row],[Week]]&amp;", "&amp;Table13[[#This Row],[Month]]&amp;" "&amp;Table13[[#This Row],[FY]]</f>
        <v>Week 19, NOV FY22</v>
      </c>
      <c r="I177" s="2" t="str">
        <f>Table13[[#This Row],[Month]]&amp;", "&amp;Table13[[#This Row],[FY]]</f>
        <v>NOV, FY22</v>
      </c>
      <c r="J177" s="2" t="str">
        <f>"Q"&amp;Table13[[#This Row],[QTR]]&amp;", "&amp;Table13[[#This Row],[FY]]</f>
        <v>Q2, FY22</v>
      </c>
    </row>
    <row r="178" spans="1:10" x14ac:dyDescent="0.25">
      <c r="A178" s="1">
        <f t="shared" si="15"/>
        <v>44508</v>
      </c>
      <c r="B178" s="1">
        <f t="shared" si="15"/>
        <v>44514</v>
      </c>
      <c r="C178" s="2" t="s">
        <v>206</v>
      </c>
      <c r="D178" s="2" t="s">
        <v>204</v>
      </c>
      <c r="E178" s="2">
        <f t="shared" si="14"/>
        <v>2</v>
      </c>
      <c r="F178" s="2" t="s">
        <v>249</v>
      </c>
      <c r="G178" s="2" t="str">
        <f>Table13[[#This Row],[Month]]&amp;", "&amp;Table13[[#This Row],[FY]]</f>
        <v>NOV, FY22</v>
      </c>
      <c r="H178" s="2" t="str">
        <f>Table13[[#This Row],[Week]]&amp;", "&amp;Table13[[#This Row],[Month]]&amp;" "&amp;Table13[[#This Row],[FY]]</f>
        <v>Week 20, NOV FY22</v>
      </c>
      <c r="I178" s="2" t="str">
        <f>Table13[[#This Row],[Month]]&amp;", "&amp;Table13[[#This Row],[FY]]</f>
        <v>NOV, FY22</v>
      </c>
      <c r="J178" s="2" t="str">
        <f>"Q"&amp;Table13[[#This Row],[QTR]]&amp;", "&amp;Table13[[#This Row],[FY]]</f>
        <v>Q2, FY22</v>
      </c>
    </row>
    <row r="179" spans="1:10" x14ac:dyDescent="0.25">
      <c r="A179" s="1">
        <f t="shared" si="15"/>
        <v>44515</v>
      </c>
      <c r="B179" s="1">
        <f t="shared" si="15"/>
        <v>44521</v>
      </c>
      <c r="C179" s="2" t="s">
        <v>207</v>
      </c>
      <c r="D179" s="2" t="s">
        <v>204</v>
      </c>
      <c r="E179" s="2">
        <f t="shared" si="14"/>
        <v>2</v>
      </c>
      <c r="F179" s="2" t="s">
        <v>249</v>
      </c>
      <c r="G179" s="2" t="str">
        <f>Table13[[#This Row],[Month]]&amp;", "&amp;Table13[[#This Row],[FY]]</f>
        <v>NOV, FY22</v>
      </c>
      <c r="H179" s="2" t="str">
        <f>Table13[[#This Row],[Week]]&amp;", "&amp;Table13[[#This Row],[Month]]&amp;" "&amp;Table13[[#This Row],[FY]]</f>
        <v>Week 21, NOV FY22</v>
      </c>
      <c r="I179" s="2" t="str">
        <f>Table13[[#This Row],[Month]]&amp;", "&amp;Table13[[#This Row],[FY]]</f>
        <v>NOV, FY22</v>
      </c>
      <c r="J179" s="2" t="str">
        <f>"Q"&amp;Table13[[#This Row],[QTR]]&amp;", "&amp;Table13[[#This Row],[FY]]</f>
        <v>Q2, FY22</v>
      </c>
    </row>
    <row r="180" spans="1:10" x14ac:dyDescent="0.25">
      <c r="A180" s="1">
        <f t="shared" si="15"/>
        <v>44522</v>
      </c>
      <c r="B180" s="1">
        <f t="shared" si="15"/>
        <v>44528</v>
      </c>
      <c r="C180" s="2" t="s">
        <v>208</v>
      </c>
      <c r="D180" s="2" t="s">
        <v>204</v>
      </c>
      <c r="E180" s="2">
        <f t="shared" si="14"/>
        <v>2</v>
      </c>
      <c r="F180" s="2" t="s">
        <v>249</v>
      </c>
      <c r="G180" s="2" t="str">
        <f>Table13[[#This Row],[Month]]&amp;", "&amp;Table13[[#This Row],[FY]]</f>
        <v>NOV, FY22</v>
      </c>
      <c r="H180" s="2" t="str">
        <f>Table13[[#This Row],[Week]]&amp;", "&amp;Table13[[#This Row],[Month]]&amp;" "&amp;Table13[[#This Row],[FY]]</f>
        <v>Week 22, NOV FY22</v>
      </c>
      <c r="I180" s="2" t="str">
        <f>Table13[[#This Row],[Month]]&amp;", "&amp;Table13[[#This Row],[FY]]</f>
        <v>NOV, FY22</v>
      </c>
      <c r="J180" s="2" t="str">
        <f>"Q"&amp;Table13[[#This Row],[QTR]]&amp;", "&amp;Table13[[#This Row],[FY]]</f>
        <v>Q2, FY22</v>
      </c>
    </row>
    <row r="181" spans="1:10" x14ac:dyDescent="0.25">
      <c r="A181" s="1">
        <f t="shared" si="15"/>
        <v>44529</v>
      </c>
      <c r="B181" s="1">
        <f t="shared" si="15"/>
        <v>44535</v>
      </c>
      <c r="C181" s="2" t="s">
        <v>209</v>
      </c>
      <c r="D181" s="2" t="s">
        <v>210</v>
      </c>
      <c r="E181" s="2">
        <f t="shared" si="14"/>
        <v>2</v>
      </c>
      <c r="F181" s="2" t="s">
        <v>249</v>
      </c>
      <c r="G181" s="2" t="str">
        <f>Table13[[#This Row],[Month]]&amp;", "&amp;Table13[[#This Row],[FY]]</f>
        <v>DEC, FY22</v>
      </c>
      <c r="H181" s="2" t="str">
        <f>Table13[[#This Row],[Week]]&amp;", "&amp;Table13[[#This Row],[Month]]&amp;" "&amp;Table13[[#This Row],[FY]]</f>
        <v>Week 23, DEC FY22</v>
      </c>
      <c r="I181" s="2" t="str">
        <f>Table13[[#This Row],[Month]]&amp;", "&amp;Table13[[#This Row],[FY]]</f>
        <v>DEC, FY22</v>
      </c>
      <c r="J181" s="2" t="str">
        <f>"Q"&amp;Table13[[#This Row],[QTR]]&amp;", "&amp;Table13[[#This Row],[FY]]</f>
        <v>Q2, FY22</v>
      </c>
    </row>
    <row r="182" spans="1:10" x14ac:dyDescent="0.25">
      <c r="A182" s="1">
        <f t="shared" si="15"/>
        <v>44536</v>
      </c>
      <c r="B182" s="1">
        <f t="shared" si="15"/>
        <v>44542</v>
      </c>
      <c r="C182" s="2" t="s">
        <v>211</v>
      </c>
      <c r="D182" s="2" t="s">
        <v>210</v>
      </c>
      <c r="E182" s="2">
        <f t="shared" si="14"/>
        <v>2</v>
      </c>
      <c r="F182" s="2" t="s">
        <v>249</v>
      </c>
      <c r="G182" s="2" t="str">
        <f>Table13[[#This Row],[Month]]&amp;", "&amp;Table13[[#This Row],[FY]]</f>
        <v>DEC, FY22</v>
      </c>
      <c r="H182" s="2" t="str">
        <f>Table13[[#This Row],[Week]]&amp;", "&amp;Table13[[#This Row],[Month]]&amp;" "&amp;Table13[[#This Row],[FY]]</f>
        <v>Week 24, DEC FY22</v>
      </c>
      <c r="I182" s="2" t="str">
        <f>Table13[[#This Row],[Month]]&amp;", "&amp;Table13[[#This Row],[FY]]</f>
        <v>DEC, FY22</v>
      </c>
      <c r="J182" s="2" t="str">
        <f>"Q"&amp;Table13[[#This Row],[QTR]]&amp;", "&amp;Table13[[#This Row],[FY]]</f>
        <v>Q2, FY22</v>
      </c>
    </row>
    <row r="183" spans="1:10" x14ac:dyDescent="0.25">
      <c r="A183" s="1">
        <f t="shared" si="15"/>
        <v>44543</v>
      </c>
      <c r="B183" s="1">
        <f t="shared" si="15"/>
        <v>44549</v>
      </c>
      <c r="C183" s="2" t="s">
        <v>212</v>
      </c>
      <c r="D183" s="2" t="s">
        <v>210</v>
      </c>
      <c r="E183" s="2">
        <f t="shared" si="14"/>
        <v>2</v>
      </c>
      <c r="F183" s="2" t="s">
        <v>249</v>
      </c>
      <c r="G183" s="2" t="str">
        <f>Table13[[#This Row],[Month]]&amp;", "&amp;Table13[[#This Row],[FY]]</f>
        <v>DEC, FY22</v>
      </c>
      <c r="H183" s="2" t="str">
        <f>Table13[[#This Row],[Week]]&amp;", "&amp;Table13[[#This Row],[Month]]&amp;" "&amp;Table13[[#This Row],[FY]]</f>
        <v>Week 25, DEC FY22</v>
      </c>
      <c r="I183" s="2" t="str">
        <f>Table13[[#This Row],[Month]]&amp;", "&amp;Table13[[#This Row],[FY]]</f>
        <v>DEC, FY22</v>
      </c>
      <c r="J183" s="2" t="str">
        <f>"Q"&amp;Table13[[#This Row],[QTR]]&amp;", "&amp;Table13[[#This Row],[FY]]</f>
        <v>Q2, FY22</v>
      </c>
    </row>
    <row r="184" spans="1:10" x14ac:dyDescent="0.25">
      <c r="A184" s="1">
        <f t="shared" si="15"/>
        <v>44550</v>
      </c>
      <c r="B184" s="1">
        <f t="shared" si="15"/>
        <v>44556</v>
      </c>
      <c r="C184" s="2" t="s">
        <v>213</v>
      </c>
      <c r="D184" s="2" t="s">
        <v>210</v>
      </c>
      <c r="E184" s="2">
        <f t="shared" si="14"/>
        <v>2</v>
      </c>
      <c r="F184" s="2" t="s">
        <v>249</v>
      </c>
      <c r="G184" s="2" t="str">
        <f>Table13[[#This Row],[Month]]&amp;", "&amp;Table13[[#This Row],[FY]]</f>
        <v>DEC, FY22</v>
      </c>
      <c r="H184" s="2" t="str">
        <f>Table13[[#This Row],[Week]]&amp;", "&amp;Table13[[#This Row],[Month]]&amp;" "&amp;Table13[[#This Row],[FY]]</f>
        <v>Week 26, DEC FY22</v>
      </c>
      <c r="I184" s="2" t="str">
        <f>Table13[[#This Row],[Month]]&amp;", "&amp;Table13[[#This Row],[FY]]</f>
        <v>DEC, FY22</v>
      </c>
      <c r="J184" s="2" t="str">
        <f>"Q"&amp;Table13[[#This Row],[QTR]]&amp;", "&amp;Table13[[#This Row],[FY]]</f>
        <v>Q2, FY22</v>
      </c>
    </row>
    <row r="185" spans="1:10" x14ac:dyDescent="0.25">
      <c r="A185" s="1">
        <f t="shared" si="15"/>
        <v>44557</v>
      </c>
      <c r="B185" s="1">
        <f t="shared" si="15"/>
        <v>44563</v>
      </c>
      <c r="C185" s="2" t="s">
        <v>214</v>
      </c>
      <c r="D185" s="2" t="s">
        <v>215</v>
      </c>
      <c r="E185" s="2">
        <f t="shared" si="14"/>
        <v>3</v>
      </c>
      <c r="F185" s="2" t="s">
        <v>249</v>
      </c>
      <c r="G185" s="2" t="str">
        <f>Table13[[#This Row],[Month]]&amp;", "&amp;Table13[[#This Row],[FY]]</f>
        <v>JAN, FY22</v>
      </c>
      <c r="H185" s="2" t="str">
        <f>Table13[[#This Row],[Week]]&amp;", "&amp;Table13[[#This Row],[Month]]&amp;" "&amp;Table13[[#This Row],[FY]]</f>
        <v>Week 27, JAN FY22</v>
      </c>
      <c r="I185" s="2" t="str">
        <f>Table13[[#This Row],[Month]]&amp;", "&amp;Table13[[#This Row],[FY]]</f>
        <v>JAN, FY22</v>
      </c>
      <c r="J185" s="2" t="str">
        <f>"Q"&amp;Table13[[#This Row],[QTR]]&amp;", "&amp;Table13[[#This Row],[FY]]</f>
        <v>Q3, FY22</v>
      </c>
    </row>
    <row r="186" spans="1:10" x14ac:dyDescent="0.25">
      <c r="A186" s="1">
        <f t="shared" si="15"/>
        <v>44564</v>
      </c>
      <c r="B186" s="1">
        <f t="shared" si="15"/>
        <v>44570</v>
      </c>
      <c r="C186" s="2" t="s">
        <v>216</v>
      </c>
      <c r="D186" s="2" t="s">
        <v>215</v>
      </c>
      <c r="E186" s="2">
        <f t="shared" si="14"/>
        <v>3</v>
      </c>
      <c r="F186" s="2" t="s">
        <v>249</v>
      </c>
      <c r="G186" s="2" t="str">
        <f>Table13[[#This Row],[Month]]&amp;", "&amp;Table13[[#This Row],[FY]]</f>
        <v>JAN, FY22</v>
      </c>
      <c r="H186" s="2" t="str">
        <f>Table13[[#This Row],[Week]]&amp;", "&amp;Table13[[#This Row],[Month]]&amp;" "&amp;Table13[[#This Row],[FY]]</f>
        <v>Week 28, JAN FY22</v>
      </c>
      <c r="I186" s="2" t="str">
        <f>Table13[[#This Row],[Month]]&amp;", "&amp;Table13[[#This Row],[FY]]</f>
        <v>JAN, FY22</v>
      </c>
      <c r="J186" s="2" t="str">
        <f>"Q"&amp;Table13[[#This Row],[QTR]]&amp;", "&amp;Table13[[#This Row],[FY]]</f>
        <v>Q3, FY22</v>
      </c>
    </row>
    <row r="187" spans="1:10" x14ac:dyDescent="0.25">
      <c r="A187" s="1">
        <f t="shared" si="15"/>
        <v>44571</v>
      </c>
      <c r="B187" s="1">
        <f t="shared" si="15"/>
        <v>44577</v>
      </c>
      <c r="C187" s="2" t="s">
        <v>217</v>
      </c>
      <c r="D187" s="2" t="s">
        <v>215</v>
      </c>
      <c r="E187" s="2">
        <f t="shared" si="14"/>
        <v>3</v>
      </c>
      <c r="F187" s="2" t="s">
        <v>249</v>
      </c>
      <c r="G187" s="2" t="str">
        <f>Table13[[#This Row],[Month]]&amp;", "&amp;Table13[[#This Row],[FY]]</f>
        <v>JAN, FY22</v>
      </c>
      <c r="H187" s="2" t="str">
        <f>Table13[[#This Row],[Week]]&amp;", "&amp;Table13[[#This Row],[Month]]&amp;" "&amp;Table13[[#This Row],[FY]]</f>
        <v>Week 29, JAN FY22</v>
      </c>
      <c r="I187" s="2" t="str">
        <f>Table13[[#This Row],[Month]]&amp;", "&amp;Table13[[#This Row],[FY]]</f>
        <v>JAN, FY22</v>
      </c>
      <c r="J187" s="2" t="str">
        <f>"Q"&amp;Table13[[#This Row],[QTR]]&amp;", "&amp;Table13[[#This Row],[FY]]</f>
        <v>Q3, FY22</v>
      </c>
    </row>
    <row r="188" spans="1:10" x14ac:dyDescent="0.25">
      <c r="A188" s="1">
        <f t="shared" si="15"/>
        <v>44578</v>
      </c>
      <c r="B188" s="1">
        <f t="shared" si="15"/>
        <v>44584</v>
      </c>
      <c r="C188" s="2" t="s">
        <v>218</v>
      </c>
      <c r="D188" s="2" t="s">
        <v>215</v>
      </c>
      <c r="E188" s="2">
        <f t="shared" si="14"/>
        <v>3</v>
      </c>
      <c r="F188" s="2" t="s">
        <v>249</v>
      </c>
      <c r="G188" s="2" t="str">
        <f>Table13[[#This Row],[Month]]&amp;", "&amp;Table13[[#This Row],[FY]]</f>
        <v>JAN, FY22</v>
      </c>
      <c r="H188" s="2" t="str">
        <f>Table13[[#This Row],[Week]]&amp;", "&amp;Table13[[#This Row],[Month]]&amp;" "&amp;Table13[[#This Row],[FY]]</f>
        <v>Week 30, JAN FY22</v>
      </c>
      <c r="I188" s="2" t="str">
        <f>Table13[[#This Row],[Month]]&amp;", "&amp;Table13[[#This Row],[FY]]</f>
        <v>JAN, FY22</v>
      </c>
      <c r="J188" s="2" t="str">
        <f>"Q"&amp;Table13[[#This Row],[QTR]]&amp;", "&amp;Table13[[#This Row],[FY]]</f>
        <v>Q3, FY22</v>
      </c>
    </row>
    <row r="189" spans="1:10" x14ac:dyDescent="0.25">
      <c r="A189" s="1">
        <f t="shared" si="15"/>
        <v>44585</v>
      </c>
      <c r="B189" s="1">
        <f t="shared" si="15"/>
        <v>44591</v>
      </c>
      <c r="C189" s="2" t="s">
        <v>219</v>
      </c>
      <c r="D189" s="2" t="s">
        <v>220</v>
      </c>
      <c r="E189" s="2">
        <f t="shared" si="14"/>
        <v>3</v>
      </c>
      <c r="F189" s="2" t="s">
        <v>249</v>
      </c>
      <c r="G189" s="2" t="str">
        <f>Table13[[#This Row],[Month]]&amp;", "&amp;Table13[[#This Row],[FY]]</f>
        <v>FEB, FY22</v>
      </c>
      <c r="H189" s="2" t="str">
        <f>Table13[[#This Row],[Week]]&amp;", "&amp;Table13[[#This Row],[Month]]&amp;" "&amp;Table13[[#This Row],[FY]]</f>
        <v>Week 31, FEB FY22</v>
      </c>
      <c r="I189" s="2" t="str">
        <f>Table13[[#This Row],[Month]]&amp;", "&amp;Table13[[#This Row],[FY]]</f>
        <v>FEB, FY22</v>
      </c>
      <c r="J189" s="2" t="str">
        <f>"Q"&amp;Table13[[#This Row],[QTR]]&amp;", "&amp;Table13[[#This Row],[FY]]</f>
        <v>Q3, FY22</v>
      </c>
    </row>
    <row r="190" spans="1:10" x14ac:dyDescent="0.25">
      <c r="A190" s="1">
        <f t="shared" si="15"/>
        <v>44592</v>
      </c>
      <c r="B190" s="1">
        <f t="shared" si="15"/>
        <v>44598</v>
      </c>
      <c r="C190" s="2" t="s">
        <v>221</v>
      </c>
      <c r="D190" s="2" t="s">
        <v>220</v>
      </c>
      <c r="E190" s="2">
        <f t="shared" si="14"/>
        <v>3</v>
      </c>
      <c r="F190" s="2" t="s">
        <v>249</v>
      </c>
      <c r="G190" s="2" t="str">
        <f>Table13[[#This Row],[Month]]&amp;", "&amp;Table13[[#This Row],[FY]]</f>
        <v>FEB, FY22</v>
      </c>
      <c r="H190" s="2" t="str">
        <f>Table13[[#This Row],[Week]]&amp;", "&amp;Table13[[#This Row],[Month]]&amp;" "&amp;Table13[[#This Row],[FY]]</f>
        <v>Week 32, FEB FY22</v>
      </c>
      <c r="I190" s="2" t="str">
        <f>Table13[[#This Row],[Month]]&amp;", "&amp;Table13[[#This Row],[FY]]</f>
        <v>FEB, FY22</v>
      </c>
      <c r="J190" s="2" t="str">
        <f>"Q"&amp;Table13[[#This Row],[QTR]]&amp;", "&amp;Table13[[#This Row],[FY]]</f>
        <v>Q3, FY22</v>
      </c>
    </row>
    <row r="191" spans="1:10" x14ac:dyDescent="0.25">
      <c r="A191" s="1">
        <f t="shared" si="15"/>
        <v>44599</v>
      </c>
      <c r="B191" s="1">
        <f t="shared" si="15"/>
        <v>44605</v>
      </c>
      <c r="C191" s="2" t="s">
        <v>222</v>
      </c>
      <c r="D191" s="2" t="s">
        <v>220</v>
      </c>
      <c r="E191" s="2">
        <f t="shared" si="14"/>
        <v>3</v>
      </c>
      <c r="F191" s="2" t="s">
        <v>249</v>
      </c>
      <c r="G191" s="2" t="str">
        <f>Table13[[#This Row],[Month]]&amp;", "&amp;Table13[[#This Row],[FY]]</f>
        <v>FEB, FY22</v>
      </c>
      <c r="H191" s="2" t="str">
        <f>Table13[[#This Row],[Week]]&amp;", "&amp;Table13[[#This Row],[Month]]&amp;" "&amp;Table13[[#This Row],[FY]]</f>
        <v>Week 33, FEB FY22</v>
      </c>
      <c r="I191" s="2" t="str">
        <f>Table13[[#This Row],[Month]]&amp;", "&amp;Table13[[#This Row],[FY]]</f>
        <v>FEB, FY22</v>
      </c>
      <c r="J191" s="2" t="str">
        <f>"Q"&amp;Table13[[#This Row],[QTR]]&amp;", "&amp;Table13[[#This Row],[FY]]</f>
        <v>Q3, FY22</v>
      </c>
    </row>
    <row r="192" spans="1:10" x14ac:dyDescent="0.25">
      <c r="A192" s="1">
        <f t="shared" ref="A192:B207" si="16">A191+7</f>
        <v>44606</v>
      </c>
      <c r="B192" s="1">
        <f t="shared" si="16"/>
        <v>44612</v>
      </c>
      <c r="C192" s="2" t="s">
        <v>223</v>
      </c>
      <c r="D192" s="2" t="s">
        <v>220</v>
      </c>
      <c r="E192" s="2">
        <f t="shared" si="14"/>
        <v>3</v>
      </c>
      <c r="F192" s="2" t="s">
        <v>249</v>
      </c>
      <c r="G192" s="2" t="str">
        <f>Table13[[#This Row],[Month]]&amp;", "&amp;Table13[[#This Row],[FY]]</f>
        <v>FEB, FY22</v>
      </c>
      <c r="H192" s="2" t="str">
        <f>Table13[[#This Row],[Week]]&amp;", "&amp;Table13[[#This Row],[Month]]&amp;" "&amp;Table13[[#This Row],[FY]]</f>
        <v>Week 34, FEB FY22</v>
      </c>
      <c r="I192" s="2" t="str">
        <f>Table13[[#This Row],[Month]]&amp;", "&amp;Table13[[#This Row],[FY]]</f>
        <v>FEB, FY22</v>
      </c>
      <c r="J192" s="2" t="str">
        <f>"Q"&amp;Table13[[#This Row],[QTR]]&amp;", "&amp;Table13[[#This Row],[FY]]</f>
        <v>Q3, FY22</v>
      </c>
    </row>
    <row r="193" spans="1:10" x14ac:dyDescent="0.25">
      <c r="A193" s="1">
        <f t="shared" si="16"/>
        <v>44613</v>
      </c>
      <c r="B193" s="1">
        <f t="shared" si="16"/>
        <v>44619</v>
      </c>
      <c r="C193" s="2" t="s">
        <v>224</v>
      </c>
      <c r="D193" s="2" t="s">
        <v>220</v>
      </c>
      <c r="E193" s="2">
        <f t="shared" si="14"/>
        <v>3</v>
      </c>
      <c r="F193" s="2" t="s">
        <v>249</v>
      </c>
      <c r="G193" s="2" t="str">
        <f>Table13[[#This Row],[Month]]&amp;", "&amp;Table13[[#This Row],[FY]]</f>
        <v>FEB, FY22</v>
      </c>
      <c r="H193" s="2" t="str">
        <f>Table13[[#This Row],[Week]]&amp;", "&amp;Table13[[#This Row],[Month]]&amp;" "&amp;Table13[[#This Row],[FY]]</f>
        <v>Week 35, FEB FY22</v>
      </c>
      <c r="I193" s="2" t="str">
        <f>Table13[[#This Row],[Month]]&amp;", "&amp;Table13[[#This Row],[FY]]</f>
        <v>FEB, FY22</v>
      </c>
      <c r="J193" s="2" t="str">
        <f>"Q"&amp;Table13[[#This Row],[QTR]]&amp;", "&amp;Table13[[#This Row],[FY]]</f>
        <v>Q3, FY22</v>
      </c>
    </row>
    <row r="194" spans="1:10" x14ac:dyDescent="0.25">
      <c r="A194" s="1">
        <f t="shared" si="16"/>
        <v>44620</v>
      </c>
      <c r="B194" s="1">
        <f t="shared" si="16"/>
        <v>44626</v>
      </c>
      <c r="C194" s="2" t="s">
        <v>225</v>
      </c>
      <c r="D194" s="2" t="s">
        <v>226</v>
      </c>
      <c r="E194" s="2">
        <f t="shared" si="14"/>
        <v>3</v>
      </c>
      <c r="F194" s="2" t="s">
        <v>249</v>
      </c>
      <c r="G194" s="2" t="str">
        <f>Table13[[#This Row],[Month]]&amp;", "&amp;Table13[[#This Row],[FY]]</f>
        <v>MAR, FY22</v>
      </c>
      <c r="H194" s="2" t="str">
        <f>Table13[[#This Row],[Week]]&amp;", "&amp;Table13[[#This Row],[Month]]&amp;" "&amp;Table13[[#This Row],[FY]]</f>
        <v>Week 36, MAR FY22</v>
      </c>
      <c r="I194" s="2" t="str">
        <f>Table13[[#This Row],[Month]]&amp;", "&amp;Table13[[#This Row],[FY]]</f>
        <v>MAR, FY22</v>
      </c>
      <c r="J194" s="2" t="str">
        <f>"Q"&amp;Table13[[#This Row],[QTR]]&amp;", "&amp;Table13[[#This Row],[FY]]</f>
        <v>Q3, FY22</v>
      </c>
    </row>
    <row r="195" spans="1:10" x14ac:dyDescent="0.25">
      <c r="A195" s="1">
        <f t="shared" si="16"/>
        <v>44627</v>
      </c>
      <c r="B195" s="1">
        <f t="shared" si="16"/>
        <v>44633</v>
      </c>
      <c r="C195" s="2" t="s">
        <v>227</v>
      </c>
      <c r="D195" s="2" t="s">
        <v>226</v>
      </c>
      <c r="E195" s="2">
        <f t="shared" si="14"/>
        <v>3</v>
      </c>
      <c r="F195" s="2" t="s">
        <v>249</v>
      </c>
      <c r="G195" s="2" t="str">
        <f>Table13[[#This Row],[Month]]&amp;", "&amp;Table13[[#This Row],[FY]]</f>
        <v>MAR, FY22</v>
      </c>
      <c r="H195" s="2" t="str">
        <f>Table13[[#This Row],[Week]]&amp;", "&amp;Table13[[#This Row],[Month]]&amp;" "&amp;Table13[[#This Row],[FY]]</f>
        <v>Week 37, MAR FY22</v>
      </c>
      <c r="I195" s="2" t="str">
        <f>Table13[[#This Row],[Month]]&amp;", "&amp;Table13[[#This Row],[FY]]</f>
        <v>MAR, FY22</v>
      </c>
      <c r="J195" s="2" t="str">
        <f>"Q"&amp;Table13[[#This Row],[QTR]]&amp;", "&amp;Table13[[#This Row],[FY]]</f>
        <v>Q3, FY22</v>
      </c>
    </row>
    <row r="196" spans="1:10" x14ac:dyDescent="0.25">
      <c r="A196" s="1">
        <f t="shared" si="16"/>
        <v>44634</v>
      </c>
      <c r="B196" s="1">
        <f t="shared" si="16"/>
        <v>44640</v>
      </c>
      <c r="C196" s="2" t="s">
        <v>228</v>
      </c>
      <c r="D196" s="2" t="s">
        <v>226</v>
      </c>
      <c r="E196" s="2">
        <f t="shared" si="14"/>
        <v>3</v>
      </c>
      <c r="F196" s="2" t="s">
        <v>249</v>
      </c>
      <c r="G196" s="2" t="str">
        <f>Table13[[#This Row],[Month]]&amp;", "&amp;Table13[[#This Row],[FY]]</f>
        <v>MAR, FY22</v>
      </c>
      <c r="H196" s="2" t="str">
        <f>Table13[[#This Row],[Week]]&amp;", "&amp;Table13[[#This Row],[Month]]&amp;" "&amp;Table13[[#This Row],[FY]]</f>
        <v>Week 38, MAR FY22</v>
      </c>
      <c r="I196" s="2" t="str">
        <f>Table13[[#This Row],[Month]]&amp;", "&amp;Table13[[#This Row],[FY]]</f>
        <v>MAR, FY22</v>
      </c>
      <c r="J196" s="2" t="str">
        <f>"Q"&amp;Table13[[#This Row],[QTR]]&amp;", "&amp;Table13[[#This Row],[FY]]</f>
        <v>Q3, FY22</v>
      </c>
    </row>
    <row r="197" spans="1:10" x14ac:dyDescent="0.25">
      <c r="A197" s="1">
        <f t="shared" si="16"/>
        <v>44641</v>
      </c>
      <c r="B197" s="1">
        <f t="shared" si="16"/>
        <v>44647</v>
      </c>
      <c r="C197" s="2" t="s">
        <v>229</v>
      </c>
      <c r="D197" s="2" t="s">
        <v>226</v>
      </c>
      <c r="E197" s="2">
        <f t="shared" si="14"/>
        <v>3</v>
      </c>
      <c r="F197" s="2" t="s">
        <v>249</v>
      </c>
      <c r="G197" s="2" t="str">
        <f>Table13[[#This Row],[Month]]&amp;", "&amp;Table13[[#This Row],[FY]]</f>
        <v>MAR, FY22</v>
      </c>
      <c r="H197" s="2" t="str">
        <f>Table13[[#This Row],[Week]]&amp;", "&amp;Table13[[#This Row],[Month]]&amp;" "&amp;Table13[[#This Row],[FY]]</f>
        <v>Week 39, MAR FY22</v>
      </c>
      <c r="I197" s="2" t="str">
        <f>Table13[[#This Row],[Month]]&amp;", "&amp;Table13[[#This Row],[FY]]</f>
        <v>MAR, FY22</v>
      </c>
      <c r="J197" s="2" t="str">
        <f>"Q"&amp;Table13[[#This Row],[QTR]]&amp;", "&amp;Table13[[#This Row],[FY]]</f>
        <v>Q3, FY22</v>
      </c>
    </row>
    <row r="198" spans="1:10" x14ac:dyDescent="0.25">
      <c r="A198" s="1">
        <f t="shared" si="16"/>
        <v>44648</v>
      </c>
      <c r="B198" s="1">
        <f t="shared" si="16"/>
        <v>44654</v>
      </c>
      <c r="C198" s="2" t="s">
        <v>230</v>
      </c>
      <c r="D198" s="2" t="s">
        <v>231</v>
      </c>
      <c r="E198" s="2">
        <f t="shared" si="14"/>
        <v>4</v>
      </c>
      <c r="F198" s="2" t="s">
        <v>249</v>
      </c>
      <c r="G198" s="2" t="str">
        <f>Table13[[#This Row],[Month]]&amp;", "&amp;Table13[[#This Row],[FY]]</f>
        <v>APR, FY22</v>
      </c>
      <c r="H198" s="2" t="str">
        <f>Table13[[#This Row],[Week]]&amp;", "&amp;Table13[[#This Row],[Month]]&amp;" "&amp;Table13[[#This Row],[FY]]</f>
        <v>Week 40, APR FY22</v>
      </c>
      <c r="I198" s="2" t="str">
        <f>Table13[[#This Row],[Month]]&amp;", "&amp;Table13[[#This Row],[FY]]</f>
        <v>APR, FY22</v>
      </c>
      <c r="J198" s="2" t="str">
        <f>"Q"&amp;Table13[[#This Row],[QTR]]&amp;", "&amp;Table13[[#This Row],[FY]]</f>
        <v>Q4, FY22</v>
      </c>
    </row>
    <row r="199" spans="1:10" x14ac:dyDescent="0.25">
      <c r="A199" s="1">
        <f t="shared" si="16"/>
        <v>44655</v>
      </c>
      <c r="B199" s="1">
        <f t="shared" si="16"/>
        <v>44661</v>
      </c>
      <c r="C199" s="2" t="s">
        <v>232</v>
      </c>
      <c r="D199" s="2" t="s">
        <v>231</v>
      </c>
      <c r="E199" s="2">
        <f t="shared" si="14"/>
        <v>4</v>
      </c>
      <c r="F199" s="2" t="s">
        <v>249</v>
      </c>
      <c r="G199" s="2" t="str">
        <f>Table13[[#This Row],[Month]]&amp;", "&amp;Table13[[#This Row],[FY]]</f>
        <v>APR, FY22</v>
      </c>
      <c r="H199" s="2" t="str">
        <f>Table13[[#This Row],[Week]]&amp;", "&amp;Table13[[#This Row],[Month]]&amp;" "&amp;Table13[[#This Row],[FY]]</f>
        <v>Week 41, APR FY22</v>
      </c>
      <c r="I199" s="2" t="str">
        <f>Table13[[#This Row],[Month]]&amp;", "&amp;Table13[[#This Row],[FY]]</f>
        <v>APR, FY22</v>
      </c>
      <c r="J199" s="2" t="str">
        <f>"Q"&amp;Table13[[#This Row],[QTR]]&amp;", "&amp;Table13[[#This Row],[FY]]</f>
        <v>Q4, FY22</v>
      </c>
    </row>
    <row r="200" spans="1:10" x14ac:dyDescent="0.25">
      <c r="A200" s="1">
        <f t="shared" si="16"/>
        <v>44662</v>
      </c>
      <c r="B200" s="1">
        <f t="shared" si="16"/>
        <v>44668</v>
      </c>
      <c r="C200" s="2" t="s">
        <v>233</v>
      </c>
      <c r="D200" s="2" t="s">
        <v>231</v>
      </c>
      <c r="E200" s="2">
        <f t="shared" si="14"/>
        <v>4</v>
      </c>
      <c r="F200" s="2" t="s">
        <v>249</v>
      </c>
      <c r="G200" s="2" t="str">
        <f>Table13[[#This Row],[Month]]&amp;", "&amp;Table13[[#This Row],[FY]]</f>
        <v>APR, FY22</v>
      </c>
      <c r="H200" s="2" t="str">
        <f>Table13[[#This Row],[Week]]&amp;", "&amp;Table13[[#This Row],[Month]]&amp;" "&amp;Table13[[#This Row],[FY]]</f>
        <v>Week 42, APR FY22</v>
      </c>
      <c r="I200" s="2" t="str">
        <f>Table13[[#This Row],[Month]]&amp;", "&amp;Table13[[#This Row],[FY]]</f>
        <v>APR, FY22</v>
      </c>
      <c r="J200" s="2" t="str">
        <f>"Q"&amp;Table13[[#This Row],[QTR]]&amp;", "&amp;Table13[[#This Row],[FY]]</f>
        <v>Q4, FY22</v>
      </c>
    </row>
    <row r="201" spans="1:10" x14ac:dyDescent="0.25">
      <c r="A201" s="1">
        <f t="shared" si="16"/>
        <v>44669</v>
      </c>
      <c r="B201" s="1">
        <f t="shared" si="16"/>
        <v>44675</v>
      </c>
      <c r="C201" s="2" t="s">
        <v>234</v>
      </c>
      <c r="D201" s="2" t="s">
        <v>231</v>
      </c>
      <c r="E201" s="2">
        <f t="shared" si="14"/>
        <v>4</v>
      </c>
      <c r="F201" s="2" t="s">
        <v>249</v>
      </c>
      <c r="G201" s="2" t="str">
        <f>Table13[[#This Row],[Month]]&amp;", "&amp;Table13[[#This Row],[FY]]</f>
        <v>APR, FY22</v>
      </c>
      <c r="H201" s="2" t="str">
        <f>Table13[[#This Row],[Week]]&amp;", "&amp;Table13[[#This Row],[Month]]&amp;" "&amp;Table13[[#This Row],[FY]]</f>
        <v>Week 43, APR FY22</v>
      </c>
      <c r="I201" s="2" t="str">
        <f>Table13[[#This Row],[Month]]&amp;", "&amp;Table13[[#This Row],[FY]]</f>
        <v>APR, FY22</v>
      </c>
      <c r="J201" s="2" t="str">
        <f>"Q"&amp;Table13[[#This Row],[QTR]]&amp;", "&amp;Table13[[#This Row],[FY]]</f>
        <v>Q4, FY22</v>
      </c>
    </row>
    <row r="202" spans="1:10" x14ac:dyDescent="0.25">
      <c r="A202" s="1">
        <f t="shared" si="16"/>
        <v>44676</v>
      </c>
      <c r="B202" s="1">
        <f t="shared" si="16"/>
        <v>44682</v>
      </c>
      <c r="C202" s="2" t="s">
        <v>235</v>
      </c>
      <c r="D202" s="2" t="s">
        <v>236</v>
      </c>
      <c r="E202" s="2">
        <f t="shared" si="14"/>
        <v>4</v>
      </c>
      <c r="F202" s="2" t="s">
        <v>249</v>
      </c>
      <c r="G202" s="2" t="str">
        <f>Table13[[#This Row],[Month]]&amp;", "&amp;Table13[[#This Row],[FY]]</f>
        <v>MAY, FY22</v>
      </c>
      <c r="H202" s="2" t="str">
        <f>Table13[[#This Row],[Week]]&amp;", "&amp;Table13[[#This Row],[Month]]&amp;" "&amp;Table13[[#This Row],[FY]]</f>
        <v>Week 44, MAY FY22</v>
      </c>
      <c r="I202" s="2" t="str">
        <f>Table13[[#This Row],[Month]]&amp;", "&amp;Table13[[#This Row],[FY]]</f>
        <v>MAY, FY22</v>
      </c>
      <c r="J202" s="2" t="str">
        <f>"Q"&amp;Table13[[#This Row],[QTR]]&amp;", "&amp;Table13[[#This Row],[FY]]</f>
        <v>Q4, FY22</v>
      </c>
    </row>
    <row r="203" spans="1:10" x14ac:dyDescent="0.25">
      <c r="A203" s="1">
        <f t="shared" si="16"/>
        <v>44683</v>
      </c>
      <c r="B203" s="1">
        <f t="shared" si="16"/>
        <v>44689</v>
      </c>
      <c r="C203" s="2" t="s">
        <v>237</v>
      </c>
      <c r="D203" s="2" t="s">
        <v>236</v>
      </c>
      <c r="E203" s="2">
        <f t="shared" si="14"/>
        <v>4</v>
      </c>
      <c r="F203" s="2" t="s">
        <v>249</v>
      </c>
      <c r="G203" s="2" t="str">
        <f>Table13[[#This Row],[Month]]&amp;", "&amp;Table13[[#This Row],[FY]]</f>
        <v>MAY, FY22</v>
      </c>
      <c r="H203" s="2" t="str">
        <f>Table13[[#This Row],[Week]]&amp;", "&amp;Table13[[#This Row],[Month]]&amp;" "&amp;Table13[[#This Row],[FY]]</f>
        <v>Week 45, MAY FY22</v>
      </c>
      <c r="I203" s="2" t="str">
        <f>Table13[[#This Row],[Month]]&amp;", "&amp;Table13[[#This Row],[FY]]</f>
        <v>MAY, FY22</v>
      </c>
      <c r="J203" s="2" t="str">
        <f>"Q"&amp;Table13[[#This Row],[QTR]]&amp;", "&amp;Table13[[#This Row],[FY]]</f>
        <v>Q4, FY22</v>
      </c>
    </row>
    <row r="204" spans="1:10" x14ac:dyDescent="0.25">
      <c r="A204" s="1">
        <f t="shared" si="16"/>
        <v>44690</v>
      </c>
      <c r="B204" s="1">
        <f t="shared" si="16"/>
        <v>44696</v>
      </c>
      <c r="C204" s="2" t="s">
        <v>238</v>
      </c>
      <c r="D204" s="2" t="s">
        <v>236</v>
      </c>
      <c r="E204" s="2">
        <f t="shared" si="14"/>
        <v>4</v>
      </c>
      <c r="F204" s="2" t="s">
        <v>249</v>
      </c>
      <c r="G204" s="2" t="str">
        <f>Table13[[#This Row],[Month]]&amp;", "&amp;Table13[[#This Row],[FY]]</f>
        <v>MAY, FY22</v>
      </c>
      <c r="H204" s="2" t="str">
        <f>Table13[[#This Row],[Week]]&amp;", "&amp;Table13[[#This Row],[Month]]&amp;" "&amp;Table13[[#This Row],[FY]]</f>
        <v>Week 46, MAY FY22</v>
      </c>
      <c r="I204" s="2" t="str">
        <f>Table13[[#This Row],[Month]]&amp;", "&amp;Table13[[#This Row],[FY]]</f>
        <v>MAY, FY22</v>
      </c>
      <c r="J204" s="2" t="str">
        <f>"Q"&amp;Table13[[#This Row],[QTR]]&amp;", "&amp;Table13[[#This Row],[FY]]</f>
        <v>Q4, FY22</v>
      </c>
    </row>
    <row r="205" spans="1:10" x14ac:dyDescent="0.25">
      <c r="A205" s="1">
        <f t="shared" si="16"/>
        <v>44697</v>
      </c>
      <c r="B205" s="1">
        <f t="shared" si="16"/>
        <v>44703</v>
      </c>
      <c r="C205" s="2" t="s">
        <v>239</v>
      </c>
      <c r="D205" s="2" t="s">
        <v>236</v>
      </c>
      <c r="E205" s="2">
        <f t="shared" si="14"/>
        <v>4</v>
      </c>
      <c r="F205" s="2" t="s">
        <v>249</v>
      </c>
      <c r="G205" s="2" t="str">
        <f>Table13[[#This Row],[Month]]&amp;", "&amp;Table13[[#This Row],[FY]]</f>
        <v>MAY, FY22</v>
      </c>
      <c r="H205" s="2" t="str">
        <f>Table13[[#This Row],[Week]]&amp;", "&amp;Table13[[#This Row],[Month]]&amp;" "&amp;Table13[[#This Row],[FY]]</f>
        <v>Week 47, MAY FY22</v>
      </c>
      <c r="I205" s="2" t="str">
        <f>Table13[[#This Row],[Month]]&amp;", "&amp;Table13[[#This Row],[FY]]</f>
        <v>MAY, FY22</v>
      </c>
      <c r="J205" s="2" t="str">
        <f>"Q"&amp;Table13[[#This Row],[QTR]]&amp;", "&amp;Table13[[#This Row],[FY]]</f>
        <v>Q4, FY22</v>
      </c>
    </row>
    <row r="206" spans="1:10" x14ac:dyDescent="0.25">
      <c r="A206" s="1">
        <f t="shared" si="16"/>
        <v>44704</v>
      </c>
      <c r="B206" s="1">
        <f t="shared" si="16"/>
        <v>44710</v>
      </c>
      <c r="C206" s="2" t="s">
        <v>240</v>
      </c>
      <c r="D206" s="2" t="s">
        <v>236</v>
      </c>
      <c r="E206" s="2">
        <f t="shared" si="14"/>
        <v>4</v>
      </c>
      <c r="F206" s="2" t="s">
        <v>249</v>
      </c>
      <c r="G206" s="2" t="str">
        <f>Table13[[#This Row],[Month]]&amp;", "&amp;Table13[[#This Row],[FY]]</f>
        <v>MAY, FY22</v>
      </c>
      <c r="H206" s="2" t="str">
        <f>Table13[[#This Row],[Week]]&amp;", "&amp;Table13[[#This Row],[Month]]&amp;" "&amp;Table13[[#This Row],[FY]]</f>
        <v>Week 48, MAY FY22</v>
      </c>
      <c r="I206" s="2" t="str">
        <f>Table13[[#This Row],[Month]]&amp;", "&amp;Table13[[#This Row],[FY]]</f>
        <v>MAY, FY22</v>
      </c>
      <c r="J206" s="2" t="str">
        <f>"Q"&amp;Table13[[#This Row],[QTR]]&amp;", "&amp;Table13[[#This Row],[FY]]</f>
        <v>Q4, FY22</v>
      </c>
    </row>
    <row r="207" spans="1:10" x14ac:dyDescent="0.25">
      <c r="A207" s="1">
        <f t="shared" si="16"/>
        <v>44711</v>
      </c>
      <c r="B207" s="1">
        <f t="shared" si="16"/>
        <v>44717</v>
      </c>
      <c r="C207" s="2" t="s">
        <v>241</v>
      </c>
      <c r="D207" s="2" t="s">
        <v>242</v>
      </c>
      <c r="E207" s="2">
        <f t="shared" si="14"/>
        <v>4</v>
      </c>
      <c r="F207" s="2" t="s">
        <v>249</v>
      </c>
      <c r="G207" s="2" t="str">
        <f>Table13[[#This Row],[Month]]&amp;", "&amp;Table13[[#This Row],[FY]]</f>
        <v>JUN, FY22</v>
      </c>
      <c r="H207" s="2" t="str">
        <f>Table13[[#This Row],[Week]]&amp;", "&amp;Table13[[#This Row],[Month]]&amp;" "&amp;Table13[[#This Row],[FY]]</f>
        <v>Week 49, JUN FY22</v>
      </c>
      <c r="I207" s="2" t="str">
        <f>Table13[[#This Row],[Month]]&amp;", "&amp;Table13[[#This Row],[FY]]</f>
        <v>JUN, FY22</v>
      </c>
      <c r="J207" s="2" t="str">
        <f>"Q"&amp;Table13[[#This Row],[QTR]]&amp;", "&amp;Table13[[#This Row],[FY]]</f>
        <v>Q4, FY22</v>
      </c>
    </row>
    <row r="208" spans="1:10" x14ac:dyDescent="0.25">
      <c r="A208" s="1">
        <f t="shared" ref="A208:B223" si="17">A207+7</f>
        <v>44718</v>
      </c>
      <c r="B208" s="1">
        <f t="shared" si="17"/>
        <v>44724</v>
      </c>
      <c r="C208" s="2" t="s">
        <v>243</v>
      </c>
      <c r="D208" s="2" t="s">
        <v>242</v>
      </c>
      <c r="E208" s="2">
        <f t="shared" si="14"/>
        <v>4</v>
      </c>
      <c r="F208" s="2" t="s">
        <v>249</v>
      </c>
      <c r="G208" s="2" t="str">
        <f>Table13[[#This Row],[Month]]&amp;", "&amp;Table13[[#This Row],[FY]]</f>
        <v>JUN, FY22</v>
      </c>
      <c r="H208" s="2" t="str">
        <f>Table13[[#This Row],[Week]]&amp;", "&amp;Table13[[#This Row],[Month]]&amp;" "&amp;Table13[[#This Row],[FY]]</f>
        <v>Week 50, JUN FY22</v>
      </c>
      <c r="I208" s="2" t="str">
        <f>Table13[[#This Row],[Month]]&amp;", "&amp;Table13[[#This Row],[FY]]</f>
        <v>JUN, FY22</v>
      </c>
      <c r="J208" s="2" t="str">
        <f>"Q"&amp;Table13[[#This Row],[QTR]]&amp;", "&amp;Table13[[#This Row],[FY]]</f>
        <v>Q4, FY22</v>
      </c>
    </row>
    <row r="209" spans="1:10" x14ac:dyDescent="0.25">
      <c r="A209" s="1">
        <f t="shared" si="17"/>
        <v>44725</v>
      </c>
      <c r="B209" s="1">
        <f t="shared" si="17"/>
        <v>44731</v>
      </c>
      <c r="C209" s="2" t="s">
        <v>244</v>
      </c>
      <c r="D209" s="2" t="s">
        <v>242</v>
      </c>
      <c r="E209" s="2">
        <f t="shared" si="14"/>
        <v>4</v>
      </c>
      <c r="F209" s="2" t="s">
        <v>249</v>
      </c>
      <c r="G209" s="2" t="str">
        <f>Table13[[#This Row],[Month]]&amp;", "&amp;Table13[[#This Row],[FY]]</f>
        <v>JUN, FY22</v>
      </c>
      <c r="H209" s="2" t="str">
        <f>Table13[[#This Row],[Week]]&amp;", "&amp;Table13[[#This Row],[Month]]&amp;" "&amp;Table13[[#This Row],[FY]]</f>
        <v>Week 51, JUN FY22</v>
      </c>
      <c r="I209" s="2" t="str">
        <f>Table13[[#This Row],[Month]]&amp;", "&amp;Table13[[#This Row],[FY]]</f>
        <v>JUN, FY22</v>
      </c>
      <c r="J209" s="2" t="str">
        <f>"Q"&amp;Table13[[#This Row],[QTR]]&amp;", "&amp;Table13[[#This Row],[FY]]</f>
        <v>Q4, FY22</v>
      </c>
    </row>
    <row r="210" spans="1:10" x14ac:dyDescent="0.25">
      <c r="A210" s="1">
        <f t="shared" si="17"/>
        <v>44732</v>
      </c>
      <c r="B210" s="1">
        <f>B209+7</f>
        <v>44738</v>
      </c>
      <c r="C210" s="2" t="s">
        <v>245</v>
      </c>
      <c r="D210" s="2" t="s">
        <v>242</v>
      </c>
      <c r="E210" s="2">
        <f t="shared" si="14"/>
        <v>4</v>
      </c>
      <c r="F210" s="2" t="s">
        <v>249</v>
      </c>
      <c r="G210" s="2" t="str">
        <f>Table13[[#This Row],[Month]]&amp;", "&amp;Table13[[#This Row],[FY]]</f>
        <v>JUN, FY22</v>
      </c>
      <c r="H210" s="2" t="str">
        <f>Table13[[#This Row],[Week]]&amp;", "&amp;Table13[[#This Row],[Month]]&amp;" "&amp;Table13[[#This Row],[FY]]</f>
        <v>Week 52, JUN FY22</v>
      </c>
      <c r="I210" s="2" t="str">
        <f>Table13[[#This Row],[Month]]&amp;", "&amp;Table13[[#This Row],[FY]]</f>
        <v>JUN, FY22</v>
      </c>
      <c r="J210" s="2" t="str">
        <f>"Q"&amp;Table13[[#This Row],[QTR]]&amp;", "&amp;Table13[[#This Row],[FY]]</f>
        <v>Q4, FY22</v>
      </c>
    </row>
    <row r="211" spans="1:10" x14ac:dyDescent="0.25">
      <c r="A211" s="1">
        <f t="shared" si="17"/>
        <v>44739</v>
      </c>
      <c r="B211" s="1">
        <f t="shared" si="17"/>
        <v>44745</v>
      </c>
      <c r="C211" s="2" t="s">
        <v>181</v>
      </c>
      <c r="D211" s="2" t="s">
        <v>182</v>
      </c>
      <c r="E211" s="2">
        <v>1</v>
      </c>
      <c r="F211" s="2" t="s">
        <v>250</v>
      </c>
      <c r="G211" s="2" t="str">
        <f>Table13[[#This Row],[Month]]&amp;", "&amp;Table13[[#This Row],[FY]]</f>
        <v>JUL, FY23</v>
      </c>
      <c r="H211" s="2" t="str">
        <f>Table13[[#This Row],[Week]]&amp;", "&amp;Table13[[#This Row],[Month]]&amp;" "&amp;Table13[[#This Row],[FY]]</f>
        <v>Week 1, JUL FY23</v>
      </c>
      <c r="I211" s="2" t="str">
        <f>Table13[[#This Row],[Month]]&amp;", "&amp;Table13[[#This Row],[FY]]</f>
        <v>JUL, FY23</v>
      </c>
      <c r="J211" s="2" t="str">
        <f>"Q"&amp;Table13[[#This Row],[QTR]]&amp;", "&amp;Table13[[#This Row],[FY]]</f>
        <v>Q1, FY23</v>
      </c>
    </row>
    <row r="212" spans="1:10" x14ac:dyDescent="0.25">
      <c r="A212" s="1">
        <f t="shared" si="17"/>
        <v>44746</v>
      </c>
      <c r="B212" s="1">
        <f t="shared" si="17"/>
        <v>44752</v>
      </c>
      <c r="C212" s="2" t="s">
        <v>184</v>
      </c>
      <c r="D212" s="2" t="s">
        <v>182</v>
      </c>
      <c r="E212" s="2">
        <v>1</v>
      </c>
      <c r="F212" s="2" t="s">
        <v>250</v>
      </c>
      <c r="G212" s="2" t="str">
        <f>Table13[[#This Row],[Month]]&amp;", "&amp;Table13[[#This Row],[FY]]</f>
        <v>JUL, FY23</v>
      </c>
      <c r="H212" s="2" t="str">
        <f>Table13[[#This Row],[Week]]&amp;", "&amp;Table13[[#This Row],[Month]]&amp;" "&amp;Table13[[#This Row],[FY]]</f>
        <v>Week 2, JUL FY23</v>
      </c>
      <c r="I212" s="2" t="str">
        <f>Table13[[#This Row],[Month]]&amp;", "&amp;Table13[[#This Row],[FY]]</f>
        <v>JUL, FY23</v>
      </c>
      <c r="J212" s="2" t="str">
        <f>"Q"&amp;Table13[[#This Row],[QTR]]&amp;", "&amp;Table13[[#This Row],[FY]]</f>
        <v>Q1, FY23</v>
      </c>
    </row>
    <row r="213" spans="1:10" x14ac:dyDescent="0.25">
      <c r="A213" s="1">
        <f t="shared" si="17"/>
        <v>44753</v>
      </c>
      <c r="B213" s="1">
        <f t="shared" si="17"/>
        <v>44759</v>
      </c>
      <c r="C213" s="2" t="s">
        <v>185</v>
      </c>
      <c r="D213" s="2" t="s">
        <v>182</v>
      </c>
      <c r="E213" s="2">
        <v>1</v>
      </c>
      <c r="F213" s="2" t="s">
        <v>250</v>
      </c>
      <c r="G213" s="2" t="str">
        <f>Table13[[#This Row],[Month]]&amp;", "&amp;Table13[[#This Row],[FY]]</f>
        <v>JUL, FY23</v>
      </c>
      <c r="H213" s="2" t="str">
        <f>Table13[[#This Row],[Week]]&amp;", "&amp;Table13[[#This Row],[Month]]&amp;" "&amp;Table13[[#This Row],[FY]]</f>
        <v>Week 3, JUL FY23</v>
      </c>
      <c r="I213" s="2" t="str">
        <f>Table13[[#This Row],[Month]]&amp;", "&amp;Table13[[#This Row],[FY]]</f>
        <v>JUL, FY23</v>
      </c>
      <c r="J213" s="2" t="str">
        <f>"Q"&amp;Table13[[#This Row],[QTR]]&amp;", "&amp;Table13[[#This Row],[FY]]</f>
        <v>Q1, FY23</v>
      </c>
    </row>
    <row r="214" spans="1:10" x14ac:dyDescent="0.25">
      <c r="A214" s="1">
        <f t="shared" si="17"/>
        <v>44760</v>
      </c>
      <c r="B214" s="1">
        <f t="shared" si="17"/>
        <v>44766</v>
      </c>
      <c r="C214" s="2" t="s">
        <v>186</v>
      </c>
      <c r="D214" s="2" t="s">
        <v>182</v>
      </c>
      <c r="E214" s="2">
        <v>1</v>
      </c>
      <c r="F214" s="2" t="s">
        <v>250</v>
      </c>
      <c r="G214" s="2" t="str">
        <f>Table13[[#This Row],[Month]]&amp;", "&amp;Table13[[#This Row],[FY]]</f>
        <v>JUL, FY23</v>
      </c>
      <c r="H214" s="2" t="str">
        <f>Table13[[#This Row],[Week]]&amp;", "&amp;Table13[[#This Row],[Month]]&amp;" "&amp;Table13[[#This Row],[FY]]</f>
        <v>Week 4, JUL FY23</v>
      </c>
      <c r="I214" s="2" t="str">
        <f>Table13[[#This Row],[Month]]&amp;", "&amp;Table13[[#This Row],[FY]]</f>
        <v>JUL, FY23</v>
      </c>
      <c r="J214" s="2" t="str">
        <f>"Q"&amp;Table13[[#This Row],[QTR]]&amp;", "&amp;Table13[[#This Row],[FY]]</f>
        <v>Q1, FY23</v>
      </c>
    </row>
    <row r="215" spans="1:10" x14ac:dyDescent="0.25">
      <c r="A215" s="1">
        <f t="shared" si="17"/>
        <v>44767</v>
      </c>
      <c r="B215" s="1">
        <f t="shared" si="17"/>
        <v>44773</v>
      </c>
      <c r="C215" s="2" t="s">
        <v>187</v>
      </c>
      <c r="D215" s="2" t="s">
        <v>188</v>
      </c>
      <c r="E215" s="2">
        <v>1</v>
      </c>
      <c r="F215" s="2" t="s">
        <v>250</v>
      </c>
      <c r="G215" s="2" t="str">
        <f>Table13[[#This Row],[Month]]&amp;", "&amp;Table13[[#This Row],[FY]]</f>
        <v>AUG, FY23</v>
      </c>
      <c r="H215" s="2" t="str">
        <f>Table13[[#This Row],[Week]]&amp;", "&amp;Table13[[#This Row],[Month]]&amp;" "&amp;Table13[[#This Row],[FY]]</f>
        <v>Week 5, AUG FY23</v>
      </c>
      <c r="I215" s="2" t="str">
        <f>Table13[[#This Row],[Month]]&amp;", "&amp;Table13[[#This Row],[FY]]</f>
        <v>AUG, FY23</v>
      </c>
      <c r="J215" s="2" t="str">
        <f>"Q"&amp;Table13[[#This Row],[QTR]]&amp;", "&amp;Table13[[#This Row],[FY]]</f>
        <v>Q1, FY23</v>
      </c>
    </row>
    <row r="216" spans="1:10" x14ac:dyDescent="0.25">
      <c r="A216" s="1">
        <f t="shared" si="17"/>
        <v>44774</v>
      </c>
      <c r="B216" s="1">
        <f t="shared" si="17"/>
        <v>44780</v>
      </c>
      <c r="C216" s="2" t="s">
        <v>189</v>
      </c>
      <c r="D216" s="2" t="s">
        <v>188</v>
      </c>
      <c r="E216" s="2">
        <v>1</v>
      </c>
      <c r="F216" s="2" t="s">
        <v>250</v>
      </c>
      <c r="G216" s="2" t="str">
        <f>Table13[[#This Row],[Month]]&amp;", "&amp;Table13[[#This Row],[FY]]</f>
        <v>AUG, FY23</v>
      </c>
      <c r="H216" s="2" t="str">
        <f>Table13[[#This Row],[Week]]&amp;", "&amp;Table13[[#This Row],[Month]]&amp;" "&amp;Table13[[#This Row],[FY]]</f>
        <v>Week 6, AUG FY23</v>
      </c>
      <c r="I216" s="2" t="str">
        <f>Table13[[#This Row],[Month]]&amp;", "&amp;Table13[[#This Row],[FY]]</f>
        <v>AUG, FY23</v>
      </c>
      <c r="J216" s="2" t="str">
        <f>"Q"&amp;Table13[[#This Row],[QTR]]&amp;", "&amp;Table13[[#This Row],[FY]]</f>
        <v>Q1, FY23</v>
      </c>
    </row>
    <row r="217" spans="1:10" x14ac:dyDescent="0.25">
      <c r="A217" s="1">
        <f t="shared" si="17"/>
        <v>44781</v>
      </c>
      <c r="B217" s="1">
        <f t="shared" si="17"/>
        <v>44787</v>
      </c>
      <c r="C217" s="2" t="s">
        <v>190</v>
      </c>
      <c r="D217" s="2" t="s">
        <v>188</v>
      </c>
      <c r="E217" s="2">
        <v>1</v>
      </c>
      <c r="F217" s="2" t="s">
        <v>250</v>
      </c>
      <c r="G217" s="2" t="str">
        <f>Table13[[#This Row],[Month]]&amp;", "&amp;Table13[[#This Row],[FY]]</f>
        <v>AUG, FY23</v>
      </c>
      <c r="H217" s="2" t="str">
        <f>Table13[[#This Row],[Week]]&amp;", "&amp;Table13[[#This Row],[Month]]&amp;" "&amp;Table13[[#This Row],[FY]]</f>
        <v>Week 7, AUG FY23</v>
      </c>
      <c r="I217" s="2" t="str">
        <f>Table13[[#This Row],[Month]]&amp;", "&amp;Table13[[#This Row],[FY]]</f>
        <v>AUG, FY23</v>
      </c>
      <c r="J217" s="2" t="str">
        <f>"Q"&amp;Table13[[#This Row],[QTR]]&amp;", "&amp;Table13[[#This Row],[FY]]</f>
        <v>Q1, FY23</v>
      </c>
    </row>
    <row r="218" spans="1:10" x14ac:dyDescent="0.25">
      <c r="A218" s="1">
        <f t="shared" si="17"/>
        <v>44788</v>
      </c>
      <c r="B218" s="1">
        <f t="shared" si="17"/>
        <v>44794</v>
      </c>
      <c r="C218" s="2" t="s">
        <v>191</v>
      </c>
      <c r="D218" s="2" t="s">
        <v>188</v>
      </c>
      <c r="E218" s="2">
        <v>1</v>
      </c>
      <c r="F218" s="2" t="s">
        <v>250</v>
      </c>
      <c r="G218" s="2" t="str">
        <f>Table13[[#This Row],[Month]]&amp;", "&amp;Table13[[#This Row],[FY]]</f>
        <v>AUG, FY23</v>
      </c>
      <c r="H218" s="2" t="str">
        <f>Table13[[#This Row],[Week]]&amp;", "&amp;Table13[[#This Row],[Month]]&amp;" "&amp;Table13[[#This Row],[FY]]</f>
        <v>Week 8, AUG FY23</v>
      </c>
      <c r="I218" s="2" t="str">
        <f>Table13[[#This Row],[Month]]&amp;", "&amp;Table13[[#This Row],[FY]]</f>
        <v>AUG, FY23</v>
      </c>
      <c r="J218" s="2" t="str">
        <f>"Q"&amp;Table13[[#This Row],[QTR]]&amp;", "&amp;Table13[[#This Row],[FY]]</f>
        <v>Q1, FY23</v>
      </c>
    </row>
    <row r="219" spans="1:10" x14ac:dyDescent="0.25">
      <c r="A219" s="1">
        <f t="shared" si="17"/>
        <v>44795</v>
      </c>
      <c r="B219" s="1">
        <f t="shared" si="17"/>
        <v>44801</v>
      </c>
      <c r="C219" s="2" t="s">
        <v>192</v>
      </c>
      <c r="D219" s="2" t="s">
        <v>188</v>
      </c>
      <c r="E219" s="2">
        <v>1</v>
      </c>
      <c r="F219" s="2" t="s">
        <v>250</v>
      </c>
      <c r="G219" s="2" t="str">
        <f>Table13[[#This Row],[Month]]&amp;", "&amp;Table13[[#This Row],[FY]]</f>
        <v>AUG, FY23</v>
      </c>
      <c r="H219" s="2" t="str">
        <f>Table13[[#This Row],[Week]]&amp;", "&amp;Table13[[#This Row],[Month]]&amp;" "&amp;Table13[[#This Row],[FY]]</f>
        <v>Week 9, AUG FY23</v>
      </c>
      <c r="I219" s="2" t="str">
        <f>Table13[[#This Row],[Month]]&amp;", "&amp;Table13[[#This Row],[FY]]</f>
        <v>AUG, FY23</v>
      </c>
      <c r="J219" s="2" t="str">
        <f>"Q"&amp;Table13[[#This Row],[QTR]]&amp;", "&amp;Table13[[#This Row],[FY]]</f>
        <v>Q1, FY23</v>
      </c>
    </row>
    <row r="220" spans="1:10" x14ac:dyDescent="0.25">
      <c r="A220" s="1">
        <f t="shared" si="17"/>
        <v>44802</v>
      </c>
      <c r="B220" s="1">
        <f t="shared" si="17"/>
        <v>44808</v>
      </c>
      <c r="C220" s="2" t="s">
        <v>193</v>
      </c>
      <c r="D220" s="2" t="s">
        <v>194</v>
      </c>
      <c r="E220" s="2">
        <v>1</v>
      </c>
      <c r="F220" s="2" t="s">
        <v>250</v>
      </c>
      <c r="G220" s="2" t="str">
        <f>Table13[[#This Row],[Month]]&amp;", "&amp;Table13[[#This Row],[FY]]</f>
        <v>SEP, FY23</v>
      </c>
      <c r="H220" s="2" t="str">
        <f>Table13[[#This Row],[Week]]&amp;", "&amp;Table13[[#This Row],[Month]]&amp;" "&amp;Table13[[#This Row],[FY]]</f>
        <v>Week 10, SEP FY23</v>
      </c>
      <c r="I220" s="2" t="str">
        <f>Table13[[#This Row],[Month]]&amp;", "&amp;Table13[[#This Row],[FY]]</f>
        <v>SEP, FY23</v>
      </c>
      <c r="J220" s="2" t="str">
        <f>"Q"&amp;Table13[[#This Row],[QTR]]&amp;", "&amp;Table13[[#This Row],[FY]]</f>
        <v>Q1, FY23</v>
      </c>
    </row>
    <row r="221" spans="1:10" x14ac:dyDescent="0.25">
      <c r="A221" s="1">
        <f t="shared" si="17"/>
        <v>44809</v>
      </c>
      <c r="B221" s="1">
        <f t="shared" si="17"/>
        <v>44815</v>
      </c>
      <c r="C221" s="2" t="s">
        <v>195</v>
      </c>
      <c r="D221" s="2" t="s">
        <v>194</v>
      </c>
      <c r="E221" s="2">
        <v>1</v>
      </c>
      <c r="F221" s="2" t="s">
        <v>250</v>
      </c>
      <c r="G221" s="2" t="str">
        <f>Table13[[#This Row],[Month]]&amp;", "&amp;Table13[[#This Row],[FY]]</f>
        <v>SEP, FY23</v>
      </c>
      <c r="H221" s="2" t="str">
        <f>Table13[[#This Row],[Week]]&amp;", "&amp;Table13[[#This Row],[Month]]&amp;" "&amp;Table13[[#This Row],[FY]]</f>
        <v>Week 11, SEP FY23</v>
      </c>
      <c r="I221" s="2" t="str">
        <f>Table13[[#This Row],[Month]]&amp;", "&amp;Table13[[#This Row],[FY]]</f>
        <v>SEP, FY23</v>
      </c>
      <c r="J221" s="2" t="str">
        <f>"Q"&amp;Table13[[#This Row],[QTR]]&amp;", "&amp;Table13[[#This Row],[FY]]</f>
        <v>Q1, FY23</v>
      </c>
    </row>
    <row r="222" spans="1:10" x14ac:dyDescent="0.25">
      <c r="A222" s="1">
        <f t="shared" si="17"/>
        <v>44816</v>
      </c>
      <c r="B222" s="1">
        <f t="shared" si="17"/>
        <v>44822</v>
      </c>
      <c r="C222" s="2" t="s">
        <v>196</v>
      </c>
      <c r="D222" s="2" t="s">
        <v>194</v>
      </c>
      <c r="E222" s="2">
        <v>1</v>
      </c>
      <c r="F222" s="2" t="s">
        <v>250</v>
      </c>
      <c r="G222" s="2" t="str">
        <f>Table13[[#This Row],[Month]]&amp;", "&amp;Table13[[#This Row],[FY]]</f>
        <v>SEP, FY23</v>
      </c>
      <c r="H222" s="2" t="str">
        <f>Table13[[#This Row],[Week]]&amp;", "&amp;Table13[[#This Row],[Month]]&amp;" "&amp;Table13[[#This Row],[FY]]</f>
        <v>Week 12, SEP FY23</v>
      </c>
      <c r="I222" s="2" t="str">
        <f>Table13[[#This Row],[Month]]&amp;", "&amp;Table13[[#This Row],[FY]]</f>
        <v>SEP, FY23</v>
      </c>
      <c r="J222" s="2" t="str">
        <f>"Q"&amp;Table13[[#This Row],[QTR]]&amp;", "&amp;Table13[[#This Row],[FY]]</f>
        <v>Q1, FY23</v>
      </c>
    </row>
    <row r="223" spans="1:10" x14ac:dyDescent="0.25">
      <c r="A223" s="1">
        <f t="shared" si="17"/>
        <v>44823</v>
      </c>
      <c r="B223" s="1">
        <f t="shared" si="17"/>
        <v>44829</v>
      </c>
      <c r="C223" s="2" t="s">
        <v>197</v>
      </c>
      <c r="D223" s="2" t="s">
        <v>194</v>
      </c>
      <c r="E223" s="2">
        <v>1</v>
      </c>
      <c r="F223" s="2" t="s">
        <v>250</v>
      </c>
      <c r="G223" s="2" t="str">
        <f>Table13[[#This Row],[Month]]&amp;", "&amp;Table13[[#This Row],[FY]]</f>
        <v>SEP, FY23</v>
      </c>
      <c r="H223" s="2" t="str">
        <f>Table13[[#This Row],[Week]]&amp;", "&amp;Table13[[#This Row],[Month]]&amp;" "&amp;Table13[[#This Row],[FY]]</f>
        <v>Week 13, SEP FY23</v>
      </c>
      <c r="I223" s="2" t="str">
        <f>Table13[[#This Row],[Month]]&amp;", "&amp;Table13[[#This Row],[FY]]</f>
        <v>SEP, FY23</v>
      </c>
      <c r="J223" s="2" t="str">
        <f>"Q"&amp;Table13[[#This Row],[QTR]]&amp;", "&amp;Table13[[#This Row],[FY]]</f>
        <v>Q1, FY23</v>
      </c>
    </row>
    <row r="224" spans="1:10" x14ac:dyDescent="0.25">
      <c r="A224" s="1">
        <f t="shared" ref="A224:B239" si="18">A223+7</f>
        <v>44830</v>
      </c>
      <c r="B224" s="1">
        <f t="shared" si="18"/>
        <v>44836</v>
      </c>
      <c r="C224" s="2" t="s">
        <v>198</v>
      </c>
      <c r="D224" s="2" t="s">
        <v>199</v>
      </c>
      <c r="E224" s="2">
        <f>E211+1</f>
        <v>2</v>
      </c>
      <c r="F224" s="2" t="s">
        <v>250</v>
      </c>
      <c r="G224" s="2" t="str">
        <f>Table13[[#This Row],[Month]]&amp;", "&amp;Table13[[#This Row],[FY]]</f>
        <v>OCT, FY23</v>
      </c>
      <c r="H224" s="2" t="str">
        <f>Table13[[#This Row],[Week]]&amp;", "&amp;Table13[[#This Row],[Month]]&amp;" "&amp;Table13[[#This Row],[FY]]</f>
        <v>Week 14, OCT FY23</v>
      </c>
      <c r="I224" s="2" t="str">
        <f>Table13[[#This Row],[Month]]&amp;", "&amp;Table13[[#This Row],[FY]]</f>
        <v>OCT, FY23</v>
      </c>
      <c r="J224" s="2" t="str">
        <f>"Q"&amp;Table13[[#This Row],[QTR]]&amp;", "&amp;Table13[[#This Row],[FY]]</f>
        <v>Q2, FY23</v>
      </c>
    </row>
    <row r="225" spans="1:10" x14ac:dyDescent="0.25">
      <c r="A225" s="1">
        <f t="shared" si="18"/>
        <v>44837</v>
      </c>
      <c r="B225" s="1">
        <f t="shared" si="18"/>
        <v>44843</v>
      </c>
      <c r="C225" s="2" t="s">
        <v>200</v>
      </c>
      <c r="D225" s="2" t="s">
        <v>199</v>
      </c>
      <c r="E225" s="2">
        <f t="shared" ref="E225:E262" si="19">E212+1</f>
        <v>2</v>
      </c>
      <c r="F225" s="2" t="s">
        <v>250</v>
      </c>
      <c r="G225" s="2" t="str">
        <f>Table13[[#This Row],[Month]]&amp;", "&amp;Table13[[#This Row],[FY]]</f>
        <v>OCT, FY23</v>
      </c>
      <c r="H225" s="2" t="str">
        <f>Table13[[#This Row],[Week]]&amp;", "&amp;Table13[[#This Row],[Month]]&amp;" "&amp;Table13[[#This Row],[FY]]</f>
        <v>Week 15, OCT FY23</v>
      </c>
      <c r="I225" s="2" t="str">
        <f>Table13[[#This Row],[Month]]&amp;", "&amp;Table13[[#This Row],[FY]]</f>
        <v>OCT, FY23</v>
      </c>
      <c r="J225" s="2" t="str">
        <f>"Q"&amp;Table13[[#This Row],[QTR]]&amp;", "&amp;Table13[[#This Row],[FY]]</f>
        <v>Q2, FY23</v>
      </c>
    </row>
    <row r="226" spans="1:10" x14ac:dyDescent="0.25">
      <c r="A226" s="1">
        <f t="shared" si="18"/>
        <v>44844</v>
      </c>
      <c r="B226" s="1">
        <f t="shared" si="18"/>
        <v>44850</v>
      </c>
      <c r="C226" s="2" t="s">
        <v>201</v>
      </c>
      <c r="D226" s="2" t="s">
        <v>199</v>
      </c>
      <c r="E226" s="2">
        <f t="shared" si="19"/>
        <v>2</v>
      </c>
      <c r="F226" s="2" t="s">
        <v>250</v>
      </c>
      <c r="G226" s="2" t="str">
        <f>Table13[[#This Row],[Month]]&amp;", "&amp;Table13[[#This Row],[FY]]</f>
        <v>OCT, FY23</v>
      </c>
      <c r="H226" s="2" t="str">
        <f>Table13[[#This Row],[Week]]&amp;", "&amp;Table13[[#This Row],[Month]]&amp;" "&amp;Table13[[#This Row],[FY]]</f>
        <v>Week 16, OCT FY23</v>
      </c>
      <c r="I226" s="2" t="str">
        <f>Table13[[#This Row],[Month]]&amp;", "&amp;Table13[[#This Row],[FY]]</f>
        <v>OCT, FY23</v>
      </c>
      <c r="J226" s="2" t="str">
        <f>"Q"&amp;Table13[[#This Row],[QTR]]&amp;", "&amp;Table13[[#This Row],[FY]]</f>
        <v>Q2, FY23</v>
      </c>
    </row>
    <row r="227" spans="1:10" x14ac:dyDescent="0.25">
      <c r="A227" s="1">
        <f t="shared" si="18"/>
        <v>44851</v>
      </c>
      <c r="B227" s="1">
        <f t="shared" si="18"/>
        <v>44857</v>
      </c>
      <c r="C227" s="2" t="s">
        <v>202</v>
      </c>
      <c r="D227" s="2" t="s">
        <v>199</v>
      </c>
      <c r="E227" s="2">
        <f t="shared" si="19"/>
        <v>2</v>
      </c>
      <c r="F227" s="2" t="s">
        <v>250</v>
      </c>
      <c r="G227" s="2" t="str">
        <f>Table13[[#This Row],[Month]]&amp;", "&amp;Table13[[#This Row],[FY]]</f>
        <v>OCT, FY23</v>
      </c>
      <c r="H227" s="2" t="str">
        <f>Table13[[#This Row],[Week]]&amp;", "&amp;Table13[[#This Row],[Month]]&amp;" "&amp;Table13[[#This Row],[FY]]</f>
        <v>Week 17, OCT FY23</v>
      </c>
      <c r="I227" s="2" t="str">
        <f>Table13[[#This Row],[Month]]&amp;", "&amp;Table13[[#This Row],[FY]]</f>
        <v>OCT, FY23</v>
      </c>
      <c r="J227" s="2" t="str">
        <f>"Q"&amp;Table13[[#This Row],[QTR]]&amp;", "&amp;Table13[[#This Row],[FY]]</f>
        <v>Q2, FY23</v>
      </c>
    </row>
    <row r="228" spans="1:10" x14ac:dyDescent="0.25">
      <c r="A228" s="1">
        <f t="shared" si="18"/>
        <v>44858</v>
      </c>
      <c r="B228" s="1">
        <f t="shared" si="18"/>
        <v>44864</v>
      </c>
      <c r="C228" s="2" t="s">
        <v>203</v>
      </c>
      <c r="D228" s="2" t="s">
        <v>204</v>
      </c>
      <c r="E228" s="2">
        <f t="shared" si="19"/>
        <v>2</v>
      </c>
      <c r="F228" s="2" t="s">
        <v>250</v>
      </c>
      <c r="G228" s="2" t="str">
        <f>Table13[[#This Row],[Month]]&amp;", "&amp;Table13[[#This Row],[FY]]</f>
        <v>NOV, FY23</v>
      </c>
      <c r="H228" s="2" t="str">
        <f>Table13[[#This Row],[Week]]&amp;", "&amp;Table13[[#This Row],[Month]]&amp;" "&amp;Table13[[#This Row],[FY]]</f>
        <v>Week 18, NOV FY23</v>
      </c>
      <c r="I228" s="2" t="str">
        <f>Table13[[#This Row],[Month]]&amp;", "&amp;Table13[[#This Row],[FY]]</f>
        <v>NOV, FY23</v>
      </c>
      <c r="J228" s="2" t="str">
        <f>"Q"&amp;Table13[[#This Row],[QTR]]&amp;", "&amp;Table13[[#This Row],[FY]]</f>
        <v>Q2, FY23</v>
      </c>
    </row>
    <row r="229" spans="1:10" x14ac:dyDescent="0.25">
      <c r="A229" s="1">
        <f t="shared" si="18"/>
        <v>44865</v>
      </c>
      <c r="B229" s="1">
        <f t="shared" si="18"/>
        <v>44871</v>
      </c>
      <c r="C229" s="2" t="s">
        <v>205</v>
      </c>
      <c r="D229" s="2" t="s">
        <v>204</v>
      </c>
      <c r="E229" s="2">
        <f t="shared" si="19"/>
        <v>2</v>
      </c>
      <c r="F229" s="2" t="s">
        <v>250</v>
      </c>
      <c r="G229" s="2" t="str">
        <f>Table13[[#This Row],[Month]]&amp;", "&amp;Table13[[#This Row],[FY]]</f>
        <v>NOV, FY23</v>
      </c>
      <c r="H229" s="2" t="str">
        <f>Table13[[#This Row],[Week]]&amp;", "&amp;Table13[[#This Row],[Month]]&amp;" "&amp;Table13[[#This Row],[FY]]</f>
        <v>Week 19, NOV FY23</v>
      </c>
      <c r="I229" s="2" t="str">
        <f>Table13[[#This Row],[Month]]&amp;", "&amp;Table13[[#This Row],[FY]]</f>
        <v>NOV, FY23</v>
      </c>
      <c r="J229" s="2" t="str">
        <f>"Q"&amp;Table13[[#This Row],[QTR]]&amp;", "&amp;Table13[[#This Row],[FY]]</f>
        <v>Q2, FY23</v>
      </c>
    </row>
    <row r="230" spans="1:10" x14ac:dyDescent="0.25">
      <c r="A230" s="1">
        <f t="shared" si="18"/>
        <v>44872</v>
      </c>
      <c r="B230" s="1">
        <f t="shared" si="18"/>
        <v>44878</v>
      </c>
      <c r="C230" s="2" t="s">
        <v>206</v>
      </c>
      <c r="D230" s="2" t="s">
        <v>204</v>
      </c>
      <c r="E230" s="2">
        <f t="shared" si="19"/>
        <v>2</v>
      </c>
      <c r="F230" s="2" t="s">
        <v>250</v>
      </c>
      <c r="G230" s="2" t="str">
        <f>Table13[[#This Row],[Month]]&amp;", "&amp;Table13[[#This Row],[FY]]</f>
        <v>NOV, FY23</v>
      </c>
      <c r="H230" s="2" t="str">
        <f>Table13[[#This Row],[Week]]&amp;", "&amp;Table13[[#This Row],[Month]]&amp;" "&amp;Table13[[#This Row],[FY]]</f>
        <v>Week 20, NOV FY23</v>
      </c>
      <c r="I230" s="2" t="str">
        <f>Table13[[#This Row],[Month]]&amp;", "&amp;Table13[[#This Row],[FY]]</f>
        <v>NOV, FY23</v>
      </c>
      <c r="J230" s="2" t="str">
        <f>"Q"&amp;Table13[[#This Row],[QTR]]&amp;", "&amp;Table13[[#This Row],[FY]]</f>
        <v>Q2, FY23</v>
      </c>
    </row>
    <row r="231" spans="1:10" x14ac:dyDescent="0.25">
      <c r="A231" s="1">
        <f t="shared" si="18"/>
        <v>44879</v>
      </c>
      <c r="B231" s="1">
        <f t="shared" si="18"/>
        <v>44885</v>
      </c>
      <c r="C231" s="2" t="s">
        <v>207</v>
      </c>
      <c r="D231" s="2" t="s">
        <v>204</v>
      </c>
      <c r="E231" s="2">
        <f t="shared" si="19"/>
        <v>2</v>
      </c>
      <c r="F231" s="2" t="s">
        <v>250</v>
      </c>
      <c r="G231" s="2" t="str">
        <f>Table13[[#This Row],[Month]]&amp;", "&amp;Table13[[#This Row],[FY]]</f>
        <v>NOV, FY23</v>
      </c>
      <c r="H231" s="2" t="str">
        <f>Table13[[#This Row],[Week]]&amp;", "&amp;Table13[[#This Row],[Month]]&amp;" "&amp;Table13[[#This Row],[FY]]</f>
        <v>Week 21, NOV FY23</v>
      </c>
      <c r="I231" s="2" t="str">
        <f>Table13[[#This Row],[Month]]&amp;", "&amp;Table13[[#This Row],[FY]]</f>
        <v>NOV, FY23</v>
      </c>
      <c r="J231" s="2" t="str">
        <f>"Q"&amp;Table13[[#This Row],[QTR]]&amp;", "&amp;Table13[[#This Row],[FY]]</f>
        <v>Q2, FY23</v>
      </c>
    </row>
    <row r="232" spans="1:10" x14ac:dyDescent="0.25">
      <c r="A232" s="1">
        <f t="shared" si="18"/>
        <v>44886</v>
      </c>
      <c r="B232" s="1">
        <f t="shared" si="18"/>
        <v>44892</v>
      </c>
      <c r="C232" s="2" t="s">
        <v>208</v>
      </c>
      <c r="D232" s="2" t="s">
        <v>204</v>
      </c>
      <c r="E232" s="2">
        <f t="shared" si="19"/>
        <v>2</v>
      </c>
      <c r="F232" s="2" t="s">
        <v>250</v>
      </c>
      <c r="G232" s="2" t="str">
        <f>Table13[[#This Row],[Month]]&amp;", "&amp;Table13[[#This Row],[FY]]</f>
        <v>NOV, FY23</v>
      </c>
      <c r="H232" s="2" t="str">
        <f>Table13[[#This Row],[Week]]&amp;", "&amp;Table13[[#This Row],[Month]]&amp;" "&amp;Table13[[#This Row],[FY]]</f>
        <v>Week 22, NOV FY23</v>
      </c>
      <c r="I232" s="2" t="str">
        <f>Table13[[#This Row],[Month]]&amp;", "&amp;Table13[[#This Row],[FY]]</f>
        <v>NOV, FY23</v>
      </c>
      <c r="J232" s="2" t="str">
        <f>"Q"&amp;Table13[[#This Row],[QTR]]&amp;", "&amp;Table13[[#This Row],[FY]]</f>
        <v>Q2, FY23</v>
      </c>
    </row>
    <row r="233" spans="1:10" x14ac:dyDescent="0.25">
      <c r="A233" s="1">
        <f t="shared" si="18"/>
        <v>44893</v>
      </c>
      <c r="B233" s="1">
        <f t="shared" si="18"/>
        <v>44899</v>
      </c>
      <c r="C233" s="2" t="s">
        <v>209</v>
      </c>
      <c r="D233" s="2" t="s">
        <v>210</v>
      </c>
      <c r="E233" s="2">
        <f t="shared" si="19"/>
        <v>2</v>
      </c>
      <c r="F233" s="2" t="s">
        <v>250</v>
      </c>
      <c r="G233" s="2" t="str">
        <f>Table13[[#This Row],[Month]]&amp;", "&amp;Table13[[#This Row],[FY]]</f>
        <v>DEC, FY23</v>
      </c>
      <c r="H233" s="2" t="str">
        <f>Table13[[#This Row],[Week]]&amp;", "&amp;Table13[[#This Row],[Month]]&amp;" "&amp;Table13[[#This Row],[FY]]</f>
        <v>Week 23, DEC FY23</v>
      </c>
      <c r="I233" s="2" t="str">
        <f>Table13[[#This Row],[Month]]&amp;", "&amp;Table13[[#This Row],[FY]]</f>
        <v>DEC, FY23</v>
      </c>
      <c r="J233" s="2" t="str">
        <f>"Q"&amp;Table13[[#This Row],[QTR]]&amp;", "&amp;Table13[[#This Row],[FY]]</f>
        <v>Q2, FY23</v>
      </c>
    </row>
    <row r="234" spans="1:10" x14ac:dyDescent="0.25">
      <c r="A234" s="1">
        <f t="shared" si="18"/>
        <v>44900</v>
      </c>
      <c r="B234" s="1">
        <f t="shared" si="18"/>
        <v>44906</v>
      </c>
      <c r="C234" s="2" t="s">
        <v>211</v>
      </c>
      <c r="D234" s="2" t="s">
        <v>210</v>
      </c>
      <c r="E234" s="2">
        <f t="shared" si="19"/>
        <v>2</v>
      </c>
      <c r="F234" s="2" t="s">
        <v>250</v>
      </c>
      <c r="G234" s="2" t="str">
        <f>Table13[[#This Row],[Month]]&amp;", "&amp;Table13[[#This Row],[FY]]</f>
        <v>DEC, FY23</v>
      </c>
      <c r="H234" s="2" t="str">
        <f>Table13[[#This Row],[Week]]&amp;", "&amp;Table13[[#This Row],[Month]]&amp;" "&amp;Table13[[#This Row],[FY]]</f>
        <v>Week 24, DEC FY23</v>
      </c>
      <c r="I234" s="2" t="str">
        <f>Table13[[#This Row],[Month]]&amp;", "&amp;Table13[[#This Row],[FY]]</f>
        <v>DEC, FY23</v>
      </c>
      <c r="J234" s="2" t="str">
        <f>"Q"&amp;Table13[[#This Row],[QTR]]&amp;", "&amp;Table13[[#This Row],[FY]]</f>
        <v>Q2, FY23</v>
      </c>
    </row>
    <row r="235" spans="1:10" x14ac:dyDescent="0.25">
      <c r="A235" s="1">
        <f t="shared" si="18"/>
        <v>44907</v>
      </c>
      <c r="B235" s="1">
        <f t="shared" si="18"/>
        <v>44913</v>
      </c>
      <c r="C235" s="2" t="s">
        <v>212</v>
      </c>
      <c r="D235" s="2" t="s">
        <v>210</v>
      </c>
      <c r="E235" s="2">
        <f t="shared" si="19"/>
        <v>2</v>
      </c>
      <c r="F235" s="2" t="s">
        <v>250</v>
      </c>
      <c r="G235" s="2" t="str">
        <f>Table13[[#This Row],[Month]]&amp;", "&amp;Table13[[#This Row],[FY]]</f>
        <v>DEC, FY23</v>
      </c>
      <c r="H235" s="2" t="str">
        <f>Table13[[#This Row],[Week]]&amp;", "&amp;Table13[[#This Row],[Month]]&amp;" "&amp;Table13[[#This Row],[FY]]</f>
        <v>Week 25, DEC FY23</v>
      </c>
      <c r="I235" s="2" t="str">
        <f>Table13[[#This Row],[Month]]&amp;", "&amp;Table13[[#This Row],[FY]]</f>
        <v>DEC, FY23</v>
      </c>
      <c r="J235" s="2" t="str">
        <f>"Q"&amp;Table13[[#This Row],[QTR]]&amp;", "&amp;Table13[[#This Row],[FY]]</f>
        <v>Q2, FY23</v>
      </c>
    </row>
    <row r="236" spans="1:10" x14ac:dyDescent="0.25">
      <c r="A236" s="1">
        <f t="shared" si="18"/>
        <v>44914</v>
      </c>
      <c r="B236" s="1">
        <f t="shared" si="18"/>
        <v>44920</v>
      </c>
      <c r="C236" s="2" t="s">
        <v>213</v>
      </c>
      <c r="D236" s="2" t="s">
        <v>210</v>
      </c>
      <c r="E236" s="2">
        <f t="shared" si="19"/>
        <v>2</v>
      </c>
      <c r="F236" s="2" t="s">
        <v>250</v>
      </c>
      <c r="G236" s="2" t="str">
        <f>Table13[[#This Row],[Month]]&amp;", "&amp;Table13[[#This Row],[FY]]</f>
        <v>DEC, FY23</v>
      </c>
      <c r="H236" s="2" t="str">
        <f>Table13[[#This Row],[Week]]&amp;", "&amp;Table13[[#This Row],[Month]]&amp;" "&amp;Table13[[#This Row],[FY]]</f>
        <v>Week 26, DEC FY23</v>
      </c>
      <c r="I236" s="2" t="str">
        <f>Table13[[#This Row],[Month]]&amp;", "&amp;Table13[[#This Row],[FY]]</f>
        <v>DEC, FY23</v>
      </c>
      <c r="J236" s="2" t="str">
        <f>"Q"&amp;Table13[[#This Row],[QTR]]&amp;", "&amp;Table13[[#This Row],[FY]]</f>
        <v>Q2, FY23</v>
      </c>
    </row>
    <row r="237" spans="1:10" x14ac:dyDescent="0.25">
      <c r="A237" s="1">
        <f t="shared" si="18"/>
        <v>44921</v>
      </c>
      <c r="B237" s="1">
        <f t="shared" si="18"/>
        <v>44927</v>
      </c>
      <c r="C237" s="2" t="s">
        <v>214</v>
      </c>
      <c r="D237" s="2" t="s">
        <v>215</v>
      </c>
      <c r="E237" s="2">
        <f t="shared" si="19"/>
        <v>3</v>
      </c>
      <c r="F237" s="2" t="s">
        <v>250</v>
      </c>
      <c r="G237" s="2" t="str">
        <f>Table13[[#This Row],[Month]]&amp;", "&amp;Table13[[#This Row],[FY]]</f>
        <v>JAN, FY23</v>
      </c>
      <c r="H237" s="2" t="str">
        <f>Table13[[#This Row],[Week]]&amp;", "&amp;Table13[[#This Row],[Month]]&amp;" "&amp;Table13[[#This Row],[FY]]</f>
        <v>Week 27, JAN FY23</v>
      </c>
      <c r="I237" s="2" t="str">
        <f>Table13[[#This Row],[Month]]&amp;", "&amp;Table13[[#This Row],[FY]]</f>
        <v>JAN, FY23</v>
      </c>
      <c r="J237" s="2" t="str">
        <f>"Q"&amp;Table13[[#This Row],[QTR]]&amp;", "&amp;Table13[[#This Row],[FY]]</f>
        <v>Q3, FY23</v>
      </c>
    </row>
    <row r="238" spans="1:10" x14ac:dyDescent="0.25">
      <c r="A238" s="1">
        <f t="shared" si="18"/>
        <v>44928</v>
      </c>
      <c r="B238" s="1">
        <f t="shared" si="18"/>
        <v>44934</v>
      </c>
      <c r="C238" s="2" t="s">
        <v>216</v>
      </c>
      <c r="D238" s="2" t="s">
        <v>215</v>
      </c>
      <c r="E238" s="2">
        <f t="shared" si="19"/>
        <v>3</v>
      </c>
      <c r="F238" s="2" t="s">
        <v>250</v>
      </c>
      <c r="G238" s="2" t="str">
        <f>Table13[[#This Row],[Month]]&amp;", "&amp;Table13[[#This Row],[FY]]</f>
        <v>JAN, FY23</v>
      </c>
      <c r="H238" s="2" t="str">
        <f>Table13[[#This Row],[Week]]&amp;", "&amp;Table13[[#This Row],[Month]]&amp;" "&amp;Table13[[#This Row],[FY]]</f>
        <v>Week 28, JAN FY23</v>
      </c>
      <c r="I238" s="2" t="str">
        <f>Table13[[#This Row],[Month]]&amp;", "&amp;Table13[[#This Row],[FY]]</f>
        <v>JAN, FY23</v>
      </c>
      <c r="J238" s="2" t="str">
        <f>"Q"&amp;Table13[[#This Row],[QTR]]&amp;", "&amp;Table13[[#This Row],[FY]]</f>
        <v>Q3, FY23</v>
      </c>
    </row>
    <row r="239" spans="1:10" x14ac:dyDescent="0.25">
      <c r="A239" s="1">
        <f t="shared" si="18"/>
        <v>44935</v>
      </c>
      <c r="B239" s="1">
        <f t="shared" si="18"/>
        <v>44941</v>
      </c>
      <c r="C239" s="2" t="s">
        <v>217</v>
      </c>
      <c r="D239" s="2" t="s">
        <v>215</v>
      </c>
      <c r="E239" s="2">
        <f t="shared" si="19"/>
        <v>3</v>
      </c>
      <c r="F239" s="2" t="s">
        <v>250</v>
      </c>
      <c r="G239" s="2" t="str">
        <f>Table13[[#This Row],[Month]]&amp;", "&amp;Table13[[#This Row],[FY]]</f>
        <v>JAN, FY23</v>
      </c>
      <c r="H239" s="2" t="str">
        <f>Table13[[#This Row],[Week]]&amp;", "&amp;Table13[[#This Row],[Month]]&amp;" "&amp;Table13[[#This Row],[FY]]</f>
        <v>Week 29, JAN FY23</v>
      </c>
      <c r="I239" s="2" t="str">
        <f>Table13[[#This Row],[Month]]&amp;", "&amp;Table13[[#This Row],[FY]]</f>
        <v>JAN, FY23</v>
      </c>
      <c r="J239" s="2" t="str">
        <f>"Q"&amp;Table13[[#This Row],[QTR]]&amp;", "&amp;Table13[[#This Row],[FY]]</f>
        <v>Q3, FY23</v>
      </c>
    </row>
    <row r="240" spans="1:10" x14ac:dyDescent="0.25">
      <c r="A240" s="1">
        <f t="shared" ref="A240:B255" si="20">A239+7</f>
        <v>44942</v>
      </c>
      <c r="B240" s="1">
        <f t="shared" si="20"/>
        <v>44948</v>
      </c>
      <c r="C240" s="2" t="s">
        <v>218</v>
      </c>
      <c r="D240" s="2" t="s">
        <v>215</v>
      </c>
      <c r="E240" s="2">
        <f t="shared" si="19"/>
        <v>3</v>
      </c>
      <c r="F240" s="2" t="s">
        <v>250</v>
      </c>
      <c r="G240" s="2" t="str">
        <f>Table13[[#This Row],[Month]]&amp;", "&amp;Table13[[#This Row],[FY]]</f>
        <v>JAN, FY23</v>
      </c>
      <c r="H240" s="2" t="str">
        <f>Table13[[#This Row],[Week]]&amp;", "&amp;Table13[[#This Row],[Month]]&amp;" "&amp;Table13[[#This Row],[FY]]</f>
        <v>Week 30, JAN FY23</v>
      </c>
      <c r="I240" s="2" t="str">
        <f>Table13[[#This Row],[Month]]&amp;", "&amp;Table13[[#This Row],[FY]]</f>
        <v>JAN, FY23</v>
      </c>
      <c r="J240" s="2" t="str">
        <f>"Q"&amp;Table13[[#This Row],[QTR]]&amp;", "&amp;Table13[[#This Row],[FY]]</f>
        <v>Q3, FY23</v>
      </c>
    </row>
    <row r="241" spans="1:10" x14ac:dyDescent="0.25">
      <c r="A241" s="1">
        <f t="shared" si="20"/>
        <v>44949</v>
      </c>
      <c r="B241" s="1">
        <f t="shared" si="20"/>
        <v>44955</v>
      </c>
      <c r="C241" s="2" t="s">
        <v>219</v>
      </c>
      <c r="D241" s="2" t="s">
        <v>220</v>
      </c>
      <c r="E241" s="2">
        <f t="shared" si="19"/>
        <v>3</v>
      </c>
      <c r="F241" s="2" t="s">
        <v>250</v>
      </c>
      <c r="G241" s="2" t="str">
        <f>Table13[[#This Row],[Month]]&amp;", "&amp;Table13[[#This Row],[FY]]</f>
        <v>FEB, FY23</v>
      </c>
      <c r="H241" s="2" t="str">
        <f>Table13[[#This Row],[Week]]&amp;", "&amp;Table13[[#This Row],[Month]]&amp;" "&amp;Table13[[#This Row],[FY]]</f>
        <v>Week 31, FEB FY23</v>
      </c>
      <c r="I241" s="2" t="str">
        <f>Table13[[#This Row],[Month]]&amp;", "&amp;Table13[[#This Row],[FY]]</f>
        <v>FEB, FY23</v>
      </c>
      <c r="J241" s="2" t="str">
        <f>"Q"&amp;Table13[[#This Row],[QTR]]&amp;", "&amp;Table13[[#This Row],[FY]]</f>
        <v>Q3, FY23</v>
      </c>
    </row>
    <row r="242" spans="1:10" x14ac:dyDescent="0.25">
      <c r="A242" s="1">
        <f t="shared" si="20"/>
        <v>44956</v>
      </c>
      <c r="B242" s="1">
        <f t="shared" si="20"/>
        <v>44962</v>
      </c>
      <c r="C242" s="2" t="s">
        <v>221</v>
      </c>
      <c r="D242" s="2" t="s">
        <v>220</v>
      </c>
      <c r="E242" s="2">
        <f t="shared" si="19"/>
        <v>3</v>
      </c>
      <c r="F242" s="2" t="s">
        <v>250</v>
      </c>
      <c r="G242" s="2" t="str">
        <f>Table13[[#This Row],[Month]]&amp;", "&amp;Table13[[#This Row],[FY]]</f>
        <v>FEB, FY23</v>
      </c>
      <c r="H242" s="2" t="str">
        <f>Table13[[#This Row],[Week]]&amp;", "&amp;Table13[[#This Row],[Month]]&amp;" "&amp;Table13[[#This Row],[FY]]</f>
        <v>Week 32, FEB FY23</v>
      </c>
      <c r="I242" s="2" t="str">
        <f>Table13[[#This Row],[Month]]&amp;", "&amp;Table13[[#This Row],[FY]]</f>
        <v>FEB, FY23</v>
      </c>
      <c r="J242" s="2" t="str">
        <f>"Q"&amp;Table13[[#This Row],[QTR]]&amp;", "&amp;Table13[[#This Row],[FY]]</f>
        <v>Q3, FY23</v>
      </c>
    </row>
    <row r="243" spans="1:10" x14ac:dyDescent="0.25">
      <c r="A243" s="1">
        <f t="shared" si="20"/>
        <v>44963</v>
      </c>
      <c r="B243" s="1">
        <f t="shared" si="20"/>
        <v>44969</v>
      </c>
      <c r="C243" s="2" t="s">
        <v>222</v>
      </c>
      <c r="D243" s="2" t="s">
        <v>220</v>
      </c>
      <c r="E243" s="2">
        <f t="shared" si="19"/>
        <v>3</v>
      </c>
      <c r="F243" s="2" t="s">
        <v>250</v>
      </c>
      <c r="G243" s="2" t="str">
        <f>Table13[[#This Row],[Month]]&amp;", "&amp;Table13[[#This Row],[FY]]</f>
        <v>FEB, FY23</v>
      </c>
      <c r="H243" s="2" t="str">
        <f>Table13[[#This Row],[Week]]&amp;", "&amp;Table13[[#This Row],[Month]]&amp;" "&amp;Table13[[#This Row],[FY]]</f>
        <v>Week 33, FEB FY23</v>
      </c>
      <c r="I243" s="2" t="str">
        <f>Table13[[#This Row],[Month]]&amp;", "&amp;Table13[[#This Row],[FY]]</f>
        <v>FEB, FY23</v>
      </c>
      <c r="J243" s="2" t="str">
        <f>"Q"&amp;Table13[[#This Row],[QTR]]&amp;", "&amp;Table13[[#This Row],[FY]]</f>
        <v>Q3, FY23</v>
      </c>
    </row>
    <row r="244" spans="1:10" x14ac:dyDescent="0.25">
      <c r="A244" s="1">
        <f t="shared" si="20"/>
        <v>44970</v>
      </c>
      <c r="B244" s="1">
        <f t="shared" si="20"/>
        <v>44976</v>
      </c>
      <c r="C244" s="2" t="s">
        <v>223</v>
      </c>
      <c r="D244" s="2" t="s">
        <v>220</v>
      </c>
      <c r="E244" s="2">
        <f t="shared" si="19"/>
        <v>3</v>
      </c>
      <c r="F244" s="2" t="s">
        <v>250</v>
      </c>
      <c r="G244" s="2" t="str">
        <f>Table13[[#This Row],[Month]]&amp;", "&amp;Table13[[#This Row],[FY]]</f>
        <v>FEB, FY23</v>
      </c>
      <c r="H244" s="2" t="str">
        <f>Table13[[#This Row],[Week]]&amp;", "&amp;Table13[[#This Row],[Month]]&amp;" "&amp;Table13[[#This Row],[FY]]</f>
        <v>Week 34, FEB FY23</v>
      </c>
      <c r="I244" s="2" t="str">
        <f>Table13[[#This Row],[Month]]&amp;", "&amp;Table13[[#This Row],[FY]]</f>
        <v>FEB, FY23</v>
      </c>
      <c r="J244" s="2" t="str">
        <f>"Q"&amp;Table13[[#This Row],[QTR]]&amp;", "&amp;Table13[[#This Row],[FY]]</f>
        <v>Q3, FY23</v>
      </c>
    </row>
    <row r="245" spans="1:10" x14ac:dyDescent="0.25">
      <c r="A245" s="1">
        <f t="shared" si="20"/>
        <v>44977</v>
      </c>
      <c r="B245" s="1">
        <f t="shared" si="20"/>
        <v>44983</v>
      </c>
      <c r="C245" s="2" t="s">
        <v>224</v>
      </c>
      <c r="D245" s="2" t="s">
        <v>220</v>
      </c>
      <c r="E245" s="2">
        <f t="shared" si="19"/>
        <v>3</v>
      </c>
      <c r="F245" s="2" t="s">
        <v>250</v>
      </c>
      <c r="G245" s="2" t="str">
        <f>Table13[[#This Row],[Month]]&amp;", "&amp;Table13[[#This Row],[FY]]</f>
        <v>FEB, FY23</v>
      </c>
      <c r="H245" s="2" t="str">
        <f>Table13[[#This Row],[Week]]&amp;", "&amp;Table13[[#This Row],[Month]]&amp;" "&amp;Table13[[#This Row],[FY]]</f>
        <v>Week 35, FEB FY23</v>
      </c>
      <c r="I245" s="2" t="str">
        <f>Table13[[#This Row],[Month]]&amp;", "&amp;Table13[[#This Row],[FY]]</f>
        <v>FEB, FY23</v>
      </c>
      <c r="J245" s="2" t="str">
        <f>"Q"&amp;Table13[[#This Row],[QTR]]&amp;", "&amp;Table13[[#This Row],[FY]]</f>
        <v>Q3, FY23</v>
      </c>
    </row>
    <row r="246" spans="1:10" x14ac:dyDescent="0.25">
      <c r="A246" s="1">
        <f t="shared" si="20"/>
        <v>44984</v>
      </c>
      <c r="B246" s="1">
        <f t="shared" si="20"/>
        <v>44990</v>
      </c>
      <c r="C246" s="2" t="s">
        <v>225</v>
      </c>
      <c r="D246" s="2" t="s">
        <v>226</v>
      </c>
      <c r="E246" s="2">
        <f t="shared" si="19"/>
        <v>3</v>
      </c>
      <c r="F246" s="2" t="s">
        <v>250</v>
      </c>
      <c r="G246" s="2" t="str">
        <f>Table13[[#This Row],[Month]]&amp;", "&amp;Table13[[#This Row],[FY]]</f>
        <v>MAR, FY23</v>
      </c>
      <c r="H246" s="2" t="str">
        <f>Table13[[#This Row],[Week]]&amp;", "&amp;Table13[[#This Row],[Month]]&amp;" "&amp;Table13[[#This Row],[FY]]</f>
        <v>Week 36, MAR FY23</v>
      </c>
      <c r="I246" s="2" t="str">
        <f>Table13[[#This Row],[Month]]&amp;", "&amp;Table13[[#This Row],[FY]]</f>
        <v>MAR, FY23</v>
      </c>
      <c r="J246" s="2" t="str">
        <f>"Q"&amp;Table13[[#This Row],[QTR]]&amp;", "&amp;Table13[[#This Row],[FY]]</f>
        <v>Q3, FY23</v>
      </c>
    </row>
    <row r="247" spans="1:10" x14ac:dyDescent="0.25">
      <c r="A247" s="1">
        <f t="shared" si="20"/>
        <v>44991</v>
      </c>
      <c r="B247" s="1">
        <f t="shared" si="20"/>
        <v>44997</v>
      </c>
      <c r="C247" s="2" t="s">
        <v>227</v>
      </c>
      <c r="D247" s="2" t="s">
        <v>226</v>
      </c>
      <c r="E247" s="2">
        <f t="shared" si="19"/>
        <v>3</v>
      </c>
      <c r="F247" s="2" t="s">
        <v>250</v>
      </c>
      <c r="G247" s="2" t="str">
        <f>Table13[[#This Row],[Month]]&amp;", "&amp;Table13[[#This Row],[FY]]</f>
        <v>MAR, FY23</v>
      </c>
      <c r="H247" s="2" t="str">
        <f>Table13[[#This Row],[Week]]&amp;", "&amp;Table13[[#This Row],[Month]]&amp;" "&amp;Table13[[#This Row],[FY]]</f>
        <v>Week 37, MAR FY23</v>
      </c>
      <c r="I247" s="2" t="str">
        <f>Table13[[#This Row],[Month]]&amp;", "&amp;Table13[[#This Row],[FY]]</f>
        <v>MAR, FY23</v>
      </c>
      <c r="J247" s="2" t="str">
        <f>"Q"&amp;Table13[[#This Row],[QTR]]&amp;", "&amp;Table13[[#This Row],[FY]]</f>
        <v>Q3, FY23</v>
      </c>
    </row>
    <row r="248" spans="1:10" x14ac:dyDescent="0.25">
      <c r="A248" s="1">
        <f t="shared" si="20"/>
        <v>44998</v>
      </c>
      <c r="B248" s="1">
        <f t="shared" si="20"/>
        <v>45004</v>
      </c>
      <c r="C248" s="2" t="s">
        <v>228</v>
      </c>
      <c r="D248" s="2" t="s">
        <v>226</v>
      </c>
      <c r="E248" s="2">
        <f t="shared" si="19"/>
        <v>3</v>
      </c>
      <c r="F248" s="2" t="s">
        <v>250</v>
      </c>
      <c r="G248" s="2" t="str">
        <f>Table13[[#This Row],[Month]]&amp;", "&amp;Table13[[#This Row],[FY]]</f>
        <v>MAR, FY23</v>
      </c>
      <c r="H248" s="2" t="str">
        <f>Table13[[#This Row],[Week]]&amp;", "&amp;Table13[[#This Row],[Month]]&amp;" "&amp;Table13[[#This Row],[FY]]</f>
        <v>Week 38, MAR FY23</v>
      </c>
      <c r="I248" s="2" t="str">
        <f>Table13[[#This Row],[Month]]&amp;", "&amp;Table13[[#This Row],[FY]]</f>
        <v>MAR, FY23</v>
      </c>
      <c r="J248" s="2" t="str">
        <f>"Q"&amp;Table13[[#This Row],[QTR]]&amp;", "&amp;Table13[[#This Row],[FY]]</f>
        <v>Q3, FY23</v>
      </c>
    </row>
    <row r="249" spans="1:10" x14ac:dyDescent="0.25">
      <c r="A249" s="1">
        <f t="shared" si="20"/>
        <v>45005</v>
      </c>
      <c r="B249" s="1">
        <f t="shared" si="20"/>
        <v>45011</v>
      </c>
      <c r="C249" s="2" t="s">
        <v>229</v>
      </c>
      <c r="D249" s="2" t="s">
        <v>226</v>
      </c>
      <c r="E249" s="2">
        <f t="shared" si="19"/>
        <v>3</v>
      </c>
      <c r="F249" s="2" t="s">
        <v>250</v>
      </c>
      <c r="G249" s="2" t="str">
        <f>Table13[[#This Row],[Month]]&amp;", "&amp;Table13[[#This Row],[FY]]</f>
        <v>MAR, FY23</v>
      </c>
      <c r="H249" s="2" t="str">
        <f>Table13[[#This Row],[Week]]&amp;", "&amp;Table13[[#This Row],[Month]]&amp;" "&amp;Table13[[#This Row],[FY]]</f>
        <v>Week 39, MAR FY23</v>
      </c>
      <c r="I249" s="2" t="str">
        <f>Table13[[#This Row],[Month]]&amp;", "&amp;Table13[[#This Row],[FY]]</f>
        <v>MAR, FY23</v>
      </c>
      <c r="J249" s="2" t="str">
        <f>"Q"&amp;Table13[[#This Row],[QTR]]&amp;", "&amp;Table13[[#This Row],[FY]]</f>
        <v>Q3, FY23</v>
      </c>
    </row>
    <row r="250" spans="1:10" x14ac:dyDescent="0.25">
      <c r="A250" s="1">
        <f t="shared" si="20"/>
        <v>45012</v>
      </c>
      <c r="B250" s="1">
        <f t="shared" si="20"/>
        <v>45018</v>
      </c>
      <c r="C250" s="2" t="s">
        <v>230</v>
      </c>
      <c r="D250" s="2" t="s">
        <v>231</v>
      </c>
      <c r="E250" s="2">
        <f t="shared" si="19"/>
        <v>4</v>
      </c>
      <c r="F250" s="2" t="s">
        <v>250</v>
      </c>
      <c r="G250" s="2" t="str">
        <f>Table13[[#This Row],[Month]]&amp;", "&amp;Table13[[#This Row],[FY]]</f>
        <v>APR, FY23</v>
      </c>
      <c r="H250" s="2" t="str">
        <f>Table13[[#This Row],[Week]]&amp;", "&amp;Table13[[#This Row],[Month]]&amp;" "&amp;Table13[[#This Row],[FY]]</f>
        <v>Week 40, APR FY23</v>
      </c>
      <c r="I250" s="2" t="str">
        <f>Table13[[#This Row],[Month]]&amp;", "&amp;Table13[[#This Row],[FY]]</f>
        <v>APR, FY23</v>
      </c>
      <c r="J250" s="2" t="str">
        <f>"Q"&amp;Table13[[#This Row],[QTR]]&amp;", "&amp;Table13[[#This Row],[FY]]</f>
        <v>Q4, FY23</v>
      </c>
    </row>
    <row r="251" spans="1:10" x14ac:dyDescent="0.25">
      <c r="A251" s="1">
        <f t="shared" si="20"/>
        <v>45019</v>
      </c>
      <c r="B251" s="1">
        <f t="shared" si="20"/>
        <v>45025</v>
      </c>
      <c r="C251" s="2" t="s">
        <v>232</v>
      </c>
      <c r="D251" s="2" t="s">
        <v>231</v>
      </c>
      <c r="E251" s="2">
        <f t="shared" si="19"/>
        <v>4</v>
      </c>
      <c r="F251" s="2" t="s">
        <v>250</v>
      </c>
      <c r="G251" s="2" t="str">
        <f>Table13[[#This Row],[Month]]&amp;", "&amp;Table13[[#This Row],[FY]]</f>
        <v>APR, FY23</v>
      </c>
      <c r="H251" s="2" t="str">
        <f>Table13[[#This Row],[Week]]&amp;", "&amp;Table13[[#This Row],[Month]]&amp;" "&amp;Table13[[#This Row],[FY]]</f>
        <v>Week 41, APR FY23</v>
      </c>
      <c r="I251" s="2" t="str">
        <f>Table13[[#This Row],[Month]]&amp;", "&amp;Table13[[#This Row],[FY]]</f>
        <v>APR, FY23</v>
      </c>
      <c r="J251" s="2" t="str">
        <f>"Q"&amp;Table13[[#This Row],[QTR]]&amp;", "&amp;Table13[[#This Row],[FY]]</f>
        <v>Q4, FY23</v>
      </c>
    </row>
    <row r="252" spans="1:10" x14ac:dyDescent="0.25">
      <c r="A252" s="1">
        <f t="shared" si="20"/>
        <v>45026</v>
      </c>
      <c r="B252" s="1">
        <f t="shared" si="20"/>
        <v>45032</v>
      </c>
      <c r="C252" s="2" t="s">
        <v>233</v>
      </c>
      <c r="D252" s="2" t="s">
        <v>231</v>
      </c>
      <c r="E252" s="2">
        <f t="shared" si="19"/>
        <v>4</v>
      </c>
      <c r="F252" s="2" t="s">
        <v>250</v>
      </c>
      <c r="G252" s="2" t="str">
        <f>Table13[[#This Row],[Month]]&amp;", "&amp;Table13[[#This Row],[FY]]</f>
        <v>APR, FY23</v>
      </c>
      <c r="H252" s="2" t="str">
        <f>Table13[[#This Row],[Week]]&amp;", "&amp;Table13[[#This Row],[Month]]&amp;" "&amp;Table13[[#This Row],[FY]]</f>
        <v>Week 42, APR FY23</v>
      </c>
      <c r="I252" s="2" t="str">
        <f>Table13[[#This Row],[Month]]&amp;", "&amp;Table13[[#This Row],[FY]]</f>
        <v>APR, FY23</v>
      </c>
      <c r="J252" s="2" t="str">
        <f>"Q"&amp;Table13[[#This Row],[QTR]]&amp;", "&amp;Table13[[#This Row],[FY]]</f>
        <v>Q4, FY23</v>
      </c>
    </row>
    <row r="253" spans="1:10" x14ac:dyDescent="0.25">
      <c r="A253" s="1">
        <f t="shared" si="20"/>
        <v>45033</v>
      </c>
      <c r="B253" s="1">
        <f t="shared" si="20"/>
        <v>45039</v>
      </c>
      <c r="C253" s="2" t="s">
        <v>234</v>
      </c>
      <c r="D253" s="2" t="s">
        <v>231</v>
      </c>
      <c r="E253" s="2">
        <f t="shared" si="19"/>
        <v>4</v>
      </c>
      <c r="F253" s="2" t="s">
        <v>250</v>
      </c>
      <c r="G253" s="2" t="str">
        <f>Table13[[#This Row],[Month]]&amp;", "&amp;Table13[[#This Row],[FY]]</f>
        <v>APR, FY23</v>
      </c>
      <c r="H253" s="2" t="str">
        <f>Table13[[#This Row],[Week]]&amp;", "&amp;Table13[[#This Row],[Month]]&amp;" "&amp;Table13[[#This Row],[FY]]</f>
        <v>Week 43, APR FY23</v>
      </c>
      <c r="I253" s="2" t="str">
        <f>Table13[[#This Row],[Month]]&amp;", "&amp;Table13[[#This Row],[FY]]</f>
        <v>APR, FY23</v>
      </c>
      <c r="J253" s="2" t="str">
        <f>"Q"&amp;Table13[[#This Row],[QTR]]&amp;", "&amp;Table13[[#This Row],[FY]]</f>
        <v>Q4, FY23</v>
      </c>
    </row>
    <row r="254" spans="1:10" x14ac:dyDescent="0.25">
      <c r="A254" s="1">
        <f t="shared" si="20"/>
        <v>45040</v>
      </c>
      <c r="B254" s="1">
        <f t="shared" si="20"/>
        <v>45046</v>
      </c>
      <c r="C254" s="2" t="s">
        <v>235</v>
      </c>
      <c r="D254" s="2" t="s">
        <v>236</v>
      </c>
      <c r="E254" s="2">
        <f t="shared" si="19"/>
        <v>4</v>
      </c>
      <c r="F254" s="2" t="s">
        <v>250</v>
      </c>
      <c r="G254" s="2" t="str">
        <f>Table13[[#This Row],[Month]]&amp;", "&amp;Table13[[#This Row],[FY]]</f>
        <v>MAY, FY23</v>
      </c>
      <c r="H254" s="2" t="str">
        <f>Table13[[#This Row],[Week]]&amp;", "&amp;Table13[[#This Row],[Month]]&amp;" "&amp;Table13[[#This Row],[FY]]</f>
        <v>Week 44, MAY FY23</v>
      </c>
      <c r="I254" s="2" t="str">
        <f>Table13[[#This Row],[Month]]&amp;", "&amp;Table13[[#This Row],[FY]]</f>
        <v>MAY, FY23</v>
      </c>
      <c r="J254" s="2" t="str">
        <f>"Q"&amp;Table13[[#This Row],[QTR]]&amp;", "&amp;Table13[[#This Row],[FY]]</f>
        <v>Q4, FY23</v>
      </c>
    </row>
    <row r="255" spans="1:10" x14ac:dyDescent="0.25">
      <c r="A255" s="1">
        <f t="shared" si="20"/>
        <v>45047</v>
      </c>
      <c r="B255" s="1">
        <f t="shared" si="20"/>
        <v>45053</v>
      </c>
      <c r="C255" s="2" t="s">
        <v>237</v>
      </c>
      <c r="D255" s="2" t="s">
        <v>236</v>
      </c>
      <c r="E255" s="2">
        <f t="shared" si="19"/>
        <v>4</v>
      </c>
      <c r="F255" s="2" t="s">
        <v>250</v>
      </c>
      <c r="G255" s="2" t="str">
        <f>Table13[[#This Row],[Month]]&amp;", "&amp;Table13[[#This Row],[FY]]</f>
        <v>MAY, FY23</v>
      </c>
      <c r="H255" s="2" t="str">
        <f>Table13[[#This Row],[Week]]&amp;", "&amp;Table13[[#This Row],[Month]]&amp;" "&amp;Table13[[#This Row],[FY]]</f>
        <v>Week 45, MAY FY23</v>
      </c>
      <c r="I255" s="2" t="str">
        <f>Table13[[#This Row],[Month]]&amp;", "&amp;Table13[[#This Row],[FY]]</f>
        <v>MAY, FY23</v>
      </c>
      <c r="J255" s="2" t="str">
        <f>"Q"&amp;Table13[[#This Row],[QTR]]&amp;", "&amp;Table13[[#This Row],[FY]]</f>
        <v>Q4, FY23</v>
      </c>
    </row>
    <row r="256" spans="1:10" x14ac:dyDescent="0.25">
      <c r="A256" s="1">
        <f t="shared" ref="A256:B271" si="21">A255+7</f>
        <v>45054</v>
      </c>
      <c r="B256" s="1">
        <f t="shared" si="21"/>
        <v>45060</v>
      </c>
      <c r="C256" s="2" t="s">
        <v>238</v>
      </c>
      <c r="D256" s="2" t="s">
        <v>236</v>
      </c>
      <c r="E256" s="2">
        <f t="shared" si="19"/>
        <v>4</v>
      </c>
      <c r="F256" s="2" t="s">
        <v>250</v>
      </c>
      <c r="G256" s="2" t="str">
        <f>Table13[[#This Row],[Month]]&amp;", "&amp;Table13[[#This Row],[FY]]</f>
        <v>MAY, FY23</v>
      </c>
      <c r="H256" s="2" t="str">
        <f>Table13[[#This Row],[Week]]&amp;", "&amp;Table13[[#This Row],[Month]]&amp;" "&amp;Table13[[#This Row],[FY]]</f>
        <v>Week 46, MAY FY23</v>
      </c>
      <c r="I256" s="2" t="str">
        <f>Table13[[#This Row],[Month]]&amp;", "&amp;Table13[[#This Row],[FY]]</f>
        <v>MAY, FY23</v>
      </c>
      <c r="J256" s="2" t="str">
        <f>"Q"&amp;Table13[[#This Row],[QTR]]&amp;", "&amp;Table13[[#This Row],[FY]]</f>
        <v>Q4, FY23</v>
      </c>
    </row>
    <row r="257" spans="1:10" x14ac:dyDescent="0.25">
      <c r="A257" s="1">
        <f t="shared" si="21"/>
        <v>45061</v>
      </c>
      <c r="B257" s="1">
        <f t="shared" si="21"/>
        <v>45067</v>
      </c>
      <c r="C257" s="2" t="s">
        <v>239</v>
      </c>
      <c r="D257" s="2" t="s">
        <v>236</v>
      </c>
      <c r="E257" s="2">
        <f t="shared" si="19"/>
        <v>4</v>
      </c>
      <c r="F257" s="2" t="s">
        <v>250</v>
      </c>
      <c r="G257" s="2" t="str">
        <f>Table13[[#This Row],[Month]]&amp;", "&amp;Table13[[#This Row],[FY]]</f>
        <v>MAY, FY23</v>
      </c>
      <c r="H257" s="2" t="str">
        <f>Table13[[#This Row],[Week]]&amp;", "&amp;Table13[[#This Row],[Month]]&amp;" "&amp;Table13[[#This Row],[FY]]</f>
        <v>Week 47, MAY FY23</v>
      </c>
      <c r="I257" s="2" t="str">
        <f>Table13[[#This Row],[Month]]&amp;", "&amp;Table13[[#This Row],[FY]]</f>
        <v>MAY, FY23</v>
      </c>
      <c r="J257" s="2" t="str">
        <f>"Q"&amp;Table13[[#This Row],[QTR]]&amp;", "&amp;Table13[[#This Row],[FY]]</f>
        <v>Q4, FY23</v>
      </c>
    </row>
    <row r="258" spans="1:10" x14ac:dyDescent="0.25">
      <c r="A258" s="1">
        <f t="shared" si="21"/>
        <v>45068</v>
      </c>
      <c r="B258" s="1">
        <f t="shared" si="21"/>
        <v>45074</v>
      </c>
      <c r="C258" s="2" t="s">
        <v>240</v>
      </c>
      <c r="D258" s="2" t="s">
        <v>236</v>
      </c>
      <c r="E258" s="2">
        <f t="shared" si="19"/>
        <v>4</v>
      </c>
      <c r="F258" s="2" t="s">
        <v>250</v>
      </c>
      <c r="G258" s="2" t="str">
        <f>Table13[[#This Row],[Month]]&amp;", "&amp;Table13[[#This Row],[FY]]</f>
        <v>MAY, FY23</v>
      </c>
      <c r="H258" s="2" t="str">
        <f>Table13[[#This Row],[Week]]&amp;", "&amp;Table13[[#This Row],[Month]]&amp;" "&amp;Table13[[#This Row],[FY]]</f>
        <v>Week 48, MAY FY23</v>
      </c>
      <c r="I258" s="2" t="str">
        <f>Table13[[#This Row],[Month]]&amp;", "&amp;Table13[[#This Row],[FY]]</f>
        <v>MAY, FY23</v>
      </c>
      <c r="J258" s="2" t="str">
        <f>"Q"&amp;Table13[[#This Row],[QTR]]&amp;", "&amp;Table13[[#This Row],[FY]]</f>
        <v>Q4, FY23</v>
      </c>
    </row>
    <row r="259" spans="1:10" x14ac:dyDescent="0.25">
      <c r="A259" s="1">
        <f t="shared" si="21"/>
        <v>45075</v>
      </c>
      <c r="B259" s="1">
        <f t="shared" si="21"/>
        <v>45081</v>
      </c>
      <c r="C259" s="2" t="s">
        <v>241</v>
      </c>
      <c r="D259" s="2" t="s">
        <v>242</v>
      </c>
      <c r="E259" s="2">
        <f t="shared" si="19"/>
        <v>4</v>
      </c>
      <c r="F259" s="2" t="s">
        <v>250</v>
      </c>
      <c r="G259" s="2" t="str">
        <f>Table13[[#This Row],[Month]]&amp;", "&amp;Table13[[#This Row],[FY]]</f>
        <v>JUN, FY23</v>
      </c>
      <c r="H259" s="2" t="str">
        <f>Table13[[#This Row],[Week]]&amp;", "&amp;Table13[[#This Row],[Month]]&amp;" "&amp;Table13[[#This Row],[FY]]</f>
        <v>Week 49, JUN FY23</v>
      </c>
      <c r="I259" s="2" t="str">
        <f>Table13[[#This Row],[Month]]&amp;", "&amp;Table13[[#This Row],[FY]]</f>
        <v>JUN, FY23</v>
      </c>
      <c r="J259" s="2" t="str">
        <f>"Q"&amp;Table13[[#This Row],[QTR]]&amp;", "&amp;Table13[[#This Row],[FY]]</f>
        <v>Q4, FY23</v>
      </c>
    </row>
    <row r="260" spans="1:10" x14ac:dyDescent="0.25">
      <c r="A260" s="1">
        <f t="shared" si="21"/>
        <v>45082</v>
      </c>
      <c r="B260" s="1">
        <f t="shared" si="21"/>
        <v>45088</v>
      </c>
      <c r="C260" s="2" t="s">
        <v>243</v>
      </c>
      <c r="D260" s="2" t="s">
        <v>242</v>
      </c>
      <c r="E260" s="2">
        <f t="shared" si="19"/>
        <v>4</v>
      </c>
      <c r="F260" s="2" t="s">
        <v>250</v>
      </c>
      <c r="G260" s="2" t="str">
        <f>Table13[[#This Row],[Month]]&amp;", "&amp;Table13[[#This Row],[FY]]</f>
        <v>JUN, FY23</v>
      </c>
      <c r="H260" s="2" t="str">
        <f>Table13[[#This Row],[Week]]&amp;", "&amp;Table13[[#This Row],[Month]]&amp;" "&amp;Table13[[#This Row],[FY]]</f>
        <v>Week 50, JUN FY23</v>
      </c>
      <c r="I260" s="2" t="str">
        <f>Table13[[#This Row],[Month]]&amp;", "&amp;Table13[[#This Row],[FY]]</f>
        <v>JUN, FY23</v>
      </c>
      <c r="J260" s="2" t="str">
        <f>"Q"&amp;Table13[[#This Row],[QTR]]&amp;", "&amp;Table13[[#This Row],[FY]]</f>
        <v>Q4, FY23</v>
      </c>
    </row>
    <row r="261" spans="1:10" x14ac:dyDescent="0.25">
      <c r="A261" s="1">
        <f t="shared" si="21"/>
        <v>45089</v>
      </c>
      <c r="B261" s="1">
        <f t="shared" si="21"/>
        <v>45095</v>
      </c>
      <c r="C261" s="2" t="s">
        <v>244</v>
      </c>
      <c r="D261" s="2" t="s">
        <v>242</v>
      </c>
      <c r="E261" s="2">
        <f t="shared" si="19"/>
        <v>4</v>
      </c>
      <c r="F261" s="2" t="s">
        <v>250</v>
      </c>
      <c r="G261" s="2" t="str">
        <f>Table13[[#This Row],[Month]]&amp;", "&amp;Table13[[#This Row],[FY]]</f>
        <v>JUN, FY23</v>
      </c>
      <c r="H261" s="2" t="str">
        <f>Table13[[#This Row],[Week]]&amp;", "&amp;Table13[[#This Row],[Month]]&amp;" "&amp;Table13[[#This Row],[FY]]</f>
        <v>Week 51, JUN FY23</v>
      </c>
      <c r="I261" s="2" t="str">
        <f>Table13[[#This Row],[Month]]&amp;", "&amp;Table13[[#This Row],[FY]]</f>
        <v>JUN, FY23</v>
      </c>
      <c r="J261" s="2" t="str">
        <f>"Q"&amp;Table13[[#This Row],[QTR]]&amp;", "&amp;Table13[[#This Row],[FY]]</f>
        <v>Q4, FY23</v>
      </c>
    </row>
    <row r="262" spans="1:10" x14ac:dyDescent="0.25">
      <c r="A262" s="1">
        <f t="shared" si="21"/>
        <v>45096</v>
      </c>
      <c r="B262" s="1">
        <f t="shared" si="21"/>
        <v>45102</v>
      </c>
      <c r="C262" s="2" t="s">
        <v>245</v>
      </c>
      <c r="D262" s="2" t="s">
        <v>242</v>
      </c>
      <c r="E262" s="2">
        <f t="shared" si="19"/>
        <v>4</v>
      </c>
      <c r="F262" s="2" t="s">
        <v>250</v>
      </c>
      <c r="G262" s="2" t="str">
        <f>Table13[[#This Row],[Month]]&amp;", "&amp;Table13[[#This Row],[FY]]</f>
        <v>JUN, FY23</v>
      </c>
      <c r="H262" s="2" t="str">
        <f>Table13[[#This Row],[Week]]&amp;", "&amp;Table13[[#This Row],[Month]]&amp;" "&amp;Table13[[#This Row],[FY]]</f>
        <v>Week 52, JUN FY23</v>
      </c>
      <c r="I262" s="2" t="str">
        <f>Table13[[#This Row],[Month]]&amp;", "&amp;Table13[[#This Row],[FY]]</f>
        <v>JUN, FY23</v>
      </c>
      <c r="J262" s="2" t="str">
        <f>"Q"&amp;Table13[[#This Row],[QTR]]&amp;", "&amp;Table13[[#This Row],[FY]]</f>
        <v>Q4, FY23</v>
      </c>
    </row>
    <row r="263" spans="1:10" x14ac:dyDescent="0.25">
      <c r="A263" s="1">
        <f t="shared" si="21"/>
        <v>45103</v>
      </c>
      <c r="B263" s="1">
        <f t="shared" si="21"/>
        <v>45109</v>
      </c>
      <c r="C263" s="2" t="s">
        <v>181</v>
      </c>
      <c r="D263" s="2" t="s">
        <v>182</v>
      </c>
      <c r="E263" s="2">
        <v>1</v>
      </c>
      <c r="F263" s="2" t="s">
        <v>251</v>
      </c>
      <c r="G263" s="2" t="str">
        <f>Table13[[#This Row],[Month]]&amp;", "&amp;Table13[[#This Row],[FY]]</f>
        <v>JUL, FY24</v>
      </c>
      <c r="H263" s="2" t="str">
        <f>Table13[[#This Row],[Week]]&amp;", "&amp;Table13[[#This Row],[Month]]&amp;" "&amp;Table13[[#This Row],[FY]]</f>
        <v>Week 1, JUL FY24</v>
      </c>
      <c r="I263" s="2" t="str">
        <f>Table13[[#This Row],[Month]]&amp;", "&amp;Table13[[#This Row],[FY]]</f>
        <v>JUL, FY24</v>
      </c>
      <c r="J263" s="2" t="str">
        <f>"Q"&amp;Table13[[#This Row],[QTR]]&amp;", "&amp;Table13[[#This Row],[FY]]</f>
        <v>Q1, FY24</v>
      </c>
    </row>
    <row r="264" spans="1:10" x14ac:dyDescent="0.25">
      <c r="A264" s="1">
        <f t="shared" si="21"/>
        <v>45110</v>
      </c>
      <c r="B264" s="1">
        <f t="shared" si="21"/>
        <v>45116</v>
      </c>
      <c r="C264" s="2" t="s">
        <v>184</v>
      </c>
      <c r="D264" s="2" t="s">
        <v>182</v>
      </c>
      <c r="E264" s="2">
        <v>1</v>
      </c>
      <c r="F264" s="2" t="s">
        <v>251</v>
      </c>
      <c r="G264" s="2" t="str">
        <f>Table13[[#This Row],[Month]]&amp;", "&amp;Table13[[#This Row],[FY]]</f>
        <v>JUL, FY24</v>
      </c>
      <c r="H264" s="2" t="str">
        <f>Table13[[#This Row],[Week]]&amp;", "&amp;Table13[[#This Row],[Month]]&amp;" "&amp;Table13[[#This Row],[FY]]</f>
        <v>Week 2, JUL FY24</v>
      </c>
      <c r="I264" s="2" t="str">
        <f>Table13[[#This Row],[Month]]&amp;", "&amp;Table13[[#This Row],[FY]]</f>
        <v>JUL, FY24</v>
      </c>
      <c r="J264" s="2" t="str">
        <f>"Q"&amp;Table13[[#This Row],[QTR]]&amp;", "&amp;Table13[[#This Row],[FY]]</f>
        <v>Q1, FY24</v>
      </c>
    </row>
    <row r="265" spans="1:10" x14ac:dyDescent="0.25">
      <c r="A265" s="1">
        <f t="shared" si="21"/>
        <v>45117</v>
      </c>
      <c r="B265" s="1">
        <f t="shared" si="21"/>
        <v>45123</v>
      </c>
      <c r="C265" s="2" t="s">
        <v>185</v>
      </c>
      <c r="D265" s="2" t="s">
        <v>182</v>
      </c>
      <c r="E265" s="2">
        <v>1</v>
      </c>
      <c r="F265" s="2" t="s">
        <v>251</v>
      </c>
      <c r="G265" s="2" t="str">
        <f>Table13[[#This Row],[Month]]&amp;", "&amp;Table13[[#This Row],[FY]]</f>
        <v>JUL, FY24</v>
      </c>
      <c r="H265" s="2" t="str">
        <f>Table13[[#This Row],[Week]]&amp;", "&amp;Table13[[#This Row],[Month]]&amp;" "&amp;Table13[[#This Row],[FY]]</f>
        <v>Week 3, JUL FY24</v>
      </c>
      <c r="I265" s="2" t="str">
        <f>Table13[[#This Row],[Month]]&amp;", "&amp;Table13[[#This Row],[FY]]</f>
        <v>JUL, FY24</v>
      </c>
      <c r="J265" s="2" t="str">
        <f>"Q"&amp;Table13[[#This Row],[QTR]]&amp;", "&amp;Table13[[#This Row],[FY]]</f>
        <v>Q1, FY24</v>
      </c>
    </row>
    <row r="266" spans="1:10" x14ac:dyDescent="0.25">
      <c r="A266" s="1">
        <f t="shared" si="21"/>
        <v>45124</v>
      </c>
      <c r="B266" s="1">
        <f t="shared" si="21"/>
        <v>45130</v>
      </c>
      <c r="C266" s="2" t="s">
        <v>186</v>
      </c>
      <c r="D266" s="2" t="s">
        <v>182</v>
      </c>
      <c r="E266" s="2">
        <v>1</v>
      </c>
      <c r="F266" s="2" t="s">
        <v>251</v>
      </c>
      <c r="G266" s="2" t="str">
        <f>Table13[[#This Row],[Month]]&amp;", "&amp;Table13[[#This Row],[FY]]</f>
        <v>JUL, FY24</v>
      </c>
      <c r="H266" s="2" t="str">
        <f>Table13[[#This Row],[Week]]&amp;", "&amp;Table13[[#This Row],[Month]]&amp;" "&amp;Table13[[#This Row],[FY]]</f>
        <v>Week 4, JUL FY24</v>
      </c>
      <c r="I266" s="2" t="str">
        <f>Table13[[#This Row],[Month]]&amp;", "&amp;Table13[[#This Row],[FY]]</f>
        <v>JUL, FY24</v>
      </c>
      <c r="J266" s="2" t="str">
        <f>"Q"&amp;Table13[[#This Row],[QTR]]&amp;", "&amp;Table13[[#This Row],[FY]]</f>
        <v>Q1, FY24</v>
      </c>
    </row>
    <row r="267" spans="1:10" x14ac:dyDescent="0.25">
      <c r="A267" s="1">
        <f t="shared" si="21"/>
        <v>45131</v>
      </c>
      <c r="B267" s="1">
        <f t="shared" si="21"/>
        <v>45137</v>
      </c>
      <c r="C267" s="2" t="s">
        <v>187</v>
      </c>
      <c r="D267" s="2" t="s">
        <v>188</v>
      </c>
      <c r="E267" s="2">
        <v>1</v>
      </c>
      <c r="F267" s="2" t="s">
        <v>251</v>
      </c>
      <c r="G267" s="2" t="str">
        <f>Table13[[#This Row],[Month]]&amp;", "&amp;Table13[[#This Row],[FY]]</f>
        <v>AUG, FY24</v>
      </c>
      <c r="H267" s="2" t="str">
        <f>Table13[[#This Row],[Week]]&amp;", "&amp;Table13[[#This Row],[Month]]&amp;" "&amp;Table13[[#This Row],[FY]]</f>
        <v>Week 5, AUG FY24</v>
      </c>
      <c r="I267" s="2" t="str">
        <f>Table13[[#This Row],[Month]]&amp;", "&amp;Table13[[#This Row],[FY]]</f>
        <v>AUG, FY24</v>
      </c>
      <c r="J267" s="2" t="str">
        <f>"Q"&amp;Table13[[#This Row],[QTR]]&amp;", "&amp;Table13[[#This Row],[FY]]</f>
        <v>Q1, FY24</v>
      </c>
    </row>
    <row r="268" spans="1:10" x14ac:dyDescent="0.25">
      <c r="A268" s="1">
        <f t="shared" si="21"/>
        <v>45138</v>
      </c>
      <c r="B268" s="1">
        <f t="shared" si="21"/>
        <v>45144</v>
      </c>
      <c r="C268" s="2" t="s">
        <v>189</v>
      </c>
      <c r="D268" s="2" t="s">
        <v>188</v>
      </c>
      <c r="E268" s="2">
        <v>1</v>
      </c>
      <c r="F268" s="2" t="s">
        <v>251</v>
      </c>
      <c r="G268" s="2" t="str">
        <f>Table13[[#This Row],[Month]]&amp;", "&amp;Table13[[#This Row],[FY]]</f>
        <v>AUG, FY24</v>
      </c>
      <c r="H268" s="2" t="str">
        <f>Table13[[#This Row],[Week]]&amp;", "&amp;Table13[[#This Row],[Month]]&amp;" "&amp;Table13[[#This Row],[FY]]</f>
        <v>Week 6, AUG FY24</v>
      </c>
      <c r="I268" s="2" t="str">
        <f>Table13[[#This Row],[Month]]&amp;", "&amp;Table13[[#This Row],[FY]]</f>
        <v>AUG, FY24</v>
      </c>
      <c r="J268" s="2" t="str">
        <f>"Q"&amp;Table13[[#This Row],[QTR]]&amp;", "&amp;Table13[[#This Row],[FY]]</f>
        <v>Q1, FY24</v>
      </c>
    </row>
    <row r="269" spans="1:10" x14ac:dyDescent="0.25">
      <c r="A269" s="1">
        <f t="shared" si="21"/>
        <v>45145</v>
      </c>
      <c r="B269" s="1">
        <f t="shared" si="21"/>
        <v>45151</v>
      </c>
      <c r="C269" s="2" t="s">
        <v>190</v>
      </c>
      <c r="D269" s="2" t="s">
        <v>188</v>
      </c>
      <c r="E269" s="2">
        <v>1</v>
      </c>
      <c r="F269" s="2" t="s">
        <v>251</v>
      </c>
      <c r="G269" s="2" t="str">
        <f>Table13[[#This Row],[Month]]&amp;", "&amp;Table13[[#This Row],[FY]]</f>
        <v>AUG, FY24</v>
      </c>
      <c r="H269" s="2" t="str">
        <f>Table13[[#This Row],[Week]]&amp;", "&amp;Table13[[#This Row],[Month]]&amp;" "&amp;Table13[[#This Row],[FY]]</f>
        <v>Week 7, AUG FY24</v>
      </c>
      <c r="I269" s="2" t="str">
        <f>Table13[[#This Row],[Month]]&amp;", "&amp;Table13[[#This Row],[FY]]</f>
        <v>AUG, FY24</v>
      </c>
      <c r="J269" s="2" t="str">
        <f>"Q"&amp;Table13[[#This Row],[QTR]]&amp;", "&amp;Table13[[#This Row],[FY]]</f>
        <v>Q1, FY24</v>
      </c>
    </row>
    <row r="270" spans="1:10" x14ac:dyDescent="0.25">
      <c r="A270" s="1">
        <f t="shared" si="21"/>
        <v>45152</v>
      </c>
      <c r="B270" s="1">
        <f t="shared" si="21"/>
        <v>45158</v>
      </c>
      <c r="C270" s="2" t="s">
        <v>191</v>
      </c>
      <c r="D270" s="2" t="s">
        <v>188</v>
      </c>
      <c r="E270" s="2">
        <v>1</v>
      </c>
      <c r="F270" s="2" t="s">
        <v>251</v>
      </c>
      <c r="G270" s="2" t="str">
        <f>Table13[[#This Row],[Month]]&amp;", "&amp;Table13[[#This Row],[FY]]</f>
        <v>AUG, FY24</v>
      </c>
      <c r="H270" s="2" t="str">
        <f>Table13[[#This Row],[Week]]&amp;", "&amp;Table13[[#This Row],[Month]]&amp;" "&amp;Table13[[#This Row],[FY]]</f>
        <v>Week 8, AUG FY24</v>
      </c>
      <c r="I270" s="2" t="str">
        <f>Table13[[#This Row],[Month]]&amp;", "&amp;Table13[[#This Row],[FY]]</f>
        <v>AUG, FY24</v>
      </c>
      <c r="J270" s="2" t="str">
        <f>"Q"&amp;Table13[[#This Row],[QTR]]&amp;", "&amp;Table13[[#This Row],[FY]]</f>
        <v>Q1, FY24</v>
      </c>
    </row>
    <row r="271" spans="1:10" x14ac:dyDescent="0.25">
      <c r="A271" s="1">
        <f t="shared" si="21"/>
        <v>45159</v>
      </c>
      <c r="B271" s="1">
        <f t="shared" si="21"/>
        <v>45165</v>
      </c>
      <c r="C271" s="2" t="s">
        <v>192</v>
      </c>
      <c r="D271" s="2" t="s">
        <v>188</v>
      </c>
      <c r="E271" s="2">
        <v>1</v>
      </c>
      <c r="F271" s="2" t="s">
        <v>251</v>
      </c>
      <c r="G271" s="2" t="str">
        <f>Table13[[#This Row],[Month]]&amp;", "&amp;Table13[[#This Row],[FY]]</f>
        <v>AUG, FY24</v>
      </c>
      <c r="H271" s="2" t="str">
        <f>Table13[[#This Row],[Week]]&amp;", "&amp;Table13[[#This Row],[Month]]&amp;" "&amp;Table13[[#This Row],[FY]]</f>
        <v>Week 9, AUG FY24</v>
      </c>
      <c r="I271" s="2" t="str">
        <f>Table13[[#This Row],[Month]]&amp;", "&amp;Table13[[#This Row],[FY]]</f>
        <v>AUG, FY24</v>
      </c>
      <c r="J271" s="2" t="str">
        <f>"Q"&amp;Table13[[#This Row],[QTR]]&amp;", "&amp;Table13[[#This Row],[FY]]</f>
        <v>Q1, FY24</v>
      </c>
    </row>
    <row r="272" spans="1:10" x14ac:dyDescent="0.25">
      <c r="A272" s="1">
        <f t="shared" ref="A272:B287" si="22">A271+7</f>
        <v>45166</v>
      </c>
      <c r="B272" s="1">
        <f t="shared" si="22"/>
        <v>45172</v>
      </c>
      <c r="C272" s="2" t="s">
        <v>193</v>
      </c>
      <c r="D272" s="2" t="s">
        <v>194</v>
      </c>
      <c r="E272" s="2">
        <v>1</v>
      </c>
      <c r="F272" s="2" t="s">
        <v>251</v>
      </c>
      <c r="G272" s="2" t="str">
        <f>Table13[[#This Row],[Month]]&amp;", "&amp;Table13[[#This Row],[FY]]</f>
        <v>SEP, FY24</v>
      </c>
      <c r="H272" s="2" t="str">
        <f>Table13[[#This Row],[Week]]&amp;", "&amp;Table13[[#This Row],[Month]]&amp;" "&amp;Table13[[#This Row],[FY]]</f>
        <v>Week 10, SEP FY24</v>
      </c>
      <c r="I272" s="2" t="str">
        <f>Table13[[#This Row],[Month]]&amp;", "&amp;Table13[[#This Row],[FY]]</f>
        <v>SEP, FY24</v>
      </c>
      <c r="J272" s="2" t="str">
        <f>"Q"&amp;Table13[[#This Row],[QTR]]&amp;", "&amp;Table13[[#This Row],[FY]]</f>
        <v>Q1, FY24</v>
      </c>
    </row>
    <row r="273" spans="1:10" x14ac:dyDescent="0.25">
      <c r="A273" s="1">
        <f t="shared" si="22"/>
        <v>45173</v>
      </c>
      <c r="B273" s="1">
        <f t="shared" si="22"/>
        <v>45179</v>
      </c>
      <c r="C273" s="2" t="s">
        <v>195</v>
      </c>
      <c r="D273" s="2" t="s">
        <v>194</v>
      </c>
      <c r="E273" s="2">
        <v>1</v>
      </c>
      <c r="F273" s="2" t="s">
        <v>251</v>
      </c>
      <c r="G273" s="2" t="str">
        <f>Table13[[#This Row],[Month]]&amp;", "&amp;Table13[[#This Row],[FY]]</f>
        <v>SEP, FY24</v>
      </c>
      <c r="H273" s="2" t="str">
        <f>Table13[[#This Row],[Week]]&amp;", "&amp;Table13[[#This Row],[Month]]&amp;" "&amp;Table13[[#This Row],[FY]]</f>
        <v>Week 11, SEP FY24</v>
      </c>
      <c r="I273" s="2" t="str">
        <f>Table13[[#This Row],[Month]]&amp;", "&amp;Table13[[#This Row],[FY]]</f>
        <v>SEP, FY24</v>
      </c>
      <c r="J273" s="2" t="str">
        <f>"Q"&amp;Table13[[#This Row],[QTR]]&amp;", "&amp;Table13[[#This Row],[FY]]</f>
        <v>Q1, FY24</v>
      </c>
    </row>
    <row r="274" spans="1:10" x14ac:dyDescent="0.25">
      <c r="A274" s="1">
        <f t="shared" si="22"/>
        <v>45180</v>
      </c>
      <c r="B274" s="1">
        <f t="shared" si="22"/>
        <v>45186</v>
      </c>
      <c r="C274" s="2" t="s">
        <v>196</v>
      </c>
      <c r="D274" s="2" t="s">
        <v>194</v>
      </c>
      <c r="E274" s="2">
        <v>1</v>
      </c>
      <c r="F274" s="2" t="s">
        <v>251</v>
      </c>
      <c r="G274" s="2" t="str">
        <f>Table13[[#This Row],[Month]]&amp;", "&amp;Table13[[#This Row],[FY]]</f>
        <v>SEP, FY24</v>
      </c>
      <c r="H274" s="2" t="str">
        <f>Table13[[#This Row],[Week]]&amp;", "&amp;Table13[[#This Row],[Month]]&amp;" "&amp;Table13[[#This Row],[FY]]</f>
        <v>Week 12, SEP FY24</v>
      </c>
      <c r="I274" s="2" t="str">
        <f>Table13[[#This Row],[Month]]&amp;", "&amp;Table13[[#This Row],[FY]]</f>
        <v>SEP, FY24</v>
      </c>
      <c r="J274" s="2" t="str">
        <f>"Q"&amp;Table13[[#This Row],[QTR]]&amp;", "&amp;Table13[[#This Row],[FY]]</f>
        <v>Q1, FY24</v>
      </c>
    </row>
    <row r="275" spans="1:10" x14ac:dyDescent="0.25">
      <c r="A275" s="1">
        <f t="shared" si="22"/>
        <v>45187</v>
      </c>
      <c r="B275" s="1">
        <f t="shared" si="22"/>
        <v>45193</v>
      </c>
      <c r="C275" s="2" t="s">
        <v>197</v>
      </c>
      <c r="D275" s="2" t="s">
        <v>194</v>
      </c>
      <c r="E275" s="2">
        <v>1</v>
      </c>
      <c r="F275" s="2" t="s">
        <v>251</v>
      </c>
      <c r="G275" s="2" t="str">
        <f>Table13[[#This Row],[Month]]&amp;", "&amp;Table13[[#This Row],[FY]]</f>
        <v>SEP, FY24</v>
      </c>
      <c r="H275" s="2" t="str">
        <f>Table13[[#This Row],[Week]]&amp;", "&amp;Table13[[#This Row],[Month]]&amp;" "&amp;Table13[[#This Row],[FY]]</f>
        <v>Week 13, SEP FY24</v>
      </c>
      <c r="I275" s="2" t="str">
        <f>Table13[[#This Row],[Month]]&amp;", "&amp;Table13[[#This Row],[FY]]</f>
        <v>SEP, FY24</v>
      </c>
      <c r="J275" s="2" t="str">
        <f>"Q"&amp;Table13[[#This Row],[QTR]]&amp;", "&amp;Table13[[#This Row],[FY]]</f>
        <v>Q1, FY24</v>
      </c>
    </row>
    <row r="276" spans="1:10" x14ac:dyDescent="0.25">
      <c r="A276" s="1">
        <f t="shared" si="22"/>
        <v>45194</v>
      </c>
      <c r="B276" s="1">
        <f t="shared" si="22"/>
        <v>45200</v>
      </c>
      <c r="C276" s="2" t="s">
        <v>198</v>
      </c>
      <c r="D276" s="2" t="s">
        <v>199</v>
      </c>
      <c r="E276" s="2">
        <f>E263+1</f>
        <v>2</v>
      </c>
      <c r="F276" s="2" t="s">
        <v>251</v>
      </c>
      <c r="G276" s="2" t="str">
        <f>Table13[[#This Row],[Month]]&amp;", "&amp;Table13[[#This Row],[FY]]</f>
        <v>OCT, FY24</v>
      </c>
      <c r="H276" s="2" t="str">
        <f>Table13[[#This Row],[Week]]&amp;", "&amp;Table13[[#This Row],[Month]]&amp;" "&amp;Table13[[#This Row],[FY]]</f>
        <v>Week 14, OCT FY24</v>
      </c>
      <c r="I276" s="2" t="str">
        <f>Table13[[#This Row],[Month]]&amp;", "&amp;Table13[[#This Row],[FY]]</f>
        <v>OCT, FY24</v>
      </c>
      <c r="J276" s="2" t="str">
        <f>"Q"&amp;Table13[[#This Row],[QTR]]&amp;", "&amp;Table13[[#This Row],[FY]]</f>
        <v>Q2, FY24</v>
      </c>
    </row>
    <row r="277" spans="1:10" x14ac:dyDescent="0.25">
      <c r="A277" s="1">
        <f t="shared" si="22"/>
        <v>45201</v>
      </c>
      <c r="B277" s="1">
        <f t="shared" si="22"/>
        <v>45207</v>
      </c>
      <c r="C277" s="2" t="s">
        <v>200</v>
      </c>
      <c r="D277" s="2" t="s">
        <v>199</v>
      </c>
      <c r="E277" s="2">
        <f t="shared" ref="E277:E314" si="23">E264+1</f>
        <v>2</v>
      </c>
      <c r="F277" s="2" t="s">
        <v>251</v>
      </c>
      <c r="G277" s="2" t="str">
        <f>Table13[[#This Row],[Month]]&amp;", "&amp;Table13[[#This Row],[FY]]</f>
        <v>OCT, FY24</v>
      </c>
      <c r="H277" s="2" t="str">
        <f>Table13[[#This Row],[Week]]&amp;", "&amp;Table13[[#This Row],[Month]]&amp;" "&amp;Table13[[#This Row],[FY]]</f>
        <v>Week 15, OCT FY24</v>
      </c>
      <c r="I277" s="2" t="str">
        <f>Table13[[#This Row],[Month]]&amp;", "&amp;Table13[[#This Row],[FY]]</f>
        <v>OCT, FY24</v>
      </c>
      <c r="J277" s="2" t="str">
        <f>"Q"&amp;Table13[[#This Row],[QTR]]&amp;", "&amp;Table13[[#This Row],[FY]]</f>
        <v>Q2, FY24</v>
      </c>
    </row>
    <row r="278" spans="1:10" x14ac:dyDescent="0.25">
      <c r="A278" s="1">
        <f t="shared" si="22"/>
        <v>45208</v>
      </c>
      <c r="B278" s="1">
        <f t="shared" si="22"/>
        <v>45214</v>
      </c>
      <c r="C278" s="2" t="s">
        <v>201</v>
      </c>
      <c r="D278" s="2" t="s">
        <v>199</v>
      </c>
      <c r="E278" s="2">
        <f t="shared" si="23"/>
        <v>2</v>
      </c>
      <c r="F278" s="2" t="s">
        <v>251</v>
      </c>
      <c r="G278" s="2" t="str">
        <f>Table13[[#This Row],[Month]]&amp;", "&amp;Table13[[#This Row],[FY]]</f>
        <v>OCT, FY24</v>
      </c>
      <c r="H278" s="2" t="str">
        <f>Table13[[#This Row],[Week]]&amp;", "&amp;Table13[[#This Row],[Month]]&amp;" "&amp;Table13[[#This Row],[FY]]</f>
        <v>Week 16, OCT FY24</v>
      </c>
      <c r="I278" s="2" t="str">
        <f>Table13[[#This Row],[Month]]&amp;", "&amp;Table13[[#This Row],[FY]]</f>
        <v>OCT, FY24</v>
      </c>
      <c r="J278" s="2" t="str">
        <f>"Q"&amp;Table13[[#This Row],[QTR]]&amp;", "&amp;Table13[[#This Row],[FY]]</f>
        <v>Q2, FY24</v>
      </c>
    </row>
    <row r="279" spans="1:10" x14ac:dyDescent="0.25">
      <c r="A279" s="1">
        <f t="shared" si="22"/>
        <v>45215</v>
      </c>
      <c r="B279" s="1">
        <f t="shared" si="22"/>
        <v>45221</v>
      </c>
      <c r="C279" s="2" t="s">
        <v>202</v>
      </c>
      <c r="D279" s="2" t="s">
        <v>199</v>
      </c>
      <c r="E279" s="2">
        <f t="shared" si="23"/>
        <v>2</v>
      </c>
      <c r="F279" s="2" t="s">
        <v>251</v>
      </c>
      <c r="G279" s="2" t="str">
        <f>Table13[[#This Row],[Month]]&amp;", "&amp;Table13[[#This Row],[FY]]</f>
        <v>OCT, FY24</v>
      </c>
      <c r="H279" s="2" t="str">
        <f>Table13[[#This Row],[Week]]&amp;", "&amp;Table13[[#This Row],[Month]]&amp;" "&amp;Table13[[#This Row],[FY]]</f>
        <v>Week 17, OCT FY24</v>
      </c>
      <c r="I279" s="2" t="str">
        <f>Table13[[#This Row],[Month]]&amp;", "&amp;Table13[[#This Row],[FY]]</f>
        <v>OCT, FY24</v>
      </c>
      <c r="J279" s="2" t="str">
        <f>"Q"&amp;Table13[[#This Row],[QTR]]&amp;", "&amp;Table13[[#This Row],[FY]]</f>
        <v>Q2, FY24</v>
      </c>
    </row>
    <row r="280" spans="1:10" x14ac:dyDescent="0.25">
      <c r="A280" s="1">
        <f t="shared" si="22"/>
        <v>45222</v>
      </c>
      <c r="B280" s="1">
        <f t="shared" si="22"/>
        <v>45228</v>
      </c>
      <c r="C280" s="2" t="s">
        <v>203</v>
      </c>
      <c r="D280" s="2" t="s">
        <v>204</v>
      </c>
      <c r="E280" s="2">
        <f t="shared" si="23"/>
        <v>2</v>
      </c>
      <c r="F280" s="2" t="s">
        <v>251</v>
      </c>
      <c r="G280" s="2" t="str">
        <f>Table13[[#This Row],[Month]]&amp;", "&amp;Table13[[#This Row],[FY]]</f>
        <v>NOV, FY24</v>
      </c>
      <c r="H280" s="2" t="str">
        <f>Table13[[#This Row],[Week]]&amp;", "&amp;Table13[[#This Row],[Month]]&amp;" "&amp;Table13[[#This Row],[FY]]</f>
        <v>Week 18, NOV FY24</v>
      </c>
      <c r="I280" s="2" t="str">
        <f>Table13[[#This Row],[Month]]&amp;", "&amp;Table13[[#This Row],[FY]]</f>
        <v>NOV, FY24</v>
      </c>
      <c r="J280" s="2" t="str">
        <f>"Q"&amp;Table13[[#This Row],[QTR]]&amp;", "&amp;Table13[[#This Row],[FY]]</f>
        <v>Q2, FY24</v>
      </c>
    </row>
    <row r="281" spans="1:10" x14ac:dyDescent="0.25">
      <c r="A281" s="1">
        <f t="shared" si="22"/>
        <v>45229</v>
      </c>
      <c r="B281" s="1">
        <f t="shared" si="22"/>
        <v>45235</v>
      </c>
      <c r="C281" s="2" t="s">
        <v>205</v>
      </c>
      <c r="D281" s="2" t="s">
        <v>204</v>
      </c>
      <c r="E281" s="2">
        <f t="shared" si="23"/>
        <v>2</v>
      </c>
      <c r="F281" s="2" t="s">
        <v>251</v>
      </c>
      <c r="G281" s="2" t="str">
        <f>Table13[[#This Row],[Month]]&amp;", "&amp;Table13[[#This Row],[FY]]</f>
        <v>NOV, FY24</v>
      </c>
      <c r="H281" s="2" t="str">
        <f>Table13[[#This Row],[Week]]&amp;", "&amp;Table13[[#This Row],[Month]]&amp;" "&amp;Table13[[#This Row],[FY]]</f>
        <v>Week 19, NOV FY24</v>
      </c>
      <c r="I281" s="2" t="str">
        <f>Table13[[#This Row],[Month]]&amp;", "&amp;Table13[[#This Row],[FY]]</f>
        <v>NOV, FY24</v>
      </c>
      <c r="J281" s="2" t="str">
        <f>"Q"&amp;Table13[[#This Row],[QTR]]&amp;", "&amp;Table13[[#This Row],[FY]]</f>
        <v>Q2, FY24</v>
      </c>
    </row>
    <row r="282" spans="1:10" x14ac:dyDescent="0.25">
      <c r="A282" s="1">
        <f t="shared" si="22"/>
        <v>45236</v>
      </c>
      <c r="B282" s="1">
        <f t="shared" si="22"/>
        <v>45242</v>
      </c>
      <c r="C282" s="2" t="s">
        <v>206</v>
      </c>
      <c r="D282" s="2" t="s">
        <v>204</v>
      </c>
      <c r="E282" s="2">
        <f t="shared" si="23"/>
        <v>2</v>
      </c>
      <c r="F282" s="2" t="s">
        <v>251</v>
      </c>
      <c r="G282" s="2" t="str">
        <f>Table13[[#This Row],[Month]]&amp;", "&amp;Table13[[#This Row],[FY]]</f>
        <v>NOV, FY24</v>
      </c>
      <c r="H282" s="2" t="str">
        <f>Table13[[#This Row],[Week]]&amp;", "&amp;Table13[[#This Row],[Month]]&amp;" "&amp;Table13[[#This Row],[FY]]</f>
        <v>Week 20, NOV FY24</v>
      </c>
      <c r="I282" s="2" t="str">
        <f>Table13[[#This Row],[Month]]&amp;", "&amp;Table13[[#This Row],[FY]]</f>
        <v>NOV, FY24</v>
      </c>
      <c r="J282" s="2" t="str">
        <f>"Q"&amp;Table13[[#This Row],[QTR]]&amp;", "&amp;Table13[[#This Row],[FY]]</f>
        <v>Q2, FY24</v>
      </c>
    </row>
    <row r="283" spans="1:10" x14ac:dyDescent="0.25">
      <c r="A283" s="1">
        <f t="shared" si="22"/>
        <v>45243</v>
      </c>
      <c r="B283" s="1">
        <f t="shared" si="22"/>
        <v>45249</v>
      </c>
      <c r="C283" s="2" t="s">
        <v>207</v>
      </c>
      <c r="D283" s="2" t="s">
        <v>204</v>
      </c>
      <c r="E283" s="2">
        <f t="shared" si="23"/>
        <v>2</v>
      </c>
      <c r="F283" s="2" t="s">
        <v>251</v>
      </c>
      <c r="G283" s="2" t="str">
        <f>Table13[[#This Row],[Month]]&amp;", "&amp;Table13[[#This Row],[FY]]</f>
        <v>NOV, FY24</v>
      </c>
      <c r="H283" s="2" t="str">
        <f>Table13[[#This Row],[Week]]&amp;", "&amp;Table13[[#This Row],[Month]]&amp;" "&amp;Table13[[#This Row],[FY]]</f>
        <v>Week 21, NOV FY24</v>
      </c>
      <c r="I283" s="2" t="str">
        <f>Table13[[#This Row],[Month]]&amp;", "&amp;Table13[[#This Row],[FY]]</f>
        <v>NOV, FY24</v>
      </c>
      <c r="J283" s="2" t="str">
        <f>"Q"&amp;Table13[[#This Row],[QTR]]&amp;", "&amp;Table13[[#This Row],[FY]]</f>
        <v>Q2, FY24</v>
      </c>
    </row>
    <row r="284" spans="1:10" x14ac:dyDescent="0.25">
      <c r="A284" s="1">
        <f t="shared" si="22"/>
        <v>45250</v>
      </c>
      <c r="B284" s="1">
        <f t="shared" si="22"/>
        <v>45256</v>
      </c>
      <c r="C284" s="2" t="s">
        <v>208</v>
      </c>
      <c r="D284" s="2" t="s">
        <v>204</v>
      </c>
      <c r="E284" s="2">
        <f t="shared" si="23"/>
        <v>2</v>
      </c>
      <c r="F284" s="2" t="s">
        <v>251</v>
      </c>
      <c r="G284" s="2" t="str">
        <f>Table13[[#This Row],[Month]]&amp;", "&amp;Table13[[#This Row],[FY]]</f>
        <v>NOV, FY24</v>
      </c>
      <c r="H284" s="2" t="str">
        <f>Table13[[#This Row],[Week]]&amp;", "&amp;Table13[[#This Row],[Month]]&amp;" "&amp;Table13[[#This Row],[FY]]</f>
        <v>Week 22, NOV FY24</v>
      </c>
      <c r="I284" s="2" t="str">
        <f>Table13[[#This Row],[Month]]&amp;", "&amp;Table13[[#This Row],[FY]]</f>
        <v>NOV, FY24</v>
      </c>
      <c r="J284" s="2" t="str">
        <f>"Q"&amp;Table13[[#This Row],[QTR]]&amp;", "&amp;Table13[[#This Row],[FY]]</f>
        <v>Q2, FY24</v>
      </c>
    </row>
    <row r="285" spans="1:10" x14ac:dyDescent="0.25">
      <c r="A285" s="1">
        <f t="shared" si="22"/>
        <v>45257</v>
      </c>
      <c r="B285" s="1">
        <f t="shared" si="22"/>
        <v>45263</v>
      </c>
      <c r="C285" s="2" t="s">
        <v>209</v>
      </c>
      <c r="D285" s="2" t="s">
        <v>210</v>
      </c>
      <c r="E285" s="2">
        <f t="shared" si="23"/>
        <v>2</v>
      </c>
      <c r="F285" s="2" t="s">
        <v>251</v>
      </c>
      <c r="G285" s="2" t="str">
        <f>Table13[[#This Row],[Month]]&amp;", "&amp;Table13[[#This Row],[FY]]</f>
        <v>DEC, FY24</v>
      </c>
      <c r="H285" s="2" t="str">
        <f>Table13[[#This Row],[Week]]&amp;", "&amp;Table13[[#This Row],[Month]]&amp;" "&amp;Table13[[#This Row],[FY]]</f>
        <v>Week 23, DEC FY24</v>
      </c>
      <c r="I285" s="2" t="str">
        <f>Table13[[#This Row],[Month]]&amp;", "&amp;Table13[[#This Row],[FY]]</f>
        <v>DEC, FY24</v>
      </c>
      <c r="J285" s="2" t="str">
        <f>"Q"&amp;Table13[[#This Row],[QTR]]&amp;", "&amp;Table13[[#This Row],[FY]]</f>
        <v>Q2, FY24</v>
      </c>
    </row>
    <row r="286" spans="1:10" x14ac:dyDescent="0.25">
      <c r="A286" s="1">
        <f t="shared" si="22"/>
        <v>45264</v>
      </c>
      <c r="B286" s="1">
        <f t="shared" si="22"/>
        <v>45270</v>
      </c>
      <c r="C286" s="2" t="s">
        <v>211</v>
      </c>
      <c r="D286" s="2" t="s">
        <v>210</v>
      </c>
      <c r="E286" s="2">
        <f t="shared" si="23"/>
        <v>2</v>
      </c>
      <c r="F286" s="2" t="s">
        <v>251</v>
      </c>
      <c r="G286" s="2" t="str">
        <f>Table13[[#This Row],[Month]]&amp;", "&amp;Table13[[#This Row],[FY]]</f>
        <v>DEC, FY24</v>
      </c>
      <c r="H286" s="2" t="str">
        <f>Table13[[#This Row],[Week]]&amp;", "&amp;Table13[[#This Row],[Month]]&amp;" "&amp;Table13[[#This Row],[FY]]</f>
        <v>Week 24, DEC FY24</v>
      </c>
      <c r="I286" s="2" t="str">
        <f>Table13[[#This Row],[Month]]&amp;", "&amp;Table13[[#This Row],[FY]]</f>
        <v>DEC, FY24</v>
      </c>
      <c r="J286" s="2" t="str">
        <f>"Q"&amp;Table13[[#This Row],[QTR]]&amp;", "&amp;Table13[[#This Row],[FY]]</f>
        <v>Q2, FY24</v>
      </c>
    </row>
    <row r="287" spans="1:10" x14ac:dyDescent="0.25">
      <c r="A287" s="1">
        <f t="shared" si="22"/>
        <v>45271</v>
      </c>
      <c r="B287" s="1">
        <f t="shared" si="22"/>
        <v>45277</v>
      </c>
      <c r="C287" s="2" t="s">
        <v>212</v>
      </c>
      <c r="D287" s="2" t="s">
        <v>210</v>
      </c>
      <c r="E287" s="2">
        <f t="shared" si="23"/>
        <v>2</v>
      </c>
      <c r="F287" s="2" t="s">
        <v>251</v>
      </c>
      <c r="G287" s="2" t="str">
        <f>Table13[[#This Row],[Month]]&amp;", "&amp;Table13[[#This Row],[FY]]</f>
        <v>DEC, FY24</v>
      </c>
      <c r="H287" s="2" t="str">
        <f>Table13[[#This Row],[Week]]&amp;", "&amp;Table13[[#This Row],[Month]]&amp;" "&amp;Table13[[#This Row],[FY]]</f>
        <v>Week 25, DEC FY24</v>
      </c>
      <c r="I287" s="2" t="str">
        <f>Table13[[#This Row],[Month]]&amp;", "&amp;Table13[[#This Row],[FY]]</f>
        <v>DEC, FY24</v>
      </c>
      <c r="J287" s="2" t="str">
        <f>"Q"&amp;Table13[[#This Row],[QTR]]&amp;", "&amp;Table13[[#This Row],[FY]]</f>
        <v>Q2, FY24</v>
      </c>
    </row>
    <row r="288" spans="1:10" x14ac:dyDescent="0.25">
      <c r="A288" s="1">
        <f t="shared" ref="A288:B303" si="24">A287+7</f>
        <v>45278</v>
      </c>
      <c r="B288" s="1">
        <f t="shared" si="24"/>
        <v>45284</v>
      </c>
      <c r="C288" s="2" t="s">
        <v>213</v>
      </c>
      <c r="D288" s="2" t="s">
        <v>210</v>
      </c>
      <c r="E288" s="2">
        <f t="shared" si="23"/>
        <v>2</v>
      </c>
      <c r="F288" s="2" t="s">
        <v>251</v>
      </c>
      <c r="G288" s="2" t="str">
        <f>Table13[[#This Row],[Month]]&amp;", "&amp;Table13[[#This Row],[FY]]</f>
        <v>DEC, FY24</v>
      </c>
      <c r="H288" s="2" t="str">
        <f>Table13[[#This Row],[Week]]&amp;", "&amp;Table13[[#This Row],[Month]]&amp;" "&amp;Table13[[#This Row],[FY]]</f>
        <v>Week 26, DEC FY24</v>
      </c>
      <c r="I288" s="2" t="str">
        <f>Table13[[#This Row],[Month]]&amp;", "&amp;Table13[[#This Row],[FY]]</f>
        <v>DEC, FY24</v>
      </c>
      <c r="J288" s="2" t="str">
        <f>"Q"&amp;Table13[[#This Row],[QTR]]&amp;", "&amp;Table13[[#This Row],[FY]]</f>
        <v>Q2, FY24</v>
      </c>
    </row>
    <row r="289" spans="1:10" x14ac:dyDescent="0.25">
      <c r="A289" s="1">
        <f t="shared" si="24"/>
        <v>45285</v>
      </c>
      <c r="B289" s="1">
        <f t="shared" si="24"/>
        <v>45291</v>
      </c>
      <c r="C289" s="2" t="s">
        <v>214</v>
      </c>
      <c r="D289" s="2" t="s">
        <v>215</v>
      </c>
      <c r="E289" s="2">
        <f t="shared" si="23"/>
        <v>3</v>
      </c>
      <c r="F289" s="2" t="s">
        <v>251</v>
      </c>
      <c r="G289" s="2" t="str">
        <f>Table13[[#This Row],[Month]]&amp;", "&amp;Table13[[#This Row],[FY]]</f>
        <v>JAN, FY24</v>
      </c>
      <c r="H289" s="2" t="str">
        <f>Table13[[#This Row],[Week]]&amp;", "&amp;Table13[[#This Row],[Month]]&amp;" "&amp;Table13[[#This Row],[FY]]</f>
        <v>Week 27, JAN FY24</v>
      </c>
      <c r="I289" s="2" t="str">
        <f>Table13[[#This Row],[Month]]&amp;", "&amp;Table13[[#This Row],[FY]]</f>
        <v>JAN, FY24</v>
      </c>
      <c r="J289" s="2" t="str">
        <f>"Q"&amp;Table13[[#This Row],[QTR]]&amp;", "&amp;Table13[[#This Row],[FY]]</f>
        <v>Q3, FY24</v>
      </c>
    </row>
    <row r="290" spans="1:10" x14ac:dyDescent="0.25">
      <c r="A290" s="1">
        <f t="shared" si="24"/>
        <v>45292</v>
      </c>
      <c r="B290" s="1">
        <f t="shared" si="24"/>
        <v>45298</v>
      </c>
      <c r="C290" s="2" t="s">
        <v>216</v>
      </c>
      <c r="D290" s="2" t="s">
        <v>215</v>
      </c>
      <c r="E290" s="2">
        <f t="shared" si="23"/>
        <v>3</v>
      </c>
      <c r="F290" s="2" t="s">
        <v>251</v>
      </c>
      <c r="G290" s="2" t="str">
        <f>Table13[[#This Row],[Month]]&amp;", "&amp;Table13[[#This Row],[FY]]</f>
        <v>JAN, FY24</v>
      </c>
      <c r="H290" s="2" t="str">
        <f>Table13[[#This Row],[Week]]&amp;", "&amp;Table13[[#This Row],[Month]]&amp;" "&amp;Table13[[#This Row],[FY]]</f>
        <v>Week 28, JAN FY24</v>
      </c>
      <c r="I290" s="2" t="str">
        <f>Table13[[#This Row],[Month]]&amp;", "&amp;Table13[[#This Row],[FY]]</f>
        <v>JAN, FY24</v>
      </c>
      <c r="J290" s="2" t="str">
        <f>"Q"&amp;Table13[[#This Row],[QTR]]&amp;", "&amp;Table13[[#This Row],[FY]]</f>
        <v>Q3, FY24</v>
      </c>
    </row>
    <row r="291" spans="1:10" x14ac:dyDescent="0.25">
      <c r="A291" s="1">
        <f t="shared" si="24"/>
        <v>45299</v>
      </c>
      <c r="B291" s="1">
        <f t="shared" si="24"/>
        <v>45305</v>
      </c>
      <c r="C291" s="2" t="s">
        <v>217</v>
      </c>
      <c r="D291" s="2" t="s">
        <v>215</v>
      </c>
      <c r="E291" s="2">
        <f t="shared" si="23"/>
        <v>3</v>
      </c>
      <c r="F291" s="2" t="s">
        <v>251</v>
      </c>
      <c r="G291" s="2" t="str">
        <f>Table13[[#This Row],[Month]]&amp;", "&amp;Table13[[#This Row],[FY]]</f>
        <v>JAN, FY24</v>
      </c>
      <c r="H291" s="2" t="str">
        <f>Table13[[#This Row],[Week]]&amp;", "&amp;Table13[[#This Row],[Month]]&amp;" "&amp;Table13[[#This Row],[FY]]</f>
        <v>Week 29, JAN FY24</v>
      </c>
      <c r="I291" s="2" t="str">
        <f>Table13[[#This Row],[Month]]&amp;", "&amp;Table13[[#This Row],[FY]]</f>
        <v>JAN, FY24</v>
      </c>
      <c r="J291" s="2" t="str">
        <f>"Q"&amp;Table13[[#This Row],[QTR]]&amp;", "&amp;Table13[[#This Row],[FY]]</f>
        <v>Q3, FY24</v>
      </c>
    </row>
    <row r="292" spans="1:10" x14ac:dyDescent="0.25">
      <c r="A292" s="1">
        <f t="shared" si="24"/>
        <v>45306</v>
      </c>
      <c r="B292" s="1">
        <f t="shared" si="24"/>
        <v>45312</v>
      </c>
      <c r="C292" s="2" t="s">
        <v>218</v>
      </c>
      <c r="D292" s="2" t="s">
        <v>215</v>
      </c>
      <c r="E292" s="2">
        <f t="shared" si="23"/>
        <v>3</v>
      </c>
      <c r="F292" s="2" t="s">
        <v>251</v>
      </c>
      <c r="G292" s="2" t="str">
        <f>Table13[[#This Row],[Month]]&amp;", "&amp;Table13[[#This Row],[FY]]</f>
        <v>JAN, FY24</v>
      </c>
      <c r="H292" s="2" t="str">
        <f>Table13[[#This Row],[Week]]&amp;", "&amp;Table13[[#This Row],[Month]]&amp;" "&amp;Table13[[#This Row],[FY]]</f>
        <v>Week 30, JAN FY24</v>
      </c>
      <c r="I292" s="2" t="str">
        <f>Table13[[#This Row],[Month]]&amp;", "&amp;Table13[[#This Row],[FY]]</f>
        <v>JAN, FY24</v>
      </c>
      <c r="J292" s="2" t="str">
        <f>"Q"&amp;Table13[[#This Row],[QTR]]&amp;", "&amp;Table13[[#This Row],[FY]]</f>
        <v>Q3, FY24</v>
      </c>
    </row>
    <row r="293" spans="1:10" x14ac:dyDescent="0.25">
      <c r="A293" s="1">
        <f t="shared" si="24"/>
        <v>45313</v>
      </c>
      <c r="B293" s="1">
        <f t="shared" si="24"/>
        <v>45319</v>
      </c>
      <c r="C293" s="2" t="s">
        <v>219</v>
      </c>
      <c r="D293" s="2" t="s">
        <v>220</v>
      </c>
      <c r="E293" s="2">
        <f t="shared" si="23"/>
        <v>3</v>
      </c>
      <c r="F293" s="2" t="s">
        <v>251</v>
      </c>
      <c r="G293" s="2" t="str">
        <f>Table13[[#This Row],[Month]]&amp;", "&amp;Table13[[#This Row],[FY]]</f>
        <v>FEB, FY24</v>
      </c>
      <c r="H293" s="2" t="str">
        <f>Table13[[#This Row],[Week]]&amp;", "&amp;Table13[[#This Row],[Month]]&amp;" "&amp;Table13[[#This Row],[FY]]</f>
        <v>Week 31, FEB FY24</v>
      </c>
      <c r="I293" s="2" t="str">
        <f>Table13[[#This Row],[Month]]&amp;", "&amp;Table13[[#This Row],[FY]]</f>
        <v>FEB, FY24</v>
      </c>
      <c r="J293" s="2" t="str">
        <f>"Q"&amp;Table13[[#This Row],[QTR]]&amp;", "&amp;Table13[[#This Row],[FY]]</f>
        <v>Q3, FY24</v>
      </c>
    </row>
    <row r="294" spans="1:10" x14ac:dyDescent="0.25">
      <c r="A294" s="1">
        <f t="shared" si="24"/>
        <v>45320</v>
      </c>
      <c r="B294" s="1">
        <f t="shared" si="24"/>
        <v>45326</v>
      </c>
      <c r="C294" s="2" t="s">
        <v>221</v>
      </c>
      <c r="D294" s="2" t="s">
        <v>220</v>
      </c>
      <c r="E294" s="2">
        <f t="shared" si="23"/>
        <v>3</v>
      </c>
      <c r="F294" s="2" t="s">
        <v>251</v>
      </c>
      <c r="G294" s="2" t="str">
        <f>Table13[[#This Row],[Month]]&amp;", "&amp;Table13[[#This Row],[FY]]</f>
        <v>FEB, FY24</v>
      </c>
      <c r="H294" s="2" t="str">
        <f>Table13[[#This Row],[Week]]&amp;", "&amp;Table13[[#This Row],[Month]]&amp;" "&amp;Table13[[#This Row],[FY]]</f>
        <v>Week 32, FEB FY24</v>
      </c>
      <c r="I294" s="2" t="str">
        <f>Table13[[#This Row],[Month]]&amp;", "&amp;Table13[[#This Row],[FY]]</f>
        <v>FEB, FY24</v>
      </c>
      <c r="J294" s="2" t="str">
        <f>"Q"&amp;Table13[[#This Row],[QTR]]&amp;", "&amp;Table13[[#This Row],[FY]]</f>
        <v>Q3, FY24</v>
      </c>
    </row>
    <row r="295" spans="1:10" x14ac:dyDescent="0.25">
      <c r="A295" s="1">
        <f t="shared" si="24"/>
        <v>45327</v>
      </c>
      <c r="B295" s="1">
        <f t="shared" si="24"/>
        <v>45333</v>
      </c>
      <c r="C295" s="2" t="s">
        <v>222</v>
      </c>
      <c r="D295" s="2" t="s">
        <v>220</v>
      </c>
      <c r="E295" s="2">
        <f t="shared" si="23"/>
        <v>3</v>
      </c>
      <c r="F295" s="2" t="s">
        <v>251</v>
      </c>
      <c r="G295" s="2" t="str">
        <f>Table13[[#This Row],[Month]]&amp;", "&amp;Table13[[#This Row],[FY]]</f>
        <v>FEB, FY24</v>
      </c>
      <c r="H295" s="2" t="str">
        <f>Table13[[#This Row],[Week]]&amp;", "&amp;Table13[[#This Row],[Month]]&amp;" "&amp;Table13[[#This Row],[FY]]</f>
        <v>Week 33, FEB FY24</v>
      </c>
      <c r="I295" s="2" t="str">
        <f>Table13[[#This Row],[Month]]&amp;", "&amp;Table13[[#This Row],[FY]]</f>
        <v>FEB, FY24</v>
      </c>
      <c r="J295" s="2" t="str">
        <f>"Q"&amp;Table13[[#This Row],[QTR]]&amp;", "&amp;Table13[[#This Row],[FY]]</f>
        <v>Q3, FY24</v>
      </c>
    </row>
    <row r="296" spans="1:10" x14ac:dyDescent="0.25">
      <c r="A296" s="1">
        <f t="shared" si="24"/>
        <v>45334</v>
      </c>
      <c r="B296" s="1">
        <f t="shared" si="24"/>
        <v>45340</v>
      </c>
      <c r="C296" s="2" t="s">
        <v>223</v>
      </c>
      <c r="D296" s="2" t="s">
        <v>220</v>
      </c>
      <c r="E296" s="2">
        <f t="shared" si="23"/>
        <v>3</v>
      </c>
      <c r="F296" s="2" t="s">
        <v>251</v>
      </c>
      <c r="G296" s="2" t="str">
        <f>Table13[[#This Row],[Month]]&amp;", "&amp;Table13[[#This Row],[FY]]</f>
        <v>FEB, FY24</v>
      </c>
      <c r="H296" s="2" t="str">
        <f>Table13[[#This Row],[Week]]&amp;", "&amp;Table13[[#This Row],[Month]]&amp;" "&amp;Table13[[#This Row],[FY]]</f>
        <v>Week 34, FEB FY24</v>
      </c>
      <c r="I296" s="2" t="str">
        <f>Table13[[#This Row],[Month]]&amp;", "&amp;Table13[[#This Row],[FY]]</f>
        <v>FEB, FY24</v>
      </c>
      <c r="J296" s="2" t="str">
        <f>"Q"&amp;Table13[[#This Row],[QTR]]&amp;", "&amp;Table13[[#This Row],[FY]]</f>
        <v>Q3, FY24</v>
      </c>
    </row>
    <row r="297" spans="1:10" x14ac:dyDescent="0.25">
      <c r="A297" s="1">
        <f t="shared" si="24"/>
        <v>45341</v>
      </c>
      <c r="B297" s="1">
        <f t="shared" si="24"/>
        <v>45347</v>
      </c>
      <c r="C297" s="2" t="s">
        <v>224</v>
      </c>
      <c r="D297" s="2" t="s">
        <v>220</v>
      </c>
      <c r="E297" s="2">
        <f t="shared" si="23"/>
        <v>3</v>
      </c>
      <c r="F297" s="2" t="s">
        <v>251</v>
      </c>
      <c r="G297" s="2" t="str">
        <f>Table13[[#This Row],[Month]]&amp;", "&amp;Table13[[#This Row],[FY]]</f>
        <v>FEB, FY24</v>
      </c>
      <c r="H297" s="2" t="str">
        <f>Table13[[#This Row],[Week]]&amp;", "&amp;Table13[[#This Row],[Month]]&amp;" "&amp;Table13[[#This Row],[FY]]</f>
        <v>Week 35, FEB FY24</v>
      </c>
      <c r="I297" s="2" t="str">
        <f>Table13[[#This Row],[Month]]&amp;", "&amp;Table13[[#This Row],[FY]]</f>
        <v>FEB, FY24</v>
      </c>
      <c r="J297" s="2" t="str">
        <f>"Q"&amp;Table13[[#This Row],[QTR]]&amp;", "&amp;Table13[[#This Row],[FY]]</f>
        <v>Q3, FY24</v>
      </c>
    </row>
    <row r="298" spans="1:10" x14ac:dyDescent="0.25">
      <c r="A298" s="1">
        <f t="shared" si="24"/>
        <v>45348</v>
      </c>
      <c r="B298" s="1">
        <f t="shared" si="24"/>
        <v>45354</v>
      </c>
      <c r="C298" s="2" t="s">
        <v>225</v>
      </c>
      <c r="D298" s="2" t="s">
        <v>226</v>
      </c>
      <c r="E298" s="2">
        <f t="shared" si="23"/>
        <v>3</v>
      </c>
      <c r="F298" s="2" t="s">
        <v>251</v>
      </c>
      <c r="G298" s="2" t="str">
        <f>Table13[[#This Row],[Month]]&amp;", "&amp;Table13[[#This Row],[FY]]</f>
        <v>MAR, FY24</v>
      </c>
      <c r="H298" s="2" t="str">
        <f>Table13[[#This Row],[Week]]&amp;", "&amp;Table13[[#This Row],[Month]]&amp;" "&amp;Table13[[#This Row],[FY]]</f>
        <v>Week 36, MAR FY24</v>
      </c>
      <c r="I298" s="2" t="str">
        <f>Table13[[#This Row],[Month]]&amp;", "&amp;Table13[[#This Row],[FY]]</f>
        <v>MAR, FY24</v>
      </c>
      <c r="J298" s="2" t="str">
        <f>"Q"&amp;Table13[[#This Row],[QTR]]&amp;", "&amp;Table13[[#This Row],[FY]]</f>
        <v>Q3, FY24</v>
      </c>
    </row>
    <row r="299" spans="1:10" x14ac:dyDescent="0.25">
      <c r="A299" s="1">
        <f t="shared" si="24"/>
        <v>45355</v>
      </c>
      <c r="B299" s="1">
        <f t="shared" si="24"/>
        <v>45361</v>
      </c>
      <c r="C299" s="2" t="s">
        <v>227</v>
      </c>
      <c r="D299" s="2" t="s">
        <v>226</v>
      </c>
      <c r="E299" s="2">
        <f t="shared" si="23"/>
        <v>3</v>
      </c>
      <c r="F299" s="2" t="s">
        <v>251</v>
      </c>
      <c r="G299" s="2" t="str">
        <f>Table13[[#This Row],[Month]]&amp;", "&amp;Table13[[#This Row],[FY]]</f>
        <v>MAR, FY24</v>
      </c>
      <c r="H299" s="2" t="str">
        <f>Table13[[#This Row],[Week]]&amp;", "&amp;Table13[[#This Row],[Month]]&amp;" "&amp;Table13[[#This Row],[FY]]</f>
        <v>Week 37, MAR FY24</v>
      </c>
      <c r="I299" s="2" t="str">
        <f>Table13[[#This Row],[Month]]&amp;", "&amp;Table13[[#This Row],[FY]]</f>
        <v>MAR, FY24</v>
      </c>
      <c r="J299" s="2" t="str">
        <f>"Q"&amp;Table13[[#This Row],[QTR]]&amp;", "&amp;Table13[[#This Row],[FY]]</f>
        <v>Q3, FY24</v>
      </c>
    </row>
    <row r="300" spans="1:10" x14ac:dyDescent="0.25">
      <c r="A300" s="1">
        <f t="shared" si="24"/>
        <v>45362</v>
      </c>
      <c r="B300" s="1">
        <f t="shared" si="24"/>
        <v>45368</v>
      </c>
      <c r="C300" s="2" t="s">
        <v>228</v>
      </c>
      <c r="D300" s="2" t="s">
        <v>226</v>
      </c>
      <c r="E300" s="2">
        <f t="shared" si="23"/>
        <v>3</v>
      </c>
      <c r="F300" s="2" t="s">
        <v>251</v>
      </c>
      <c r="G300" s="2" t="str">
        <f>Table13[[#This Row],[Month]]&amp;", "&amp;Table13[[#This Row],[FY]]</f>
        <v>MAR, FY24</v>
      </c>
      <c r="H300" s="2" t="str">
        <f>Table13[[#This Row],[Week]]&amp;", "&amp;Table13[[#This Row],[Month]]&amp;" "&amp;Table13[[#This Row],[FY]]</f>
        <v>Week 38, MAR FY24</v>
      </c>
      <c r="I300" s="2" t="str">
        <f>Table13[[#This Row],[Month]]&amp;", "&amp;Table13[[#This Row],[FY]]</f>
        <v>MAR, FY24</v>
      </c>
      <c r="J300" s="2" t="str">
        <f>"Q"&amp;Table13[[#This Row],[QTR]]&amp;", "&amp;Table13[[#This Row],[FY]]</f>
        <v>Q3, FY24</v>
      </c>
    </row>
    <row r="301" spans="1:10" x14ac:dyDescent="0.25">
      <c r="A301" s="1">
        <f t="shared" si="24"/>
        <v>45369</v>
      </c>
      <c r="B301" s="1">
        <f t="shared" si="24"/>
        <v>45375</v>
      </c>
      <c r="C301" s="2" t="s">
        <v>229</v>
      </c>
      <c r="D301" s="2" t="s">
        <v>226</v>
      </c>
      <c r="E301" s="2">
        <f t="shared" si="23"/>
        <v>3</v>
      </c>
      <c r="F301" s="2" t="s">
        <v>251</v>
      </c>
      <c r="G301" s="2" t="str">
        <f>Table13[[#This Row],[Month]]&amp;", "&amp;Table13[[#This Row],[FY]]</f>
        <v>MAR, FY24</v>
      </c>
      <c r="H301" s="2" t="str">
        <f>Table13[[#This Row],[Week]]&amp;", "&amp;Table13[[#This Row],[Month]]&amp;" "&amp;Table13[[#This Row],[FY]]</f>
        <v>Week 39, MAR FY24</v>
      </c>
      <c r="I301" s="2" t="str">
        <f>Table13[[#This Row],[Month]]&amp;", "&amp;Table13[[#This Row],[FY]]</f>
        <v>MAR, FY24</v>
      </c>
      <c r="J301" s="2" t="str">
        <f>"Q"&amp;Table13[[#This Row],[QTR]]&amp;", "&amp;Table13[[#This Row],[FY]]</f>
        <v>Q3, FY24</v>
      </c>
    </row>
    <row r="302" spans="1:10" x14ac:dyDescent="0.25">
      <c r="A302" s="1">
        <f t="shared" si="24"/>
        <v>45376</v>
      </c>
      <c r="B302" s="1">
        <f t="shared" si="24"/>
        <v>45382</v>
      </c>
      <c r="C302" s="2" t="s">
        <v>230</v>
      </c>
      <c r="D302" s="2" t="s">
        <v>231</v>
      </c>
      <c r="E302" s="2">
        <f t="shared" si="23"/>
        <v>4</v>
      </c>
      <c r="F302" s="2" t="s">
        <v>251</v>
      </c>
      <c r="G302" s="2" t="str">
        <f>Table13[[#This Row],[Month]]&amp;", "&amp;Table13[[#This Row],[FY]]</f>
        <v>APR, FY24</v>
      </c>
      <c r="H302" s="2" t="str">
        <f>Table13[[#This Row],[Week]]&amp;", "&amp;Table13[[#This Row],[Month]]&amp;" "&amp;Table13[[#This Row],[FY]]</f>
        <v>Week 40, APR FY24</v>
      </c>
      <c r="I302" s="2" t="str">
        <f>Table13[[#This Row],[Month]]&amp;", "&amp;Table13[[#This Row],[FY]]</f>
        <v>APR, FY24</v>
      </c>
      <c r="J302" s="2" t="str">
        <f>"Q"&amp;Table13[[#This Row],[QTR]]&amp;", "&amp;Table13[[#This Row],[FY]]</f>
        <v>Q4, FY24</v>
      </c>
    </row>
    <row r="303" spans="1:10" x14ac:dyDescent="0.25">
      <c r="A303" s="1">
        <f t="shared" si="24"/>
        <v>45383</v>
      </c>
      <c r="B303" s="1">
        <f t="shared" si="24"/>
        <v>45389</v>
      </c>
      <c r="C303" s="2" t="s">
        <v>232</v>
      </c>
      <c r="D303" s="2" t="s">
        <v>231</v>
      </c>
      <c r="E303" s="2">
        <f t="shared" si="23"/>
        <v>4</v>
      </c>
      <c r="F303" s="2" t="s">
        <v>251</v>
      </c>
      <c r="G303" s="2" t="str">
        <f>Table13[[#This Row],[Month]]&amp;", "&amp;Table13[[#This Row],[FY]]</f>
        <v>APR, FY24</v>
      </c>
      <c r="H303" s="2" t="str">
        <f>Table13[[#This Row],[Week]]&amp;", "&amp;Table13[[#This Row],[Month]]&amp;" "&amp;Table13[[#This Row],[FY]]</f>
        <v>Week 41, APR FY24</v>
      </c>
      <c r="I303" s="2" t="str">
        <f>Table13[[#This Row],[Month]]&amp;", "&amp;Table13[[#This Row],[FY]]</f>
        <v>APR, FY24</v>
      </c>
      <c r="J303" s="2" t="str">
        <f>"Q"&amp;Table13[[#This Row],[QTR]]&amp;", "&amp;Table13[[#This Row],[FY]]</f>
        <v>Q4, FY24</v>
      </c>
    </row>
    <row r="304" spans="1:10" x14ac:dyDescent="0.25">
      <c r="A304" s="1">
        <f t="shared" ref="A304:B319" si="25">A303+7</f>
        <v>45390</v>
      </c>
      <c r="B304" s="1">
        <f t="shared" si="25"/>
        <v>45396</v>
      </c>
      <c r="C304" s="2" t="s">
        <v>233</v>
      </c>
      <c r="D304" s="2" t="s">
        <v>231</v>
      </c>
      <c r="E304" s="2">
        <f t="shared" si="23"/>
        <v>4</v>
      </c>
      <c r="F304" s="2" t="s">
        <v>251</v>
      </c>
      <c r="G304" s="2" t="str">
        <f>Table13[[#This Row],[Month]]&amp;", "&amp;Table13[[#This Row],[FY]]</f>
        <v>APR, FY24</v>
      </c>
      <c r="H304" s="2" t="str">
        <f>Table13[[#This Row],[Week]]&amp;", "&amp;Table13[[#This Row],[Month]]&amp;" "&amp;Table13[[#This Row],[FY]]</f>
        <v>Week 42, APR FY24</v>
      </c>
      <c r="I304" s="2" t="str">
        <f>Table13[[#This Row],[Month]]&amp;", "&amp;Table13[[#This Row],[FY]]</f>
        <v>APR, FY24</v>
      </c>
      <c r="J304" s="2" t="str">
        <f>"Q"&amp;Table13[[#This Row],[QTR]]&amp;", "&amp;Table13[[#This Row],[FY]]</f>
        <v>Q4, FY24</v>
      </c>
    </row>
    <row r="305" spans="1:10" x14ac:dyDescent="0.25">
      <c r="A305" s="1">
        <f t="shared" si="25"/>
        <v>45397</v>
      </c>
      <c r="B305" s="1">
        <f t="shared" si="25"/>
        <v>45403</v>
      </c>
      <c r="C305" s="2" t="s">
        <v>234</v>
      </c>
      <c r="D305" s="2" t="s">
        <v>231</v>
      </c>
      <c r="E305" s="2">
        <f t="shared" si="23"/>
        <v>4</v>
      </c>
      <c r="F305" s="2" t="s">
        <v>251</v>
      </c>
      <c r="G305" s="2" t="str">
        <f>Table13[[#This Row],[Month]]&amp;", "&amp;Table13[[#This Row],[FY]]</f>
        <v>APR, FY24</v>
      </c>
      <c r="H305" s="2" t="str">
        <f>Table13[[#This Row],[Week]]&amp;", "&amp;Table13[[#This Row],[Month]]&amp;" "&amp;Table13[[#This Row],[FY]]</f>
        <v>Week 43, APR FY24</v>
      </c>
      <c r="I305" s="2" t="str">
        <f>Table13[[#This Row],[Month]]&amp;", "&amp;Table13[[#This Row],[FY]]</f>
        <v>APR, FY24</v>
      </c>
      <c r="J305" s="2" t="str">
        <f>"Q"&amp;Table13[[#This Row],[QTR]]&amp;", "&amp;Table13[[#This Row],[FY]]</f>
        <v>Q4, FY24</v>
      </c>
    </row>
    <row r="306" spans="1:10" x14ac:dyDescent="0.25">
      <c r="A306" s="1">
        <f t="shared" si="25"/>
        <v>45404</v>
      </c>
      <c r="B306" s="1">
        <f t="shared" si="25"/>
        <v>45410</v>
      </c>
      <c r="C306" s="2" t="s">
        <v>235</v>
      </c>
      <c r="D306" s="2" t="s">
        <v>236</v>
      </c>
      <c r="E306" s="2">
        <f t="shared" si="23"/>
        <v>4</v>
      </c>
      <c r="F306" s="2" t="s">
        <v>251</v>
      </c>
      <c r="G306" s="2" t="str">
        <f>Table13[[#This Row],[Month]]&amp;", "&amp;Table13[[#This Row],[FY]]</f>
        <v>MAY, FY24</v>
      </c>
      <c r="H306" s="2" t="str">
        <f>Table13[[#This Row],[Week]]&amp;", "&amp;Table13[[#This Row],[Month]]&amp;" "&amp;Table13[[#This Row],[FY]]</f>
        <v>Week 44, MAY FY24</v>
      </c>
      <c r="I306" s="2" t="str">
        <f>Table13[[#This Row],[Month]]&amp;", "&amp;Table13[[#This Row],[FY]]</f>
        <v>MAY, FY24</v>
      </c>
      <c r="J306" s="2" t="str">
        <f>"Q"&amp;Table13[[#This Row],[QTR]]&amp;", "&amp;Table13[[#This Row],[FY]]</f>
        <v>Q4, FY24</v>
      </c>
    </row>
    <row r="307" spans="1:10" x14ac:dyDescent="0.25">
      <c r="A307" s="1">
        <f t="shared" si="25"/>
        <v>45411</v>
      </c>
      <c r="B307" s="1">
        <f t="shared" si="25"/>
        <v>45417</v>
      </c>
      <c r="C307" s="2" t="s">
        <v>237</v>
      </c>
      <c r="D307" s="2" t="s">
        <v>236</v>
      </c>
      <c r="E307" s="2">
        <f t="shared" si="23"/>
        <v>4</v>
      </c>
      <c r="F307" s="2" t="s">
        <v>251</v>
      </c>
      <c r="G307" s="2" t="str">
        <f>Table13[[#This Row],[Month]]&amp;", "&amp;Table13[[#This Row],[FY]]</f>
        <v>MAY, FY24</v>
      </c>
      <c r="H307" s="2" t="str">
        <f>Table13[[#This Row],[Week]]&amp;", "&amp;Table13[[#This Row],[Month]]&amp;" "&amp;Table13[[#This Row],[FY]]</f>
        <v>Week 45, MAY FY24</v>
      </c>
      <c r="I307" s="2" t="str">
        <f>Table13[[#This Row],[Month]]&amp;", "&amp;Table13[[#This Row],[FY]]</f>
        <v>MAY, FY24</v>
      </c>
      <c r="J307" s="2" t="str">
        <f>"Q"&amp;Table13[[#This Row],[QTR]]&amp;", "&amp;Table13[[#This Row],[FY]]</f>
        <v>Q4, FY24</v>
      </c>
    </row>
    <row r="308" spans="1:10" x14ac:dyDescent="0.25">
      <c r="A308" s="1">
        <f t="shared" si="25"/>
        <v>45418</v>
      </c>
      <c r="B308" s="1">
        <f t="shared" si="25"/>
        <v>45424</v>
      </c>
      <c r="C308" s="2" t="s">
        <v>238</v>
      </c>
      <c r="D308" s="2" t="s">
        <v>236</v>
      </c>
      <c r="E308" s="2">
        <f t="shared" si="23"/>
        <v>4</v>
      </c>
      <c r="F308" s="2" t="s">
        <v>251</v>
      </c>
      <c r="G308" s="2" t="str">
        <f>Table13[[#This Row],[Month]]&amp;", "&amp;Table13[[#This Row],[FY]]</f>
        <v>MAY, FY24</v>
      </c>
      <c r="H308" s="2" t="str">
        <f>Table13[[#This Row],[Week]]&amp;", "&amp;Table13[[#This Row],[Month]]&amp;" "&amp;Table13[[#This Row],[FY]]</f>
        <v>Week 46, MAY FY24</v>
      </c>
      <c r="I308" s="2" t="str">
        <f>Table13[[#This Row],[Month]]&amp;", "&amp;Table13[[#This Row],[FY]]</f>
        <v>MAY, FY24</v>
      </c>
      <c r="J308" s="2" t="str">
        <f>"Q"&amp;Table13[[#This Row],[QTR]]&amp;", "&amp;Table13[[#This Row],[FY]]</f>
        <v>Q4, FY24</v>
      </c>
    </row>
    <row r="309" spans="1:10" x14ac:dyDescent="0.25">
      <c r="A309" s="1">
        <f t="shared" si="25"/>
        <v>45425</v>
      </c>
      <c r="B309" s="1">
        <f t="shared" si="25"/>
        <v>45431</v>
      </c>
      <c r="C309" s="2" t="s">
        <v>239</v>
      </c>
      <c r="D309" s="2" t="s">
        <v>236</v>
      </c>
      <c r="E309" s="2">
        <f t="shared" si="23"/>
        <v>4</v>
      </c>
      <c r="F309" s="2" t="s">
        <v>251</v>
      </c>
      <c r="G309" s="2" t="str">
        <f>Table13[[#This Row],[Month]]&amp;", "&amp;Table13[[#This Row],[FY]]</f>
        <v>MAY, FY24</v>
      </c>
      <c r="H309" s="2" t="str">
        <f>Table13[[#This Row],[Week]]&amp;", "&amp;Table13[[#This Row],[Month]]&amp;" "&amp;Table13[[#This Row],[FY]]</f>
        <v>Week 47, MAY FY24</v>
      </c>
      <c r="I309" s="2" t="str">
        <f>Table13[[#This Row],[Month]]&amp;", "&amp;Table13[[#This Row],[FY]]</f>
        <v>MAY, FY24</v>
      </c>
      <c r="J309" s="2" t="str">
        <f>"Q"&amp;Table13[[#This Row],[QTR]]&amp;", "&amp;Table13[[#This Row],[FY]]</f>
        <v>Q4, FY24</v>
      </c>
    </row>
    <row r="310" spans="1:10" x14ac:dyDescent="0.25">
      <c r="A310" s="1">
        <f t="shared" si="25"/>
        <v>45432</v>
      </c>
      <c r="B310" s="1">
        <f t="shared" si="25"/>
        <v>45438</v>
      </c>
      <c r="C310" s="2" t="s">
        <v>240</v>
      </c>
      <c r="D310" s="2" t="s">
        <v>236</v>
      </c>
      <c r="E310" s="2">
        <f t="shared" si="23"/>
        <v>4</v>
      </c>
      <c r="F310" s="2" t="s">
        <v>251</v>
      </c>
      <c r="G310" s="2" t="str">
        <f>Table13[[#This Row],[Month]]&amp;", "&amp;Table13[[#This Row],[FY]]</f>
        <v>MAY, FY24</v>
      </c>
      <c r="H310" s="2" t="str">
        <f>Table13[[#This Row],[Week]]&amp;", "&amp;Table13[[#This Row],[Month]]&amp;" "&amp;Table13[[#This Row],[FY]]</f>
        <v>Week 48, MAY FY24</v>
      </c>
      <c r="I310" s="2" t="str">
        <f>Table13[[#This Row],[Month]]&amp;", "&amp;Table13[[#This Row],[FY]]</f>
        <v>MAY, FY24</v>
      </c>
      <c r="J310" s="2" t="str">
        <f>"Q"&amp;Table13[[#This Row],[QTR]]&amp;", "&amp;Table13[[#This Row],[FY]]</f>
        <v>Q4, FY24</v>
      </c>
    </row>
    <row r="311" spans="1:10" x14ac:dyDescent="0.25">
      <c r="A311" s="1">
        <f t="shared" si="25"/>
        <v>45439</v>
      </c>
      <c r="B311" s="1">
        <f t="shared" si="25"/>
        <v>45445</v>
      </c>
      <c r="C311" s="2" t="s">
        <v>241</v>
      </c>
      <c r="D311" s="2" t="s">
        <v>242</v>
      </c>
      <c r="E311" s="2">
        <f t="shared" si="23"/>
        <v>4</v>
      </c>
      <c r="F311" s="2" t="s">
        <v>251</v>
      </c>
      <c r="G311" s="2" t="str">
        <f>Table13[[#This Row],[Month]]&amp;", "&amp;Table13[[#This Row],[FY]]</f>
        <v>JUN, FY24</v>
      </c>
      <c r="H311" s="2" t="str">
        <f>Table13[[#This Row],[Week]]&amp;", "&amp;Table13[[#This Row],[Month]]&amp;" "&amp;Table13[[#This Row],[FY]]</f>
        <v>Week 49, JUN FY24</v>
      </c>
      <c r="I311" s="2" t="str">
        <f>Table13[[#This Row],[Month]]&amp;", "&amp;Table13[[#This Row],[FY]]</f>
        <v>JUN, FY24</v>
      </c>
      <c r="J311" s="2" t="str">
        <f>"Q"&amp;Table13[[#This Row],[QTR]]&amp;", "&amp;Table13[[#This Row],[FY]]</f>
        <v>Q4, FY24</v>
      </c>
    </row>
    <row r="312" spans="1:10" x14ac:dyDescent="0.25">
      <c r="A312" s="1">
        <f t="shared" si="25"/>
        <v>45446</v>
      </c>
      <c r="B312" s="1">
        <f t="shared" si="25"/>
        <v>45452</v>
      </c>
      <c r="C312" s="2" t="s">
        <v>243</v>
      </c>
      <c r="D312" s="2" t="s">
        <v>242</v>
      </c>
      <c r="E312" s="2">
        <f t="shared" si="23"/>
        <v>4</v>
      </c>
      <c r="F312" s="2" t="s">
        <v>251</v>
      </c>
      <c r="G312" s="2" t="str">
        <f>Table13[[#This Row],[Month]]&amp;", "&amp;Table13[[#This Row],[FY]]</f>
        <v>JUN, FY24</v>
      </c>
      <c r="H312" s="2" t="str">
        <f>Table13[[#This Row],[Week]]&amp;", "&amp;Table13[[#This Row],[Month]]&amp;" "&amp;Table13[[#This Row],[FY]]</f>
        <v>Week 50, JUN FY24</v>
      </c>
      <c r="I312" s="2" t="str">
        <f>Table13[[#This Row],[Month]]&amp;", "&amp;Table13[[#This Row],[FY]]</f>
        <v>JUN, FY24</v>
      </c>
      <c r="J312" s="2" t="str">
        <f>"Q"&amp;Table13[[#This Row],[QTR]]&amp;", "&amp;Table13[[#This Row],[FY]]</f>
        <v>Q4, FY24</v>
      </c>
    </row>
    <row r="313" spans="1:10" x14ac:dyDescent="0.25">
      <c r="A313" s="1">
        <f t="shared" si="25"/>
        <v>45453</v>
      </c>
      <c r="B313" s="1">
        <f t="shared" si="25"/>
        <v>45459</v>
      </c>
      <c r="C313" s="2" t="s">
        <v>244</v>
      </c>
      <c r="D313" s="2" t="s">
        <v>242</v>
      </c>
      <c r="E313" s="2">
        <f t="shared" si="23"/>
        <v>4</v>
      </c>
      <c r="F313" s="2" t="s">
        <v>251</v>
      </c>
      <c r="G313" s="2" t="str">
        <f>Table13[[#This Row],[Month]]&amp;", "&amp;Table13[[#This Row],[FY]]</f>
        <v>JUN, FY24</v>
      </c>
      <c r="H313" s="2" t="str">
        <f>Table13[[#This Row],[Week]]&amp;", "&amp;Table13[[#This Row],[Month]]&amp;" "&amp;Table13[[#This Row],[FY]]</f>
        <v>Week 51, JUN FY24</v>
      </c>
      <c r="I313" s="2" t="str">
        <f>Table13[[#This Row],[Month]]&amp;", "&amp;Table13[[#This Row],[FY]]</f>
        <v>JUN, FY24</v>
      </c>
      <c r="J313" s="2" t="str">
        <f>"Q"&amp;Table13[[#This Row],[QTR]]&amp;", "&amp;Table13[[#This Row],[FY]]</f>
        <v>Q4, FY24</v>
      </c>
    </row>
    <row r="314" spans="1:10" x14ac:dyDescent="0.25">
      <c r="A314" s="1">
        <f t="shared" si="25"/>
        <v>45460</v>
      </c>
      <c r="B314" s="1">
        <f t="shared" si="25"/>
        <v>45466</v>
      </c>
      <c r="C314" s="2" t="s">
        <v>245</v>
      </c>
      <c r="D314" s="2" t="s">
        <v>242</v>
      </c>
      <c r="E314" s="2">
        <f t="shared" si="23"/>
        <v>4</v>
      </c>
      <c r="F314" s="2" t="s">
        <v>251</v>
      </c>
      <c r="G314" s="2" t="str">
        <f>Table13[[#This Row],[Month]]&amp;", "&amp;Table13[[#This Row],[FY]]</f>
        <v>JUN, FY24</v>
      </c>
      <c r="H314" s="2" t="str">
        <f>Table13[[#This Row],[Week]]&amp;", "&amp;Table13[[#This Row],[Month]]&amp;" "&amp;Table13[[#This Row],[FY]]</f>
        <v>Week 52, JUN FY24</v>
      </c>
      <c r="I314" s="2" t="str">
        <f>Table13[[#This Row],[Month]]&amp;", "&amp;Table13[[#This Row],[FY]]</f>
        <v>JUN, FY24</v>
      </c>
      <c r="J314" s="2" t="str">
        <f>"Q"&amp;Table13[[#This Row],[QTR]]&amp;", "&amp;Table13[[#This Row],[FY]]</f>
        <v>Q4, FY24</v>
      </c>
    </row>
    <row r="315" spans="1:10" x14ac:dyDescent="0.25">
      <c r="A315" s="1">
        <f t="shared" si="25"/>
        <v>45467</v>
      </c>
      <c r="B315" s="1">
        <f t="shared" si="25"/>
        <v>45473</v>
      </c>
      <c r="C315" s="2" t="s">
        <v>246</v>
      </c>
      <c r="D315" s="2" t="s">
        <v>242</v>
      </c>
      <c r="E315" s="2">
        <v>4</v>
      </c>
      <c r="F315" s="2" t="s">
        <v>251</v>
      </c>
      <c r="G315" s="2" t="str">
        <f>Table13[[#This Row],[Month]]&amp;", "&amp;Table13[[#This Row],[FY]]</f>
        <v>JUN, FY24</v>
      </c>
      <c r="H315" s="2" t="str">
        <f>Table13[[#This Row],[Week]]&amp;", "&amp;Table13[[#This Row],[Month]]&amp;" "&amp;Table13[[#This Row],[FY]]</f>
        <v>Week 53, JUN FY24</v>
      </c>
      <c r="I315" s="2" t="str">
        <f>Table13[[#This Row],[Month]]&amp;", "&amp;Table13[[#This Row],[FY]]</f>
        <v>JUN, FY24</v>
      </c>
      <c r="J315" s="2" t="str">
        <f>"Q"&amp;Table13[[#This Row],[QTR]]&amp;", "&amp;Table13[[#This Row],[FY]]</f>
        <v>Q4, FY24</v>
      </c>
    </row>
    <row r="316" spans="1:10" x14ac:dyDescent="0.25">
      <c r="A316" s="1">
        <f t="shared" si="25"/>
        <v>45474</v>
      </c>
      <c r="B316" s="1">
        <f t="shared" si="25"/>
        <v>45480</v>
      </c>
      <c r="C316" s="2" t="s">
        <v>181</v>
      </c>
      <c r="D316" s="2" t="s">
        <v>182</v>
      </c>
      <c r="E316" s="2">
        <v>1</v>
      </c>
      <c r="F316" s="2" t="s">
        <v>252</v>
      </c>
      <c r="G316" s="2" t="str">
        <f>Table13[[#This Row],[Month]]&amp;", "&amp;Table13[[#This Row],[FY]]</f>
        <v>JUL, FY25</v>
      </c>
      <c r="H316" s="2" t="str">
        <f>Table13[[#This Row],[Week]]&amp;", "&amp;Table13[[#This Row],[Month]]&amp;" "&amp;Table13[[#This Row],[FY]]</f>
        <v>Week 1, JUL FY25</v>
      </c>
      <c r="I316" s="2" t="str">
        <f>Table13[[#This Row],[Month]]&amp;", "&amp;Table13[[#This Row],[FY]]</f>
        <v>JUL, FY25</v>
      </c>
      <c r="J316" s="2" t="str">
        <f>"Q"&amp;Table13[[#This Row],[QTR]]&amp;", "&amp;Table13[[#This Row],[FY]]</f>
        <v>Q1, FY25</v>
      </c>
    </row>
    <row r="317" spans="1:10" x14ac:dyDescent="0.25">
      <c r="A317" s="1">
        <f t="shared" si="25"/>
        <v>45481</v>
      </c>
      <c r="B317" s="1">
        <f t="shared" si="25"/>
        <v>45487</v>
      </c>
      <c r="C317" s="2" t="s">
        <v>184</v>
      </c>
      <c r="D317" s="2" t="s">
        <v>182</v>
      </c>
      <c r="E317" s="2">
        <v>1</v>
      </c>
      <c r="F317" s="2" t="s">
        <v>252</v>
      </c>
      <c r="G317" s="2" t="str">
        <f>Table13[[#This Row],[Month]]&amp;", "&amp;Table13[[#This Row],[FY]]</f>
        <v>JUL, FY25</v>
      </c>
      <c r="H317" s="2" t="str">
        <f>Table13[[#This Row],[Week]]&amp;", "&amp;Table13[[#This Row],[Month]]&amp;" "&amp;Table13[[#This Row],[FY]]</f>
        <v>Week 2, JUL FY25</v>
      </c>
      <c r="I317" s="2" t="str">
        <f>Table13[[#This Row],[Month]]&amp;", "&amp;Table13[[#This Row],[FY]]</f>
        <v>JUL, FY25</v>
      </c>
      <c r="J317" s="2" t="str">
        <f>"Q"&amp;Table13[[#This Row],[QTR]]&amp;", "&amp;Table13[[#This Row],[FY]]</f>
        <v>Q1, FY25</v>
      </c>
    </row>
    <row r="318" spans="1:10" x14ac:dyDescent="0.25">
      <c r="A318" s="1">
        <f t="shared" si="25"/>
        <v>45488</v>
      </c>
      <c r="B318" s="1">
        <f t="shared" si="25"/>
        <v>45494</v>
      </c>
      <c r="C318" s="2" t="s">
        <v>185</v>
      </c>
      <c r="D318" s="2" t="s">
        <v>182</v>
      </c>
      <c r="E318" s="2">
        <v>1</v>
      </c>
      <c r="F318" s="2" t="s">
        <v>252</v>
      </c>
      <c r="G318" s="2" t="str">
        <f>Table13[[#This Row],[Month]]&amp;", "&amp;Table13[[#This Row],[FY]]</f>
        <v>JUL, FY25</v>
      </c>
      <c r="H318" s="2" t="str">
        <f>Table13[[#This Row],[Week]]&amp;", "&amp;Table13[[#This Row],[Month]]&amp;" "&amp;Table13[[#This Row],[FY]]</f>
        <v>Week 3, JUL FY25</v>
      </c>
      <c r="I318" s="2" t="str">
        <f>Table13[[#This Row],[Month]]&amp;", "&amp;Table13[[#This Row],[FY]]</f>
        <v>JUL, FY25</v>
      </c>
      <c r="J318" s="2" t="str">
        <f>"Q"&amp;Table13[[#This Row],[QTR]]&amp;", "&amp;Table13[[#This Row],[FY]]</f>
        <v>Q1, FY25</v>
      </c>
    </row>
    <row r="319" spans="1:10" x14ac:dyDescent="0.25">
      <c r="A319" s="1">
        <f t="shared" si="25"/>
        <v>45495</v>
      </c>
      <c r="B319" s="1">
        <f t="shared" si="25"/>
        <v>45501</v>
      </c>
      <c r="C319" s="2" t="s">
        <v>186</v>
      </c>
      <c r="D319" s="2" t="s">
        <v>182</v>
      </c>
      <c r="E319" s="2">
        <v>1</v>
      </c>
      <c r="F319" s="2" t="s">
        <v>252</v>
      </c>
      <c r="G319" s="2" t="str">
        <f>Table13[[#This Row],[Month]]&amp;", "&amp;Table13[[#This Row],[FY]]</f>
        <v>JUL, FY25</v>
      </c>
      <c r="H319" s="2" t="str">
        <f>Table13[[#This Row],[Week]]&amp;", "&amp;Table13[[#This Row],[Month]]&amp;" "&amp;Table13[[#This Row],[FY]]</f>
        <v>Week 4, JUL FY25</v>
      </c>
      <c r="I319" s="2" t="str">
        <f>Table13[[#This Row],[Month]]&amp;", "&amp;Table13[[#This Row],[FY]]</f>
        <v>JUL, FY25</v>
      </c>
      <c r="J319" s="2" t="str">
        <f>"Q"&amp;Table13[[#This Row],[QTR]]&amp;", "&amp;Table13[[#This Row],[FY]]</f>
        <v>Q1, FY25</v>
      </c>
    </row>
    <row r="320" spans="1:10" x14ac:dyDescent="0.25">
      <c r="A320" s="1">
        <f t="shared" ref="A320:B335" si="26">A319+7</f>
        <v>45502</v>
      </c>
      <c r="B320" s="1">
        <f t="shared" si="26"/>
        <v>45508</v>
      </c>
      <c r="C320" s="2" t="s">
        <v>187</v>
      </c>
      <c r="D320" s="2" t="s">
        <v>188</v>
      </c>
      <c r="E320" s="2">
        <v>1</v>
      </c>
      <c r="F320" s="2" t="s">
        <v>252</v>
      </c>
      <c r="G320" s="2" t="str">
        <f>Table13[[#This Row],[Month]]&amp;", "&amp;Table13[[#This Row],[FY]]</f>
        <v>AUG, FY25</v>
      </c>
      <c r="H320" s="2" t="str">
        <f>Table13[[#This Row],[Week]]&amp;", "&amp;Table13[[#This Row],[Month]]&amp;" "&amp;Table13[[#This Row],[FY]]</f>
        <v>Week 5, AUG FY25</v>
      </c>
      <c r="I320" s="2" t="str">
        <f>Table13[[#This Row],[Month]]&amp;", "&amp;Table13[[#This Row],[FY]]</f>
        <v>AUG, FY25</v>
      </c>
      <c r="J320" s="2" t="str">
        <f>"Q"&amp;Table13[[#This Row],[QTR]]&amp;", "&amp;Table13[[#This Row],[FY]]</f>
        <v>Q1, FY25</v>
      </c>
    </row>
    <row r="321" spans="1:10" x14ac:dyDescent="0.25">
      <c r="A321" s="1">
        <f t="shared" si="26"/>
        <v>45509</v>
      </c>
      <c r="B321" s="1">
        <f t="shared" si="26"/>
        <v>45515</v>
      </c>
      <c r="C321" s="2" t="s">
        <v>189</v>
      </c>
      <c r="D321" s="2" t="s">
        <v>188</v>
      </c>
      <c r="E321" s="2">
        <v>1</v>
      </c>
      <c r="F321" s="2" t="s">
        <v>252</v>
      </c>
      <c r="G321" s="2" t="str">
        <f>Table13[[#This Row],[Month]]&amp;", "&amp;Table13[[#This Row],[FY]]</f>
        <v>AUG, FY25</v>
      </c>
      <c r="H321" s="2" t="str">
        <f>Table13[[#This Row],[Week]]&amp;", "&amp;Table13[[#This Row],[Month]]&amp;" "&amp;Table13[[#This Row],[FY]]</f>
        <v>Week 6, AUG FY25</v>
      </c>
      <c r="I321" s="2" t="str">
        <f>Table13[[#This Row],[Month]]&amp;", "&amp;Table13[[#This Row],[FY]]</f>
        <v>AUG, FY25</v>
      </c>
      <c r="J321" s="2" t="str">
        <f>"Q"&amp;Table13[[#This Row],[QTR]]&amp;", "&amp;Table13[[#This Row],[FY]]</f>
        <v>Q1, FY25</v>
      </c>
    </row>
    <row r="322" spans="1:10" x14ac:dyDescent="0.25">
      <c r="A322" s="1">
        <f t="shared" si="26"/>
        <v>45516</v>
      </c>
      <c r="B322" s="1">
        <f t="shared" si="26"/>
        <v>45522</v>
      </c>
      <c r="C322" s="2" t="s">
        <v>190</v>
      </c>
      <c r="D322" s="2" t="s">
        <v>188</v>
      </c>
      <c r="E322" s="2">
        <v>1</v>
      </c>
      <c r="F322" s="2" t="s">
        <v>252</v>
      </c>
      <c r="G322" s="2" t="str">
        <f>Table13[[#This Row],[Month]]&amp;", "&amp;Table13[[#This Row],[FY]]</f>
        <v>AUG, FY25</v>
      </c>
      <c r="H322" s="2" t="str">
        <f>Table13[[#This Row],[Week]]&amp;", "&amp;Table13[[#This Row],[Month]]&amp;" "&amp;Table13[[#This Row],[FY]]</f>
        <v>Week 7, AUG FY25</v>
      </c>
      <c r="I322" s="2" t="str">
        <f>Table13[[#This Row],[Month]]&amp;", "&amp;Table13[[#This Row],[FY]]</f>
        <v>AUG, FY25</v>
      </c>
      <c r="J322" s="2" t="str">
        <f>"Q"&amp;Table13[[#This Row],[QTR]]&amp;", "&amp;Table13[[#This Row],[FY]]</f>
        <v>Q1, FY25</v>
      </c>
    </row>
    <row r="323" spans="1:10" x14ac:dyDescent="0.25">
      <c r="A323" s="1">
        <f t="shared" si="26"/>
        <v>45523</v>
      </c>
      <c r="B323" s="1">
        <f t="shared" si="26"/>
        <v>45529</v>
      </c>
      <c r="C323" s="2" t="s">
        <v>191</v>
      </c>
      <c r="D323" s="2" t="s">
        <v>188</v>
      </c>
      <c r="E323" s="2">
        <v>1</v>
      </c>
      <c r="F323" s="2" t="s">
        <v>252</v>
      </c>
      <c r="G323" s="2" t="str">
        <f>Table13[[#This Row],[Month]]&amp;", "&amp;Table13[[#This Row],[FY]]</f>
        <v>AUG, FY25</v>
      </c>
      <c r="H323" s="2" t="str">
        <f>Table13[[#This Row],[Week]]&amp;", "&amp;Table13[[#This Row],[Month]]&amp;" "&amp;Table13[[#This Row],[FY]]</f>
        <v>Week 8, AUG FY25</v>
      </c>
      <c r="I323" s="2" t="str">
        <f>Table13[[#This Row],[Month]]&amp;", "&amp;Table13[[#This Row],[FY]]</f>
        <v>AUG, FY25</v>
      </c>
      <c r="J323" s="2" t="str">
        <f>"Q"&amp;Table13[[#This Row],[QTR]]&amp;", "&amp;Table13[[#This Row],[FY]]</f>
        <v>Q1, FY25</v>
      </c>
    </row>
    <row r="324" spans="1:10" x14ac:dyDescent="0.25">
      <c r="A324" s="1">
        <f t="shared" si="26"/>
        <v>45530</v>
      </c>
      <c r="B324" s="1">
        <f t="shared" si="26"/>
        <v>45536</v>
      </c>
      <c r="C324" s="2" t="s">
        <v>192</v>
      </c>
      <c r="D324" s="2" t="s">
        <v>188</v>
      </c>
      <c r="E324" s="2">
        <v>1</v>
      </c>
      <c r="F324" s="2" t="s">
        <v>252</v>
      </c>
      <c r="G324" s="2" t="str">
        <f>Table13[[#This Row],[Month]]&amp;", "&amp;Table13[[#This Row],[FY]]</f>
        <v>AUG, FY25</v>
      </c>
      <c r="H324" s="2" t="str">
        <f>Table13[[#This Row],[Week]]&amp;", "&amp;Table13[[#This Row],[Month]]&amp;" "&amp;Table13[[#This Row],[FY]]</f>
        <v>Week 9, AUG FY25</v>
      </c>
      <c r="I324" s="2" t="str">
        <f>Table13[[#This Row],[Month]]&amp;", "&amp;Table13[[#This Row],[FY]]</f>
        <v>AUG, FY25</v>
      </c>
      <c r="J324" s="2" t="str">
        <f>"Q"&amp;Table13[[#This Row],[QTR]]&amp;", "&amp;Table13[[#This Row],[FY]]</f>
        <v>Q1, FY25</v>
      </c>
    </row>
    <row r="325" spans="1:10" x14ac:dyDescent="0.25">
      <c r="A325" s="1">
        <f t="shared" si="26"/>
        <v>45537</v>
      </c>
      <c r="B325" s="1">
        <f t="shared" si="26"/>
        <v>45543</v>
      </c>
      <c r="C325" s="2" t="s">
        <v>193</v>
      </c>
      <c r="D325" s="2" t="s">
        <v>194</v>
      </c>
      <c r="E325" s="2">
        <v>1</v>
      </c>
      <c r="F325" s="2" t="s">
        <v>252</v>
      </c>
      <c r="G325" s="2" t="str">
        <f>Table13[[#This Row],[Month]]&amp;", "&amp;Table13[[#This Row],[FY]]</f>
        <v>SEP, FY25</v>
      </c>
      <c r="H325" s="2" t="str">
        <f>Table13[[#This Row],[Week]]&amp;", "&amp;Table13[[#This Row],[Month]]&amp;" "&amp;Table13[[#This Row],[FY]]</f>
        <v>Week 10, SEP FY25</v>
      </c>
      <c r="I325" s="2" t="str">
        <f>Table13[[#This Row],[Month]]&amp;", "&amp;Table13[[#This Row],[FY]]</f>
        <v>SEP, FY25</v>
      </c>
      <c r="J325" s="2" t="str">
        <f>"Q"&amp;Table13[[#This Row],[QTR]]&amp;", "&amp;Table13[[#This Row],[FY]]</f>
        <v>Q1, FY25</v>
      </c>
    </row>
    <row r="326" spans="1:10" x14ac:dyDescent="0.25">
      <c r="A326" s="1">
        <f t="shared" si="26"/>
        <v>45544</v>
      </c>
      <c r="B326" s="1">
        <f t="shared" si="26"/>
        <v>45550</v>
      </c>
      <c r="C326" s="2" t="s">
        <v>195</v>
      </c>
      <c r="D326" s="2" t="s">
        <v>194</v>
      </c>
      <c r="E326" s="2">
        <v>1</v>
      </c>
      <c r="F326" s="2" t="s">
        <v>252</v>
      </c>
      <c r="G326" s="2" t="str">
        <f>Table13[[#This Row],[Month]]&amp;", "&amp;Table13[[#This Row],[FY]]</f>
        <v>SEP, FY25</v>
      </c>
      <c r="H326" s="2" t="str">
        <f>Table13[[#This Row],[Week]]&amp;", "&amp;Table13[[#This Row],[Month]]&amp;" "&amp;Table13[[#This Row],[FY]]</f>
        <v>Week 11, SEP FY25</v>
      </c>
      <c r="I326" s="2" t="str">
        <f>Table13[[#This Row],[Month]]&amp;", "&amp;Table13[[#This Row],[FY]]</f>
        <v>SEP, FY25</v>
      </c>
      <c r="J326" s="2" t="str">
        <f>"Q"&amp;Table13[[#This Row],[QTR]]&amp;", "&amp;Table13[[#This Row],[FY]]</f>
        <v>Q1, FY25</v>
      </c>
    </row>
    <row r="327" spans="1:10" x14ac:dyDescent="0.25">
      <c r="A327" s="1">
        <f t="shared" si="26"/>
        <v>45551</v>
      </c>
      <c r="B327" s="1">
        <f t="shared" si="26"/>
        <v>45557</v>
      </c>
      <c r="C327" s="2" t="s">
        <v>196</v>
      </c>
      <c r="D327" s="2" t="s">
        <v>194</v>
      </c>
      <c r="E327" s="2">
        <v>1</v>
      </c>
      <c r="F327" s="2" t="s">
        <v>252</v>
      </c>
      <c r="G327" s="2" t="str">
        <f>Table13[[#This Row],[Month]]&amp;", "&amp;Table13[[#This Row],[FY]]</f>
        <v>SEP, FY25</v>
      </c>
      <c r="H327" s="2" t="str">
        <f>Table13[[#This Row],[Week]]&amp;", "&amp;Table13[[#This Row],[Month]]&amp;" "&amp;Table13[[#This Row],[FY]]</f>
        <v>Week 12, SEP FY25</v>
      </c>
      <c r="I327" s="2" t="str">
        <f>Table13[[#This Row],[Month]]&amp;", "&amp;Table13[[#This Row],[FY]]</f>
        <v>SEP, FY25</v>
      </c>
      <c r="J327" s="2" t="str">
        <f>"Q"&amp;Table13[[#This Row],[QTR]]&amp;", "&amp;Table13[[#This Row],[FY]]</f>
        <v>Q1, FY25</v>
      </c>
    </row>
    <row r="328" spans="1:10" x14ac:dyDescent="0.25">
      <c r="A328" s="1">
        <f t="shared" si="26"/>
        <v>45558</v>
      </c>
      <c r="B328" s="1">
        <f t="shared" si="26"/>
        <v>45564</v>
      </c>
      <c r="C328" s="2" t="s">
        <v>197</v>
      </c>
      <c r="D328" s="2" t="s">
        <v>194</v>
      </c>
      <c r="E328" s="2">
        <v>1</v>
      </c>
      <c r="F328" s="2" t="s">
        <v>252</v>
      </c>
      <c r="G328" s="2" t="str">
        <f>Table13[[#This Row],[Month]]&amp;", "&amp;Table13[[#This Row],[FY]]</f>
        <v>SEP, FY25</v>
      </c>
      <c r="H328" s="2" t="str">
        <f>Table13[[#This Row],[Week]]&amp;", "&amp;Table13[[#This Row],[Month]]&amp;" "&amp;Table13[[#This Row],[FY]]</f>
        <v>Week 13, SEP FY25</v>
      </c>
      <c r="I328" s="2" t="str">
        <f>Table13[[#This Row],[Month]]&amp;", "&amp;Table13[[#This Row],[FY]]</f>
        <v>SEP, FY25</v>
      </c>
      <c r="J328" s="2" t="str">
        <f>"Q"&amp;Table13[[#This Row],[QTR]]&amp;", "&amp;Table13[[#This Row],[FY]]</f>
        <v>Q1, FY25</v>
      </c>
    </row>
    <row r="329" spans="1:10" x14ac:dyDescent="0.25">
      <c r="A329" s="1">
        <f t="shared" si="26"/>
        <v>45565</v>
      </c>
      <c r="B329" s="1">
        <f t="shared" si="26"/>
        <v>45571</v>
      </c>
      <c r="C329" s="2" t="s">
        <v>198</v>
      </c>
      <c r="D329" s="2" t="s">
        <v>199</v>
      </c>
      <c r="E329" s="2">
        <v>2</v>
      </c>
      <c r="F329" s="2" t="s">
        <v>252</v>
      </c>
      <c r="G329" s="2" t="str">
        <f>Table13[[#This Row],[Month]]&amp;", "&amp;Table13[[#This Row],[FY]]</f>
        <v>OCT, FY25</v>
      </c>
      <c r="H329" s="2" t="str">
        <f>Table13[[#This Row],[Week]]&amp;", "&amp;Table13[[#This Row],[Month]]&amp;" "&amp;Table13[[#This Row],[FY]]</f>
        <v>Week 14, OCT FY25</v>
      </c>
      <c r="I329" s="2" t="str">
        <f>Table13[[#This Row],[Month]]&amp;", "&amp;Table13[[#This Row],[FY]]</f>
        <v>OCT, FY25</v>
      </c>
      <c r="J329" s="2" t="str">
        <f>"Q"&amp;Table13[[#This Row],[QTR]]&amp;", "&amp;Table13[[#This Row],[FY]]</f>
        <v>Q2, FY25</v>
      </c>
    </row>
    <row r="330" spans="1:10" x14ac:dyDescent="0.25">
      <c r="A330" s="1">
        <f t="shared" si="26"/>
        <v>45572</v>
      </c>
      <c r="B330" s="1">
        <f t="shared" si="26"/>
        <v>45578</v>
      </c>
      <c r="C330" s="2" t="s">
        <v>200</v>
      </c>
      <c r="D330" s="2" t="s">
        <v>199</v>
      </c>
      <c r="E330" s="2">
        <v>2</v>
      </c>
      <c r="F330" s="2" t="s">
        <v>252</v>
      </c>
      <c r="G330" s="2" t="str">
        <f>Table13[[#This Row],[Month]]&amp;", "&amp;Table13[[#This Row],[FY]]</f>
        <v>OCT, FY25</v>
      </c>
      <c r="H330" s="2" t="str">
        <f>Table13[[#This Row],[Week]]&amp;", "&amp;Table13[[#This Row],[Month]]&amp;" "&amp;Table13[[#This Row],[FY]]</f>
        <v>Week 15, OCT FY25</v>
      </c>
      <c r="I330" s="2" t="str">
        <f>Table13[[#This Row],[Month]]&amp;", "&amp;Table13[[#This Row],[FY]]</f>
        <v>OCT, FY25</v>
      </c>
      <c r="J330" s="2" t="str">
        <f>"Q"&amp;Table13[[#This Row],[QTR]]&amp;", "&amp;Table13[[#This Row],[FY]]</f>
        <v>Q2, FY25</v>
      </c>
    </row>
    <row r="331" spans="1:10" x14ac:dyDescent="0.25">
      <c r="A331" s="1">
        <f t="shared" si="26"/>
        <v>45579</v>
      </c>
      <c r="B331" s="1">
        <f t="shared" si="26"/>
        <v>45585</v>
      </c>
      <c r="C331" s="2" t="s">
        <v>201</v>
      </c>
      <c r="D331" s="2" t="s">
        <v>199</v>
      </c>
      <c r="E331" s="2">
        <v>2</v>
      </c>
      <c r="F331" s="2" t="s">
        <v>252</v>
      </c>
      <c r="G331" s="2" t="str">
        <f>Table13[[#This Row],[Month]]&amp;", "&amp;Table13[[#This Row],[FY]]</f>
        <v>OCT, FY25</v>
      </c>
      <c r="H331" s="2" t="str">
        <f>Table13[[#This Row],[Week]]&amp;", "&amp;Table13[[#This Row],[Month]]&amp;" "&amp;Table13[[#This Row],[FY]]</f>
        <v>Week 16, OCT FY25</v>
      </c>
      <c r="I331" s="2" t="str">
        <f>Table13[[#This Row],[Month]]&amp;", "&amp;Table13[[#This Row],[FY]]</f>
        <v>OCT, FY25</v>
      </c>
      <c r="J331" s="2" t="str">
        <f>"Q"&amp;Table13[[#This Row],[QTR]]&amp;", "&amp;Table13[[#This Row],[FY]]</f>
        <v>Q2, FY25</v>
      </c>
    </row>
    <row r="332" spans="1:10" x14ac:dyDescent="0.25">
      <c r="A332" s="1">
        <f t="shared" si="26"/>
        <v>45586</v>
      </c>
      <c r="B332" s="1">
        <f t="shared" si="26"/>
        <v>45592</v>
      </c>
      <c r="C332" s="2" t="s">
        <v>202</v>
      </c>
      <c r="D332" s="2" t="s">
        <v>199</v>
      </c>
      <c r="E332" s="2">
        <v>2</v>
      </c>
      <c r="F332" s="2" t="s">
        <v>252</v>
      </c>
      <c r="G332" s="2" t="str">
        <f>Table13[[#This Row],[Month]]&amp;", "&amp;Table13[[#This Row],[FY]]</f>
        <v>OCT, FY25</v>
      </c>
      <c r="H332" s="2" t="str">
        <f>Table13[[#This Row],[Week]]&amp;", "&amp;Table13[[#This Row],[Month]]&amp;" "&amp;Table13[[#This Row],[FY]]</f>
        <v>Week 17, OCT FY25</v>
      </c>
      <c r="I332" s="2" t="str">
        <f>Table13[[#This Row],[Month]]&amp;", "&amp;Table13[[#This Row],[FY]]</f>
        <v>OCT, FY25</v>
      </c>
      <c r="J332" s="2" t="str">
        <f>"Q"&amp;Table13[[#This Row],[QTR]]&amp;", "&amp;Table13[[#This Row],[FY]]</f>
        <v>Q2, FY25</v>
      </c>
    </row>
    <row r="333" spans="1:10" x14ac:dyDescent="0.25">
      <c r="A333" s="1">
        <f t="shared" si="26"/>
        <v>45593</v>
      </c>
      <c r="B333" s="1">
        <f t="shared" si="26"/>
        <v>45599</v>
      </c>
      <c r="C333" s="2" t="s">
        <v>203</v>
      </c>
      <c r="D333" s="2" t="s">
        <v>204</v>
      </c>
      <c r="E333" s="2">
        <v>2</v>
      </c>
      <c r="F333" s="2" t="s">
        <v>252</v>
      </c>
      <c r="G333" s="2" t="str">
        <f>Table13[[#This Row],[Month]]&amp;", "&amp;Table13[[#This Row],[FY]]</f>
        <v>NOV, FY25</v>
      </c>
      <c r="H333" s="2" t="str">
        <f>Table13[[#This Row],[Week]]&amp;", "&amp;Table13[[#This Row],[Month]]&amp;" "&amp;Table13[[#This Row],[FY]]</f>
        <v>Week 18, NOV FY25</v>
      </c>
      <c r="I333" s="2" t="str">
        <f>Table13[[#This Row],[Month]]&amp;", "&amp;Table13[[#This Row],[FY]]</f>
        <v>NOV, FY25</v>
      </c>
      <c r="J333" s="2" t="str">
        <f>"Q"&amp;Table13[[#This Row],[QTR]]&amp;", "&amp;Table13[[#This Row],[FY]]</f>
        <v>Q2, FY25</v>
      </c>
    </row>
    <row r="334" spans="1:10" x14ac:dyDescent="0.25">
      <c r="A334" s="1">
        <f t="shared" si="26"/>
        <v>45600</v>
      </c>
      <c r="B334" s="1">
        <f t="shared" si="26"/>
        <v>45606</v>
      </c>
      <c r="C334" s="2" t="s">
        <v>205</v>
      </c>
      <c r="D334" s="2" t="s">
        <v>204</v>
      </c>
      <c r="E334" s="2">
        <v>2</v>
      </c>
      <c r="F334" s="2" t="s">
        <v>252</v>
      </c>
      <c r="G334" s="2" t="str">
        <f>Table13[[#This Row],[Month]]&amp;", "&amp;Table13[[#This Row],[FY]]</f>
        <v>NOV, FY25</v>
      </c>
      <c r="H334" s="2" t="str">
        <f>Table13[[#This Row],[Week]]&amp;", "&amp;Table13[[#This Row],[Month]]&amp;" "&amp;Table13[[#This Row],[FY]]</f>
        <v>Week 19, NOV FY25</v>
      </c>
      <c r="I334" s="2" t="str">
        <f>Table13[[#This Row],[Month]]&amp;", "&amp;Table13[[#This Row],[FY]]</f>
        <v>NOV, FY25</v>
      </c>
      <c r="J334" s="2" t="str">
        <f>"Q"&amp;Table13[[#This Row],[QTR]]&amp;", "&amp;Table13[[#This Row],[FY]]</f>
        <v>Q2, FY25</v>
      </c>
    </row>
    <row r="335" spans="1:10" x14ac:dyDescent="0.25">
      <c r="A335" s="1">
        <f t="shared" si="26"/>
        <v>45607</v>
      </c>
      <c r="B335" s="1">
        <f t="shared" si="26"/>
        <v>45613</v>
      </c>
      <c r="C335" s="2" t="s">
        <v>206</v>
      </c>
      <c r="D335" s="2" t="s">
        <v>204</v>
      </c>
      <c r="E335" s="2">
        <v>2</v>
      </c>
      <c r="F335" s="2" t="s">
        <v>252</v>
      </c>
      <c r="G335" s="2" t="str">
        <f>Table13[[#This Row],[Month]]&amp;", "&amp;Table13[[#This Row],[FY]]</f>
        <v>NOV, FY25</v>
      </c>
      <c r="H335" s="2" t="str">
        <f>Table13[[#This Row],[Week]]&amp;", "&amp;Table13[[#This Row],[Month]]&amp;" "&amp;Table13[[#This Row],[FY]]</f>
        <v>Week 20, NOV FY25</v>
      </c>
      <c r="I335" s="2" t="str">
        <f>Table13[[#This Row],[Month]]&amp;", "&amp;Table13[[#This Row],[FY]]</f>
        <v>NOV, FY25</v>
      </c>
      <c r="J335" s="2" t="str">
        <f>"Q"&amp;Table13[[#This Row],[QTR]]&amp;", "&amp;Table13[[#This Row],[FY]]</f>
        <v>Q2, FY25</v>
      </c>
    </row>
    <row r="336" spans="1:10" x14ac:dyDescent="0.25">
      <c r="A336" s="1">
        <f t="shared" ref="A336:B351" si="27">A335+7</f>
        <v>45614</v>
      </c>
      <c r="B336" s="1">
        <f t="shared" si="27"/>
        <v>45620</v>
      </c>
      <c r="C336" s="2" t="s">
        <v>207</v>
      </c>
      <c r="D336" s="2" t="s">
        <v>204</v>
      </c>
      <c r="E336" s="2">
        <v>2</v>
      </c>
      <c r="F336" s="2" t="s">
        <v>252</v>
      </c>
      <c r="G336" s="2" t="str">
        <f>Table13[[#This Row],[Month]]&amp;", "&amp;Table13[[#This Row],[FY]]</f>
        <v>NOV, FY25</v>
      </c>
      <c r="H336" s="2" t="str">
        <f>Table13[[#This Row],[Week]]&amp;", "&amp;Table13[[#This Row],[Month]]&amp;" "&amp;Table13[[#This Row],[FY]]</f>
        <v>Week 21, NOV FY25</v>
      </c>
      <c r="I336" s="2" t="str">
        <f>Table13[[#This Row],[Month]]&amp;", "&amp;Table13[[#This Row],[FY]]</f>
        <v>NOV, FY25</v>
      </c>
      <c r="J336" s="2" t="str">
        <f>"Q"&amp;Table13[[#This Row],[QTR]]&amp;", "&amp;Table13[[#This Row],[FY]]</f>
        <v>Q2, FY25</v>
      </c>
    </row>
    <row r="337" spans="1:10" x14ac:dyDescent="0.25">
      <c r="A337" s="1">
        <f t="shared" si="27"/>
        <v>45621</v>
      </c>
      <c r="B337" s="1">
        <f t="shared" si="27"/>
        <v>45627</v>
      </c>
      <c r="C337" s="2" t="s">
        <v>208</v>
      </c>
      <c r="D337" s="2" t="s">
        <v>204</v>
      </c>
      <c r="E337" s="2">
        <v>2</v>
      </c>
      <c r="F337" s="2" t="s">
        <v>252</v>
      </c>
      <c r="G337" s="2" t="str">
        <f>Table13[[#This Row],[Month]]&amp;", "&amp;Table13[[#This Row],[FY]]</f>
        <v>NOV, FY25</v>
      </c>
      <c r="H337" s="2" t="str">
        <f>Table13[[#This Row],[Week]]&amp;", "&amp;Table13[[#This Row],[Month]]&amp;" "&amp;Table13[[#This Row],[FY]]</f>
        <v>Week 22, NOV FY25</v>
      </c>
      <c r="I337" s="2" t="str">
        <f>Table13[[#This Row],[Month]]&amp;", "&amp;Table13[[#This Row],[FY]]</f>
        <v>NOV, FY25</v>
      </c>
      <c r="J337" s="2" t="str">
        <f>"Q"&amp;Table13[[#This Row],[QTR]]&amp;", "&amp;Table13[[#This Row],[FY]]</f>
        <v>Q2, FY25</v>
      </c>
    </row>
    <row r="338" spans="1:10" x14ac:dyDescent="0.25">
      <c r="A338" s="1">
        <f t="shared" si="27"/>
        <v>45628</v>
      </c>
      <c r="B338" s="1">
        <f t="shared" si="27"/>
        <v>45634</v>
      </c>
      <c r="C338" s="2" t="s">
        <v>209</v>
      </c>
      <c r="D338" s="2" t="s">
        <v>210</v>
      </c>
      <c r="E338" s="2">
        <v>2</v>
      </c>
      <c r="F338" s="2" t="s">
        <v>252</v>
      </c>
      <c r="G338" s="2" t="str">
        <f>Table13[[#This Row],[Month]]&amp;", "&amp;Table13[[#This Row],[FY]]</f>
        <v>DEC, FY25</v>
      </c>
      <c r="H338" s="2" t="str">
        <f>Table13[[#This Row],[Week]]&amp;", "&amp;Table13[[#This Row],[Month]]&amp;" "&amp;Table13[[#This Row],[FY]]</f>
        <v>Week 23, DEC FY25</v>
      </c>
      <c r="I338" s="2" t="str">
        <f>Table13[[#This Row],[Month]]&amp;", "&amp;Table13[[#This Row],[FY]]</f>
        <v>DEC, FY25</v>
      </c>
      <c r="J338" s="2" t="str">
        <f>"Q"&amp;Table13[[#This Row],[QTR]]&amp;", "&amp;Table13[[#This Row],[FY]]</f>
        <v>Q2, FY25</v>
      </c>
    </row>
    <row r="339" spans="1:10" x14ac:dyDescent="0.25">
      <c r="A339" s="1">
        <f t="shared" si="27"/>
        <v>45635</v>
      </c>
      <c r="B339" s="1">
        <f t="shared" si="27"/>
        <v>45641</v>
      </c>
      <c r="C339" s="2" t="s">
        <v>211</v>
      </c>
      <c r="D339" s="2" t="s">
        <v>210</v>
      </c>
      <c r="E339" s="2">
        <v>2</v>
      </c>
      <c r="F339" s="2" t="s">
        <v>252</v>
      </c>
      <c r="G339" s="2" t="str">
        <f>Table13[[#This Row],[Month]]&amp;", "&amp;Table13[[#This Row],[FY]]</f>
        <v>DEC, FY25</v>
      </c>
      <c r="H339" s="2" t="str">
        <f>Table13[[#This Row],[Week]]&amp;", "&amp;Table13[[#This Row],[Month]]&amp;" "&amp;Table13[[#This Row],[FY]]</f>
        <v>Week 24, DEC FY25</v>
      </c>
      <c r="I339" s="2" t="str">
        <f>Table13[[#This Row],[Month]]&amp;", "&amp;Table13[[#This Row],[FY]]</f>
        <v>DEC, FY25</v>
      </c>
      <c r="J339" s="2" t="str">
        <f>"Q"&amp;Table13[[#This Row],[QTR]]&amp;", "&amp;Table13[[#This Row],[FY]]</f>
        <v>Q2, FY25</v>
      </c>
    </row>
    <row r="340" spans="1:10" x14ac:dyDescent="0.25">
      <c r="A340" s="1">
        <f t="shared" si="27"/>
        <v>45642</v>
      </c>
      <c r="B340" s="1">
        <f t="shared" si="27"/>
        <v>45648</v>
      </c>
      <c r="C340" s="2" t="s">
        <v>212</v>
      </c>
      <c r="D340" s="2" t="s">
        <v>210</v>
      </c>
      <c r="E340" s="2">
        <v>2</v>
      </c>
      <c r="F340" s="2" t="s">
        <v>252</v>
      </c>
      <c r="G340" s="2" t="str">
        <f>Table13[[#This Row],[Month]]&amp;", "&amp;Table13[[#This Row],[FY]]</f>
        <v>DEC, FY25</v>
      </c>
      <c r="H340" s="2" t="str">
        <f>Table13[[#This Row],[Week]]&amp;", "&amp;Table13[[#This Row],[Month]]&amp;" "&amp;Table13[[#This Row],[FY]]</f>
        <v>Week 25, DEC FY25</v>
      </c>
      <c r="I340" s="2" t="str">
        <f>Table13[[#This Row],[Month]]&amp;", "&amp;Table13[[#This Row],[FY]]</f>
        <v>DEC, FY25</v>
      </c>
      <c r="J340" s="2" t="str">
        <f>"Q"&amp;Table13[[#This Row],[QTR]]&amp;", "&amp;Table13[[#This Row],[FY]]</f>
        <v>Q2, FY25</v>
      </c>
    </row>
    <row r="341" spans="1:10" x14ac:dyDescent="0.25">
      <c r="A341" s="1">
        <f t="shared" si="27"/>
        <v>45649</v>
      </c>
      <c r="B341" s="1">
        <f t="shared" si="27"/>
        <v>45655</v>
      </c>
      <c r="C341" s="2" t="s">
        <v>213</v>
      </c>
      <c r="D341" s="2" t="s">
        <v>210</v>
      </c>
      <c r="E341" s="2">
        <v>2</v>
      </c>
      <c r="F341" s="2" t="s">
        <v>252</v>
      </c>
      <c r="G341" s="2" t="str">
        <f>Table13[[#This Row],[Month]]&amp;", "&amp;Table13[[#This Row],[FY]]</f>
        <v>DEC, FY25</v>
      </c>
      <c r="H341" s="2" t="str">
        <f>Table13[[#This Row],[Week]]&amp;", "&amp;Table13[[#This Row],[Month]]&amp;" "&amp;Table13[[#This Row],[FY]]</f>
        <v>Week 26, DEC FY25</v>
      </c>
      <c r="I341" s="2" t="str">
        <f>Table13[[#This Row],[Month]]&amp;", "&amp;Table13[[#This Row],[FY]]</f>
        <v>DEC, FY25</v>
      </c>
      <c r="J341" s="2" t="str">
        <f>"Q"&amp;Table13[[#This Row],[QTR]]&amp;", "&amp;Table13[[#This Row],[FY]]</f>
        <v>Q2, FY25</v>
      </c>
    </row>
    <row r="342" spans="1:10" x14ac:dyDescent="0.25">
      <c r="A342" s="1">
        <f t="shared" si="27"/>
        <v>45656</v>
      </c>
      <c r="B342" s="1">
        <f t="shared" si="27"/>
        <v>45662</v>
      </c>
      <c r="C342" s="2" t="s">
        <v>214</v>
      </c>
      <c r="D342" s="2" t="s">
        <v>215</v>
      </c>
      <c r="E342" s="2">
        <v>3</v>
      </c>
      <c r="F342" s="2" t="s">
        <v>252</v>
      </c>
      <c r="G342" s="2" t="str">
        <f>Table13[[#This Row],[Month]]&amp;", "&amp;Table13[[#This Row],[FY]]</f>
        <v>JAN, FY25</v>
      </c>
      <c r="H342" s="2" t="str">
        <f>Table13[[#This Row],[Week]]&amp;", "&amp;Table13[[#This Row],[Month]]&amp;" "&amp;Table13[[#This Row],[FY]]</f>
        <v>Week 27, JAN FY25</v>
      </c>
      <c r="I342" s="2" t="str">
        <f>Table13[[#This Row],[Month]]&amp;", "&amp;Table13[[#This Row],[FY]]</f>
        <v>JAN, FY25</v>
      </c>
      <c r="J342" s="2" t="str">
        <f>"Q"&amp;Table13[[#This Row],[QTR]]&amp;", "&amp;Table13[[#This Row],[FY]]</f>
        <v>Q3, FY25</v>
      </c>
    </row>
    <row r="343" spans="1:10" x14ac:dyDescent="0.25">
      <c r="A343" s="1">
        <f t="shared" si="27"/>
        <v>45663</v>
      </c>
      <c r="B343" s="1">
        <f t="shared" si="27"/>
        <v>45669</v>
      </c>
      <c r="C343" s="2" t="s">
        <v>216</v>
      </c>
      <c r="D343" s="2" t="s">
        <v>215</v>
      </c>
      <c r="E343" s="2">
        <v>3</v>
      </c>
      <c r="F343" s="2" t="s">
        <v>252</v>
      </c>
      <c r="G343" s="2" t="str">
        <f>Table13[[#This Row],[Month]]&amp;", "&amp;Table13[[#This Row],[FY]]</f>
        <v>JAN, FY25</v>
      </c>
      <c r="H343" s="2" t="str">
        <f>Table13[[#This Row],[Week]]&amp;", "&amp;Table13[[#This Row],[Month]]&amp;" "&amp;Table13[[#This Row],[FY]]</f>
        <v>Week 28, JAN FY25</v>
      </c>
      <c r="I343" s="2" t="str">
        <f>Table13[[#This Row],[Month]]&amp;", "&amp;Table13[[#This Row],[FY]]</f>
        <v>JAN, FY25</v>
      </c>
      <c r="J343" s="2" t="str">
        <f>"Q"&amp;Table13[[#This Row],[QTR]]&amp;", "&amp;Table13[[#This Row],[FY]]</f>
        <v>Q3, FY25</v>
      </c>
    </row>
    <row r="344" spans="1:10" x14ac:dyDescent="0.25">
      <c r="A344" s="1">
        <f t="shared" si="27"/>
        <v>45670</v>
      </c>
      <c r="B344" s="1">
        <f t="shared" si="27"/>
        <v>45676</v>
      </c>
      <c r="C344" s="2" t="s">
        <v>217</v>
      </c>
      <c r="D344" s="2" t="s">
        <v>215</v>
      </c>
      <c r="E344" s="2">
        <v>3</v>
      </c>
      <c r="F344" s="2" t="s">
        <v>252</v>
      </c>
      <c r="G344" s="2" t="str">
        <f>Table13[[#This Row],[Month]]&amp;", "&amp;Table13[[#This Row],[FY]]</f>
        <v>JAN, FY25</v>
      </c>
      <c r="H344" s="2" t="str">
        <f>Table13[[#This Row],[Week]]&amp;", "&amp;Table13[[#This Row],[Month]]&amp;" "&amp;Table13[[#This Row],[FY]]</f>
        <v>Week 29, JAN FY25</v>
      </c>
      <c r="I344" s="2" t="str">
        <f>Table13[[#This Row],[Month]]&amp;", "&amp;Table13[[#This Row],[FY]]</f>
        <v>JAN, FY25</v>
      </c>
      <c r="J344" s="2" t="str">
        <f>"Q"&amp;Table13[[#This Row],[QTR]]&amp;", "&amp;Table13[[#This Row],[FY]]</f>
        <v>Q3, FY25</v>
      </c>
    </row>
    <row r="345" spans="1:10" x14ac:dyDescent="0.25">
      <c r="A345" s="1">
        <f t="shared" si="27"/>
        <v>45677</v>
      </c>
      <c r="B345" s="1">
        <f t="shared" si="27"/>
        <v>45683</v>
      </c>
      <c r="C345" s="2" t="s">
        <v>218</v>
      </c>
      <c r="D345" s="2" t="s">
        <v>215</v>
      </c>
      <c r="E345" s="2">
        <v>3</v>
      </c>
      <c r="F345" s="2" t="s">
        <v>252</v>
      </c>
      <c r="G345" s="2" t="str">
        <f>Table13[[#This Row],[Month]]&amp;", "&amp;Table13[[#This Row],[FY]]</f>
        <v>JAN, FY25</v>
      </c>
      <c r="H345" s="2" t="str">
        <f>Table13[[#This Row],[Week]]&amp;", "&amp;Table13[[#This Row],[Month]]&amp;" "&amp;Table13[[#This Row],[FY]]</f>
        <v>Week 30, JAN FY25</v>
      </c>
      <c r="I345" s="2" t="str">
        <f>Table13[[#This Row],[Month]]&amp;", "&amp;Table13[[#This Row],[FY]]</f>
        <v>JAN, FY25</v>
      </c>
      <c r="J345" s="2" t="str">
        <f>"Q"&amp;Table13[[#This Row],[QTR]]&amp;", "&amp;Table13[[#This Row],[FY]]</f>
        <v>Q3, FY25</v>
      </c>
    </row>
    <row r="346" spans="1:10" x14ac:dyDescent="0.25">
      <c r="A346" s="1">
        <f t="shared" si="27"/>
        <v>45684</v>
      </c>
      <c r="B346" s="1">
        <f t="shared" si="27"/>
        <v>45690</v>
      </c>
      <c r="C346" s="2" t="s">
        <v>219</v>
      </c>
      <c r="D346" s="2" t="s">
        <v>220</v>
      </c>
      <c r="E346" s="2">
        <v>3</v>
      </c>
      <c r="F346" s="2" t="s">
        <v>252</v>
      </c>
      <c r="G346" s="2" t="str">
        <f>Table13[[#This Row],[Month]]&amp;", "&amp;Table13[[#This Row],[FY]]</f>
        <v>FEB, FY25</v>
      </c>
      <c r="H346" s="2" t="str">
        <f>Table13[[#This Row],[Week]]&amp;", "&amp;Table13[[#This Row],[Month]]&amp;" "&amp;Table13[[#This Row],[FY]]</f>
        <v>Week 31, FEB FY25</v>
      </c>
      <c r="I346" s="2" t="str">
        <f>Table13[[#This Row],[Month]]&amp;", "&amp;Table13[[#This Row],[FY]]</f>
        <v>FEB, FY25</v>
      </c>
      <c r="J346" s="2" t="str">
        <f>"Q"&amp;Table13[[#This Row],[QTR]]&amp;", "&amp;Table13[[#This Row],[FY]]</f>
        <v>Q3, FY25</v>
      </c>
    </row>
    <row r="347" spans="1:10" x14ac:dyDescent="0.25">
      <c r="A347" s="1">
        <f t="shared" si="27"/>
        <v>45691</v>
      </c>
      <c r="B347" s="1">
        <f t="shared" si="27"/>
        <v>45697</v>
      </c>
      <c r="C347" s="2" t="s">
        <v>221</v>
      </c>
      <c r="D347" s="2" t="s">
        <v>220</v>
      </c>
      <c r="E347" s="2">
        <v>3</v>
      </c>
      <c r="F347" s="2" t="s">
        <v>252</v>
      </c>
      <c r="G347" s="2" t="str">
        <f>Table13[[#This Row],[Month]]&amp;", "&amp;Table13[[#This Row],[FY]]</f>
        <v>FEB, FY25</v>
      </c>
      <c r="H347" s="2" t="str">
        <f>Table13[[#This Row],[Week]]&amp;", "&amp;Table13[[#This Row],[Month]]&amp;" "&amp;Table13[[#This Row],[FY]]</f>
        <v>Week 32, FEB FY25</v>
      </c>
      <c r="I347" s="2" t="str">
        <f>Table13[[#This Row],[Month]]&amp;", "&amp;Table13[[#This Row],[FY]]</f>
        <v>FEB, FY25</v>
      </c>
      <c r="J347" s="2" t="str">
        <f>"Q"&amp;Table13[[#This Row],[QTR]]&amp;", "&amp;Table13[[#This Row],[FY]]</f>
        <v>Q3, FY25</v>
      </c>
    </row>
    <row r="348" spans="1:10" x14ac:dyDescent="0.25">
      <c r="A348" s="1">
        <f t="shared" si="27"/>
        <v>45698</v>
      </c>
      <c r="B348" s="1">
        <f t="shared" si="27"/>
        <v>45704</v>
      </c>
      <c r="C348" s="2" t="s">
        <v>222</v>
      </c>
      <c r="D348" s="2" t="s">
        <v>220</v>
      </c>
      <c r="E348" s="2">
        <v>3</v>
      </c>
      <c r="F348" s="2" t="s">
        <v>252</v>
      </c>
      <c r="G348" s="2" t="str">
        <f>Table13[[#This Row],[Month]]&amp;", "&amp;Table13[[#This Row],[FY]]</f>
        <v>FEB, FY25</v>
      </c>
      <c r="H348" s="2" t="str">
        <f>Table13[[#This Row],[Week]]&amp;", "&amp;Table13[[#This Row],[Month]]&amp;" "&amp;Table13[[#This Row],[FY]]</f>
        <v>Week 33, FEB FY25</v>
      </c>
      <c r="I348" s="2" t="str">
        <f>Table13[[#This Row],[Month]]&amp;", "&amp;Table13[[#This Row],[FY]]</f>
        <v>FEB, FY25</v>
      </c>
      <c r="J348" s="2" t="str">
        <f>"Q"&amp;Table13[[#This Row],[QTR]]&amp;", "&amp;Table13[[#This Row],[FY]]</f>
        <v>Q3, FY25</v>
      </c>
    </row>
    <row r="349" spans="1:10" x14ac:dyDescent="0.25">
      <c r="A349" s="1">
        <f t="shared" si="27"/>
        <v>45705</v>
      </c>
      <c r="B349" s="1">
        <f t="shared" si="27"/>
        <v>45711</v>
      </c>
      <c r="C349" s="2" t="s">
        <v>223</v>
      </c>
      <c r="D349" s="2" t="s">
        <v>220</v>
      </c>
      <c r="E349" s="2">
        <v>3</v>
      </c>
      <c r="F349" s="2" t="s">
        <v>252</v>
      </c>
      <c r="G349" s="2" t="str">
        <f>Table13[[#This Row],[Month]]&amp;", "&amp;Table13[[#This Row],[FY]]</f>
        <v>FEB, FY25</v>
      </c>
      <c r="H349" s="2" t="str">
        <f>Table13[[#This Row],[Week]]&amp;", "&amp;Table13[[#This Row],[Month]]&amp;" "&amp;Table13[[#This Row],[FY]]</f>
        <v>Week 34, FEB FY25</v>
      </c>
      <c r="I349" s="2" t="str">
        <f>Table13[[#This Row],[Month]]&amp;", "&amp;Table13[[#This Row],[FY]]</f>
        <v>FEB, FY25</v>
      </c>
      <c r="J349" s="2" t="str">
        <f>"Q"&amp;Table13[[#This Row],[QTR]]&amp;", "&amp;Table13[[#This Row],[FY]]</f>
        <v>Q3, FY25</v>
      </c>
    </row>
    <row r="350" spans="1:10" x14ac:dyDescent="0.25">
      <c r="A350" s="1">
        <f t="shared" si="27"/>
        <v>45712</v>
      </c>
      <c r="B350" s="1">
        <f t="shared" si="27"/>
        <v>45718</v>
      </c>
      <c r="C350" s="2" t="s">
        <v>224</v>
      </c>
      <c r="D350" s="2" t="s">
        <v>220</v>
      </c>
      <c r="E350" s="2">
        <v>3</v>
      </c>
      <c r="F350" s="2" t="s">
        <v>252</v>
      </c>
      <c r="G350" s="2" t="str">
        <f>Table13[[#This Row],[Month]]&amp;", "&amp;Table13[[#This Row],[FY]]</f>
        <v>FEB, FY25</v>
      </c>
      <c r="H350" s="2" t="str">
        <f>Table13[[#This Row],[Week]]&amp;", "&amp;Table13[[#This Row],[Month]]&amp;" "&amp;Table13[[#This Row],[FY]]</f>
        <v>Week 35, FEB FY25</v>
      </c>
      <c r="I350" s="2" t="str">
        <f>Table13[[#This Row],[Month]]&amp;", "&amp;Table13[[#This Row],[FY]]</f>
        <v>FEB, FY25</v>
      </c>
      <c r="J350" s="2" t="str">
        <f>"Q"&amp;Table13[[#This Row],[QTR]]&amp;", "&amp;Table13[[#This Row],[FY]]</f>
        <v>Q3, FY25</v>
      </c>
    </row>
    <row r="351" spans="1:10" x14ac:dyDescent="0.25">
      <c r="A351" s="1">
        <f t="shared" si="27"/>
        <v>45719</v>
      </c>
      <c r="B351" s="1">
        <f t="shared" si="27"/>
        <v>45725</v>
      </c>
      <c r="C351" s="2" t="s">
        <v>225</v>
      </c>
      <c r="D351" s="2" t="s">
        <v>226</v>
      </c>
      <c r="E351" s="2">
        <v>3</v>
      </c>
      <c r="F351" s="2" t="s">
        <v>252</v>
      </c>
      <c r="G351" s="2" t="str">
        <f>Table13[[#This Row],[Month]]&amp;", "&amp;Table13[[#This Row],[FY]]</f>
        <v>MAR, FY25</v>
      </c>
      <c r="H351" s="2" t="str">
        <f>Table13[[#This Row],[Week]]&amp;", "&amp;Table13[[#This Row],[Month]]&amp;" "&amp;Table13[[#This Row],[FY]]</f>
        <v>Week 36, MAR FY25</v>
      </c>
      <c r="I351" s="2" t="str">
        <f>Table13[[#This Row],[Month]]&amp;", "&amp;Table13[[#This Row],[FY]]</f>
        <v>MAR, FY25</v>
      </c>
      <c r="J351" s="2" t="str">
        <f>"Q"&amp;Table13[[#This Row],[QTR]]&amp;", "&amp;Table13[[#This Row],[FY]]</f>
        <v>Q3, FY25</v>
      </c>
    </row>
    <row r="352" spans="1:10" x14ac:dyDescent="0.25">
      <c r="A352" s="1">
        <f t="shared" ref="A352:B367" si="28">A351+7</f>
        <v>45726</v>
      </c>
      <c r="B352" s="1">
        <f t="shared" si="28"/>
        <v>45732</v>
      </c>
      <c r="C352" s="2" t="s">
        <v>227</v>
      </c>
      <c r="D352" s="2" t="s">
        <v>226</v>
      </c>
      <c r="E352" s="2">
        <v>3</v>
      </c>
      <c r="F352" s="2" t="s">
        <v>252</v>
      </c>
      <c r="G352" s="2" t="str">
        <f>Table13[[#This Row],[Month]]&amp;", "&amp;Table13[[#This Row],[FY]]</f>
        <v>MAR, FY25</v>
      </c>
      <c r="H352" s="2" t="str">
        <f>Table13[[#This Row],[Week]]&amp;", "&amp;Table13[[#This Row],[Month]]&amp;" "&amp;Table13[[#This Row],[FY]]</f>
        <v>Week 37, MAR FY25</v>
      </c>
      <c r="I352" s="2" t="str">
        <f>Table13[[#This Row],[Month]]&amp;", "&amp;Table13[[#This Row],[FY]]</f>
        <v>MAR, FY25</v>
      </c>
      <c r="J352" s="2" t="str">
        <f>"Q"&amp;Table13[[#This Row],[QTR]]&amp;", "&amp;Table13[[#This Row],[FY]]</f>
        <v>Q3, FY25</v>
      </c>
    </row>
    <row r="353" spans="1:10" x14ac:dyDescent="0.25">
      <c r="A353" s="1">
        <f t="shared" si="28"/>
        <v>45733</v>
      </c>
      <c r="B353" s="1">
        <f t="shared" si="28"/>
        <v>45739</v>
      </c>
      <c r="C353" s="2" t="s">
        <v>228</v>
      </c>
      <c r="D353" s="2" t="s">
        <v>226</v>
      </c>
      <c r="E353" s="2">
        <v>3</v>
      </c>
      <c r="F353" s="2" t="s">
        <v>252</v>
      </c>
      <c r="G353" s="2" t="str">
        <f>Table13[[#This Row],[Month]]&amp;", "&amp;Table13[[#This Row],[FY]]</f>
        <v>MAR, FY25</v>
      </c>
      <c r="H353" s="2" t="str">
        <f>Table13[[#This Row],[Week]]&amp;", "&amp;Table13[[#This Row],[Month]]&amp;" "&amp;Table13[[#This Row],[FY]]</f>
        <v>Week 38, MAR FY25</v>
      </c>
      <c r="I353" s="2" t="str">
        <f>Table13[[#This Row],[Month]]&amp;", "&amp;Table13[[#This Row],[FY]]</f>
        <v>MAR, FY25</v>
      </c>
      <c r="J353" s="2" t="str">
        <f>"Q"&amp;Table13[[#This Row],[QTR]]&amp;", "&amp;Table13[[#This Row],[FY]]</f>
        <v>Q3, FY25</v>
      </c>
    </row>
    <row r="354" spans="1:10" x14ac:dyDescent="0.25">
      <c r="A354" s="1">
        <f t="shared" si="28"/>
        <v>45740</v>
      </c>
      <c r="B354" s="1">
        <f t="shared" si="28"/>
        <v>45746</v>
      </c>
      <c r="C354" s="2" t="s">
        <v>229</v>
      </c>
      <c r="D354" s="2" t="s">
        <v>226</v>
      </c>
      <c r="E354" s="2">
        <v>3</v>
      </c>
      <c r="F354" s="2" t="s">
        <v>252</v>
      </c>
      <c r="G354" s="2" t="str">
        <f>Table13[[#This Row],[Month]]&amp;", "&amp;Table13[[#This Row],[FY]]</f>
        <v>MAR, FY25</v>
      </c>
      <c r="H354" s="2" t="str">
        <f>Table13[[#This Row],[Week]]&amp;", "&amp;Table13[[#This Row],[Month]]&amp;" "&amp;Table13[[#This Row],[FY]]</f>
        <v>Week 39, MAR FY25</v>
      </c>
      <c r="I354" s="2" t="str">
        <f>Table13[[#This Row],[Month]]&amp;", "&amp;Table13[[#This Row],[FY]]</f>
        <v>MAR, FY25</v>
      </c>
      <c r="J354" s="2" t="str">
        <f>"Q"&amp;Table13[[#This Row],[QTR]]&amp;", "&amp;Table13[[#This Row],[FY]]</f>
        <v>Q3, FY25</v>
      </c>
    </row>
    <row r="355" spans="1:10" x14ac:dyDescent="0.25">
      <c r="A355" s="1">
        <f t="shared" si="28"/>
        <v>45747</v>
      </c>
      <c r="B355" s="1">
        <f t="shared" si="28"/>
        <v>45753</v>
      </c>
      <c r="C355" s="2" t="s">
        <v>230</v>
      </c>
      <c r="D355" s="2" t="s">
        <v>231</v>
      </c>
      <c r="E355" s="2">
        <v>4</v>
      </c>
      <c r="F355" s="2" t="s">
        <v>252</v>
      </c>
      <c r="G355" s="2" t="str">
        <f>Table13[[#This Row],[Month]]&amp;", "&amp;Table13[[#This Row],[FY]]</f>
        <v>APR, FY25</v>
      </c>
      <c r="H355" s="2" t="str">
        <f>Table13[[#This Row],[Week]]&amp;", "&amp;Table13[[#This Row],[Month]]&amp;" "&amp;Table13[[#This Row],[FY]]</f>
        <v>Week 40, APR FY25</v>
      </c>
      <c r="I355" s="2" t="str">
        <f>Table13[[#This Row],[Month]]&amp;", "&amp;Table13[[#This Row],[FY]]</f>
        <v>APR, FY25</v>
      </c>
      <c r="J355" s="2" t="str">
        <f>"Q"&amp;Table13[[#This Row],[QTR]]&amp;", "&amp;Table13[[#This Row],[FY]]</f>
        <v>Q4, FY25</v>
      </c>
    </row>
    <row r="356" spans="1:10" x14ac:dyDescent="0.25">
      <c r="A356" s="1">
        <f t="shared" si="28"/>
        <v>45754</v>
      </c>
      <c r="B356" s="1">
        <f t="shared" si="28"/>
        <v>45760</v>
      </c>
      <c r="C356" s="2" t="s">
        <v>232</v>
      </c>
      <c r="D356" s="2" t="s">
        <v>231</v>
      </c>
      <c r="E356" s="2">
        <v>4</v>
      </c>
      <c r="F356" s="2" t="s">
        <v>252</v>
      </c>
      <c r="G356" s="2" t="str">
        <f>Table13[[#This Row],[Month]]&amp;", "&amp;Table13[[#This Row],[FY]]</f>
        <v>APR, FY25</v>
      </c>
      <c r="H356" s="2" t="str">
        <f>Table13[[#This Row],[Week]]&amp;", "&amp;Table13[[#This Row],[Month]]&amp;" "&amp;Table13[[#This Row],[FY]]</f>
        <v>Week 41, APR FY25</v>
      </c>
      <c r="I356" s="2" t="str">
        <f>Table13[[#This Row],[Month]]&amp;", "&amp;Table13[[#This Row],[FY]]</f>
        <v>APR, FY25</v>
      </c>
      <c r="J356" s="2" t="str">
        <f>"Q"&amp;Table13[[#This Row],[QTR]]&amp;", "&amp;Table13[[#This Row],[FY]]</f>
        <v>Q4, FY25</v>
      </c>
    </row>
    <row r="357" spans="1:10" x14ac:dyDescent="0.25">
      <c r="A357" s="1">
        <f t="shared" si="28"/>
        <v>45761</v>
      </c>
      <c r="B357" s="1">
        <f t="shared" si="28"/>
        <v>45767</v>
      </c>
      <c r="C357" s="2" t="s">
        <v>233</v>
      </c>
      <c r="D357" s="2" t="s">
        <v>231</v>
      </c>
      <c r="E357" s="2">
        <v>4</v>
      </c>
      <c r="F357" s="2" t="s">
        <v>252</v>
      </c>
      <c r="G357" s="2" t="str">
        <f>Table13[[#This Row],[Month]]&amp;", "&amp;Table13[[#This Row],[FY]]</f>
        <v>APR, FY25</v>
      </c>
      <c r="H357" s="2" t="str">
        <f>Table13[[#This Row],[Week]]&amp;", "&amp;Table13[[#This Row],[Month]]&amp;" "&amp;Table13[[#This Row],[FY]]</f>
        <v>Week 42, APR FY25</v>
      </c>
      <c r="I357" s="2" t="str">
        <f>Table13[[#This Row],[Month]]&amp;", "&amp;Table13[[#This Row],[FY]]</f>
        <v>APR, FY25</v>
      </c>
      <c r="J357" s="2" t="str">
        <f>"Q"&amp;Table13[[#This Row],[QTR]]&amp;", "&amp;Table13[[#This Row],[FY]]</f>
        <v>Q4, FY25</v>
      </c>
    </row>
    <row r="358" spans="1:10" x14ac:dyDescent="0.25">
      <c r="A358" s="1">
        <f t="shared" si="28"/>
        <v>45768</v>
      </c>
      <c r="B358" s="1">
        <f t="shared" si="28"/>
        <v>45774</v>
      </c>
      <c r="C358" s="2" t="s">
        <v>234</v>
      </c>
      <c r="D358" s="2" t="s">
        <v>231</v>
      </c>
      <c r="E358" s="2">
        <v>4</v>
      </c>
      <c r="F358" s="2" t="s">
        <v>252</v>
      </c>
      <c r="G358" s="2" t="str">
        <f>Table13[[#This Row],[Month]]&amp;", "&amp;Table13[[#This Row],[FY]]</f>
        <v>APR, FY25</v>
      </c>
      <c r="H358" s="2" t="str">
        <f>Table13[[#This Row],[Week]]&amp;", "&amp;Table13[[#This Row],[Month]]&amp;" "&amp;Table13[[#This Row],[FY]]</f>
        <v>Week 43, APR FY25</v>
      </c>
      <c r="I358" s="2" t="str">
        <f>Table13[[#This Row],[Month]]&amp;", "&amp;Table13[[#This Row],[FY]]</f>
        <v>APR, FY25</v>
      </c>
      <c r="J358" s="2" t="str">
        <f>"Q"&amp;Table13[[#This Row],[QTR]]&amp;", "&amp;Table13[[#This Row],[FY]]</f>
        <v>Q4, FY25</v>
      </c>
    </row>
    <row r="359" spans="1:10" x14ac:dyDescent="0.25">
      <c r="A359" s="1">
        <f t="shared" si="28"/>
        <v>45775</v>
      </c>
      <c r="B359" s="1">
        <f t="shared" si="28"/>
        <v>45781</v>
      </c>
      <c r="C359" s="2" t="s">
        <v>235</v>
      </c>
      <c r="D359" s="2" t="s">
        <v>236</v>
      </c>
      <c r="E359" s="2">
        <v>4</v>
      </c>
      <c r="F359" s="2" t="s">
        <v>252</v>
      </c>
      <c r="G359" s="2" t="str">
        <f>Table13[[#This Row],[Month]]&amp;", "&amp;Table13[[#This Row],[FY]]</f>
        <v>MAY, FY25</v>
      </c>
      <c r="H359" s="2" t="str">
        <f>Table13[[#This Row],[Week]]&amp;", "&amp;Table13[[#This Row],[Month]]&amp;" "&amp;Table13[[#This Row],[FY]]</f>
        <v>Week 44, MAY FY25</v>
      </c>
      <c r="I359" s="2" t="str">
        <f>Table13[[#This Row],[Month]]&amp;", "&amp;Table13[[#This Row],[FY]]</f>
        <v>MAY, FY25</v>
      </c>
      <c r="J359" s="2" t="str">
        <f>"Q"&amp;Table13[[#This Row],[QTR]]&amp;", "&amp;Table13[[#This Row],[FY]]</f>
        <v>Q4, FY25</v>
      </c>
    </row>
    <row r="360" spans="1:10" x14ac:dyDescent="0.25">
      <c r="A360" s="1">
        <f t="shared" si="28"/>
        <v>45782</v>
      </c>
      <c r="B360" s="1">
        <f t="shared" si="28"/>
        <v>45788</v>
      </c>
      <c r="C360" s="2" t="s">
        <v>237</v>
      </c>
      <c r="D360" s="2" t="s">
        <v>236</v>
      </c>
      <c r="E360" s="2">
        <v>4</v>
      </c>
      <c r="F360" s="2" t="s">
        <v>252</v>
      </c>
      <c r="G360" s="2" t="str">
        <f>Table13[[#This Row],[Month]]&amp;", "&amp;Table13[[#This Row],[FY]]</f>
        <v>MAY, FY25</v>
      </c>
      <c r="H360" s="2" t="str">
        <f>Table13[[#This Row],[Week]]&amp;", "&amp;Table13[[#This Row],[Month]]&amp;" "&amp;Table13[[#This Row],[FY]]</f>
        <v>Week 45, MAY FY25</v>
      </c>
      <c r="I360" s="2" t="str">
        <f>Table13[[#This Row],[Month]]&amp;", "&amp;Table13[[#This Row],[FY]]</f>
        <v>MAY, FY25</v>
      </c>
      <c r="J360" s="2" t="str">
        <f>"Q"&amp;Table13[[#This Row],[QTR]]&amp;", "&amp;Table13[[#This Row],[FY]]</f>
        <v>Q4, FY25</v>
      </c>
    </row>
    <row r="361" spans="1:10" x14ac:dyDescent="0.25">
      <c r="A361" s="1">
        <f t="shared" si="28"/>
        <v>45789</v>
      </c>
      <c r="B361" s="1">
        <f t="shared" si="28"/>
        <v>45795</v>
      </c>
      <c r="C361" s="2" t="s">
        <v>238</v>
      </c>
      <c r="D361" s="2" t="s">
        <v>236</v>
      </c>
      <c r="E361" s="2">
        <v>4</v>
      </c>
      <c r="F361" s="2" t="s">
        <v>252</v>
      </c>
      <c r="G361" s="2" t="str">
        <f>Table13[[#This Row],[Month]]&amp;", "&amp;Table13[[#This Row],[FY]]</f>
        <v>MAY, FY25</v>
      </c>
      <c r="H361" s="2" t="str">
        <f>Table13[[#This Row],[Week]]&amp;", "&amp;Table13[[#This Row],[Month]]&amp;" "&amp;Table13[[#This Row],[FY]]</f>
        <v>Week 46, MAY FY25</v>
      </c>
      <c r="I361" s="2" t="str">
        <f>Table13[[#This Row],[Month]]&amp;", "&amp;Table13[[#This Row],[FY]]</f>
        <v>MAY, FY25</v>
      </c>
      <c r="J361" s="2" t="str">
        <f>"Q"&amp;Table13[[#This Row],[QTR]]&amp;", "&amp;Table13[[#This Row],[FY]]</f>
        <v>Q4, FY25</v>
      </c>
    </row>
    <row r="362" spans="1:10" x14ac:dyDescent="0.25">
      <c r="A362" s="1">
        <f t="shared" si="28"/>
        <v>45796</v>
      </c>
      <c r="B362" s="1">
        <f t="shared" si="28"/>
        <v>45802</v>
      </c>
      <c r="C362" s="2" t="s">
        <v>239</v>
      </c>
      <c r="D362" s="2" t="s">
        <v>236</v>
      </c>
      <c r="E362" s="2">
        <v>4</v>
      </c>
      <c r="F362" s="2" t="s">
        <v>252</v>
      </c>
      <c r="G362" s="2" t="str">
        <f>Table13[[#This Row],[Month]]&amp;", "&amp;Table13[[#This Row],[FY]]</f>
        <v>MAY, FY25</v>
      </c>
      <c r="H362" s="2" t="str">
        <f>Table13[[#This Row],[Week]]&amp;", "&amp;Table13[[#This Row],[Month]]&amp;" "&amp;Table13[[#This Row],[FY]]</f>
        <v>Week 47, MAY FY25</v>
      </c>
      <c r="I362" s="2" t="str">
        <f>Table13[[#This Row],[Month]]&amp;", "&amp;Table13[[#This Row],[FY]]</f>
        <v>MAY, FY25</v>
      </c>
      <c r="J362" s="2" t="str">
        <f>"Q"&amp;Table13[[#This Row],[QTR]]&amp;", "&amp;Table13[[#This Row],[FY]]</f>
        <v>Q4, FY25</v>
      </c>
    </row>
    <row r="363" spans="1:10" x14ac:dyDescent="0.25">
      <c r="A363" s="1">
        <f t="shared" si="28"/>
        <v>45803</v>
      </c>
      <c r="B363" s="1">
        <f t="shared" si="28"/>
        <v>45809</v>
      </c>
      <c r="C363" s="2" t="s">
        <v>240</v>
      </c>
      <c r="D363" s="2" t="s">
        <v>236</v>
      </c>
      <c r="E363" s="2">
        <v>4</v>
      </c>
      <c r="F363" s="2" t="s">
        <v>252</v>
      </c>
      <c r="G363" s="2" t="str">
        <f>Table13[[#This Row],[Month]]&amp;", "&amp;Table13[[#This Row],[FY]]</f>
        <v>MAY, FY25</v>
      </c>
      <c r="H363" s="2" t="str">
        <f>Table13[[#This Row],[Week]]&amp;", "&amp;Table13[[#This Row],[Month]]&amp;" "&amp;Table13[[#This Row],[FY]]</f>
        <v>Week 48, MAY FY25</v>
      </c>
      <c r="I363" s="2" t="str">
        <f>Table13[[#This Row],[Month]]&amp;", "&amp;Table13[[#This Row],[FY]]</f>
        <v>MAY, FY25</v>
      </c>
      <c r="J363" s="2" t="str">
        <f>"Q"&amp;Table13[[#This Row],[QTR]]&amp;", "&amp;Table13[[#This Row],[FY]]</f>
        <v>Q4, FY25</v>
      </c>
    </row>
    <row r="364" spans="1:10" x14ac:dyDescent="0.25">
      <c r="A364" s="1">
        <f t="shared" si="28"/>
        <v>45810</v>
      </c>
      <c r="B364" s="1">
        <f t="shared" si="28"/>
        <v>45816</v>
      </c>
      <c r="C364" s="2" t="s">
        <v>241</v>
      </c>
      <c r="D364" s="2" t="s">
        <v>242</v>
      </c>
      <c r="E364" s="2">
        <v>4</v>
      </c>
      <c r="F364" s="2" t="s">
        <v>252</v>
      </c>
      <c r="G364" s="2" t="str">
        <f>Table13[[#This Row],[Month]]&amp;", "&amp;Table13[[#This Row],[FY]]</f>
        <v>JUN, FY25</v>
      </c>
      <c r="H364" s="2" t="str">
        <f>Table13[[#This Row],[Week]]&amp;", "&amp;Table13[[#This Row],[Month]]&amp;" "&amp;Table13[[#This Row],[FY]]</f>
        <v>Week 49, JUN FY25</v>
      </c>
      <c r="I364" s="2" t="str">
        <f>Table13[[#This Row],[Month]]&amp;", "&amp;Table13[[#This Row],[FY]]</f>
        <v>JUN, FY25</v>
      </c>
      <c r="J364" s="2" t="str">
        <f>"Q"&amp;Table13[[#This Row],[QTR]]&amp;", "&amp;Table13[[#This Row],[FY]]</f>
        <v>Q4, FY25</v>
      </c>
    </row>
    <row r="365" spans="1:10" x14ac:dyDescent="0.25">
      <c r="A365" s="1">
        <f t="shared" si="28"/>
        <v>45817</v>
      </c>
      <c r="B365" s="1">
        <f t="shared" si="28"/>
        <v>45823</v>
      </c>
      <c r="C365" s="2" t="s">
        <v>243</v>
      </c>
      <c r="D365" s="2" t="s">
        <v>242</v>
      </c>
      <c r="E365" s="2">
        <v>4</v>
      </c>
      <c r="F365" s="2" t="s">
        <v>252</v>
      </c>
      <c r="G365" s="2" t="str">
        <f>Table13[[#This Row],[Month]]&amp;", "&amp;Table13[[#This Row],[FY]]</f>
        <v>JUN, FY25</v>
      </c>
      <c r="H365" s="2" t="str">
        <f>Table13[[#This Row],[Week]]&amp;", "&amp;Table13[[#This Row],[Month]]&amp;" "&amp;Table13[[#This Row],[FY]]</f>
        <v>Week 50, JUN FY25</v>
      </c>
      <c r="I365" s="2" t="str">
        <f>Table13[[#This Row],[Month]]&amp;", "&amp;Table13[[#This Row],[FY]]</f>
        <v>JUN, FY25</v>
      </c>
      <c r="J365" s="2" t="str">
        <f>"Q"&amp;Table13[[#This Row],[QTR]]&amp;", "&amp;Table13[[#This Row],[FY]]</f>
        <v>Q4, FY25</v>
      </c>
    </row>
    <row r="366" spans="1:10" x14ac:dyDescent="0.25">
      <c r="A366" s="1">
        <f t="shared" si="28"/>
        <v>45824</v>
      </c>
      <c r="B366" s="1">
        <f t="shared" si="28"/>
        <v>45830</v>
      </c>
      <c r="C366" s="2" t="s">
        <v>244</v>
      </c>
      <c r="D366" s="2" t="s">
        <v>242</v>
      </c>
      <c r="E366" s="2">
        <v>4</v>
      </c>
      <c r="F366" s="2" t="s">
        <v>252</v>
      </c>
      <c r="G366" s="2" t="str">
        <f>Table13[[#This Row],[Month]]&amp;", "&amp;Table13[[#This Row],[FY]]</f>
        <v>JUN, FY25</v>
      </c>
      <c r="H366" s="2" t="str">
        <f>Table13[[#This Row],[Week]]&amp;", "&amp;Table13[[#This Row],[Month]]&amp;" "&amp;Table13[[#This Row],[FY]]</f>
        <v>Week 51, JUN FY25</v>
      </c>
      <c r="I366" s="2" t="str">
        <f>Table13[[#This Row],[Month]]&amp;", "&amp;Table13[[#This Row],[FY]]</f>
        <v>JUN, FY25</v>
      </c>
      <c r="J366" s="2" t="str">
        <f>"Q"&amp;Table13[[#This Row],[QTR]]&amp;", "&amp;Table13[[#This Row],[FY]]</f>
        <v>Q4, FY25</v>
      </c>
    </row>
    <row r="367" spans="1:10" x14ac:dyDescent="0.25">
      <c r="A367" s="1">
        <f t="shared" si="28"/>
        <v>45831</v>
      </c>
      <c r="B367" s="1">
        <f t="shared" si="28"/>
        <v>45837</v>
      </c>
      <c r="C367" s="2" t="s">
        <v>245</v>
      </c>
      <c r="D367" s="2" t="s">
        <v>242</v>
      </c>
      <c r="E367" s="2">
        <v>4</v>
      </c>
      <c r="F367" s="2" t="s">
        <v>252</v>
      </c>
      <c r="G367" s="2" t="str">
        <f>Table13[[#This Row],[Month]]&amp;", "&amp;Table13[[#This Row],[FY]]</f>
        <v>JUN, FY25</v>
      </c>
      <c r="H367" s="2" t="str">
        <f>Table13[[#This Row],[Week]]&amp;", "&amp;Table13[[#This Row],[Month]]&amp;" "&amp;Table13[[#This Row],[FY]]</f>
        <v>Week 52, JUN FY25</v>
      </c>
      <c r="I367" s="2" t="str">
        <f>Table13[[#This Row],[Month]]&amp;", "&amp;Table13[[#This Row],[FY]]</f>
        <v>JUN, FY25</v>
      </c>
      <c r="J367" s="2" t="str">
        <f>"Q"&amp;Table13[[#This Row],[QTR]]&amp;", "&amp;Table13[[#This Row],[FY]]</f>
        <v>Q4, FY25</v>
      </c>
    </row>
    <row r="368" spans="1:10" x14ac:dyDescent="0.25">
      <c r="A368" s="1">
        <f t="shared" ref="A368:B383" si="29">A367+7</f>
        <v>45838</v>
      </c>
      <c r="B368" s="1">
        <f t="shared" si="29"/>
        <v>45844</v>
      </c>
      <c r="C368" s="2" t="s">
        <v>181</v>
      </c>
      <c r="D368" s="2" t="s">
        <v>182</v>
      </c>
      <c r="E368" s="2">
        <v>1</v>
      </c>
      <c r="F368" s="2" t="s">
        <v>253</v>
      </c>
      <c r="G368" s="2" t="str">
        <f>Table13[[#This Row],[Month]]&amp;", "&amp;Table13[[#This Row],[FY]]</f>
        <v>JUL, FY26</v>
      </c>
      <c r="H368" s="2" t="str">
        <f>Table13[[#This Row],[Week]]&amp;", "&amp;Table13[[#This Row],[Month]]&amp;" "&amp;Table13[[#This Row],[FY]]</f>
        <v>Week 1, JUL FY26</v>
      </c>
      <c r="I368" s="2" t="str">
        <f>Table13[[#This Row],[Month]]&amp;", "&amp;Table13[[#This Row],[FY]]</f>
        <v>JUL, FY26</v>
      </c>
      <c r="J368" s="2" t="str">
        <f>"Q"&amp;Table13[[#This Row],[QTR]]&amp;", "&amp;Table13[[#This Row],[FY]]</f>
        <v>Q1, FY26</v>
      </c>
    </row>
    <row r="369" spans="1:10" x14ac:dyDescent="0.25">
      <c r="A369" s="1">
        <f t="shared" si="29"/>
        <v>45845</v>
      </c>
      <c r="B369" s="1">
        <f t="shared" si="29"/>
        <v>45851</v>
      </c>
      <c r="C369" s="2" t="s">
        <v>184</v>
      </c>
      <c r="D369" s="2" t="s">
        <v>182</v>
      </c>
      <c r="E369" s="2">
        <v>1</v>
      </c>
      <c r="F369" s="2" t="s">
        <v>253</v>
      </c>
      <c r="G369" s="2" t="str">
        <f>Table13[[#This Row],[Month]]&amp;", "&amp;Table13[[#This Row],[FY]]</f>
        <v>JUL, FY26</v>
      </c>
      <c r="H369" s="2" t="str">
        <f>Table13[[#This Row],[Week]]&amp;", "&amp;Table13[[#This Row],[Month]]&amp;" "&amp;Table13[[#This Row],[FY]]</f>
        <v>Week 2, JUL FY26</v>
      </c>
      <c r="I369" s="2" t="str">
        <f>Table13[[#This Row],[Month]]&amp;", "&amp;Table13[[#This Row],[FY]]</f>
        <v>JUL, FY26</v>
      </c>
      <c r="J369" s="2" t="str">
        <f>"Q"&amp;Table13[[#This Row],[QTR]]&amp;", "&amp;Table13[[#This Row],[FY]]</f>
        <v>Q1, FY26</v>
      </c>
    </row>
    <row r="370" spans="1:10" x14ac:dyDescent="0.25">
      <c r="A370" s="1">
        <f t="shared" si="29"/>
        <v>45852</v>
      </c>
      <c r="B370" s="1">
        <f t="shared" si="29"/>
        <v>45858</v>
      </c>
      <c r="C370" s="2" t="s">
        <v>185</v>
      </c>
      <c r="D370" s="2" t="s">
        <v>182</v>
      </c>
      <c r="E370" s="2">
        <v>1</v>
      </c>
      <c r="F370" s="2" t="s">
        <v>253</v>
      </c>
      <c r="G370" s="2" t="str">
        <f>Table13[[#This Row],[Month]]&amp;", "&amp;Table13[[#This Row],[FY]]</f>
        <v>JUL, FY26</v>
      </c>
      <c r="H370" s="2" t="str">
        <f>Table13[[#This Row],[Week]]&amp;", "&amp;Table13[[#This Row],[Month]]&amp;" "&amp;Table13[[#This Row],[FY]]</f>
        <v>Week 3, JUL FY26</v>
      </c>
      <c r="I370" s="2" t="str">
        <f>Table13[[#This Row],[Month]]&amp;", "&amp;Table13[[#This Row],[FY]]</f>
        <v>JUL, FY26</v>
      </c>
      <c r="J370" s="2" t="str">
        <f>"Q"&amp;Table13[[#This Row],[QTR]]&amp;", "&amp;Table13[[#This Row],[FY]]</f>
        <v>Q1, FY26</v>
      </c>
    </row>
    <row r="371" spans="1:10" x14ac:dyDescent="0.25">
      <c r="A371" s="1">
        <f t="shared" si="29"/>
        <v>45859</v>
      </c>
      <c r="B371" s="1">
        <f t="shared" si="29"/>
        <v>45865</v>
      </c>
      <c r="C371" s="2" t="s">
        <v>186</v>
      </c>
      <c r="D371" s="2" t="s">
        <v>182</v>
      </c>
      <c r="E371" s="2">
        <v>1</v>
      </c>
      <c r="F371" s="2" t="s">
        <v>253</v>
      </c>
      <c r="G371" s="2" t="str">
        <f>Table13[[#This Row],[Month]]&amp;", "&amp;Table13[[#This Row],[FY]]</f>
        <v>JUL, FY26</v>
      </c>
      <c r="H371" s="2" t="str">
        <f>Table13[[#This Row],[Week]]&amp;", "&amp;Table13[[#This Row],[Month]]&amp;" "&amp;Table13[[#This Row],[FY]]</f>
        <v>Week 4, JUL FY26</v>
      </c>
      <c r="I371" s="2" t="str">
        <f>Table13[[#This Row],[Month]]&amp;", "&amp;Table13[[#This Row],[FY]]</f>
        <v>JUL, FY26</v>
      </c>
      <c r="J371" s="2" t="str">
        <f>"Q"&amp;Table13[[#This Row],[QTR]]&amp;", "&amp;Table13[[#This Row],[FY]]</f>
        <v>Q1, FY26</v>
      </c>
    </row>
    <row r="372" spans="1:10" x14ac:dyDescent="0.25">
      <c r="A372" s="1">
        <f t="shared" si="29"/>
        <v>45866</v>
      </c>
      <c r="B372" s="1">
        <f t="shared" si="29"/>
        <v>45872</v>
      </c>
      <c r="C372" s="2" t="s">
        <v>187</v>
      </c>
      <c r="D372" s="2" t="s">
        <v>188</v>
      </c>
      <c r="E372" s="2">
        <v>1</v>
      </c>
      <c r="F372" s="2" t="s">
        <v>253</v>
      </c>
      <c r="G372" s="2" t="str">
        <f>Table13[[#This Row],[Month]]&amp;", "&amp;Table13[[#This Row],[FY]]</f>
        <v>AUG, FY26</v>
      </c>
      <c r="H372" s="2" t="str">
        <f>Table13[[#This Row],[Week]]&amp;", "&amp;Table13[[#This Row],[Month]]&amp;" "&amp;Table13[[#This Row],[FY]]</f>
        <v>Week 5, AUG FY26</v>
      </c>
      <c r="I372" s="2" t="str">
        <f>Table13[[#This Row],[Month]]&amp;", "&amp;Table13[[#This Row],[FY]]</f>
        <v>AUG, FY26</v>
      </c>
      <c r="J372" s="2" t="str">
        <f>"Q"&amp;Table13[[#This Row],[QTR]]&amp;", "&amp;Table13[[#This Row],[FY]]</f>
        <v>Q1, FY26</v>
      </c>
    </row>
    <row r="373" spans="1:10" x14ac:dyDescent="0.25">
      <c r="A373" s="1">
        <f t="shared" si="29"/>
        <v>45873</v>
      </c>
      <c r="B373" s="1">
        <f t="shared" si="29"/>
        <v>45879</v>
      </c>
      <c r="C373" s="2" t="s">
        <v>189</v>
      </c>
      <c r="D373" s="2" t="s">
        <v>188</v>
      </c>
      <c r="E373" s="2">
        <v>1</v>
      </c>
      <c r="F373" s="2" t="s">
        <v>253</v>
      </c>
      <c r="G373" s="2" t="str">
        <f>Table13[[#This Row],[Month]]&amp;", "&amp;Table13[[#This Row],[FY]]</f>
        <v>AUG, FY26</v>
      </c>
      <c r="H373" s="2" t="str">
        <f>Table13[[#This Row],[Week]]&amp;", "&amp;Table13[[#This Row],[Month]]&amp;" "&amp;Table13[[#This Row],[FY]]</f>
        <v>Week 6, AUG FY26</v>
      </c>
      <c r="I373" s="2" t="str">
        <f>Table13[[#This Row],[Month]]&amp;", "&amp;Table13[[#This Row],[FY]]</f>
        <v>AUG, FY26</v>
      </c>
      <c r="J373" s="2" t="str">
        <f>"Q"&amp;Table13[[#This Row],[QTR]]&amp;", "&amp;Table13[[#This Row],[FY]]</f>
        <v>Q1, FY26</v>
      </c>
    </row>
    <row r="374" spans="1:10" x14ac:dyDescent="0.25">
      <c r="A374" s="1">
        <f t="shared" si="29"/>
        <v>45880</v>
      </c>
      <c r="B374" s="1">
        <f t="shared" si="29"/>
        <v>45886</v>
      </c>
      <c r="C374" s="2" t="s">
        <v>190</v>
      </c>
      <c r="D374" s="2" t="s">
        <v>188</v>
      </c>
      <c r="E374" s="2">
        <v>1</v>
      </c>
      <c r="F374" s="2" t="s">
        <v>253</v>
      </c>
      <c r="G374" s="2" t="str">
        <f>Table13[[#This Row],[Month]]&amp;", "&amp;Table13[[#This Row],[FY]]</f>
        <v>AUG, FY26</v>
      </c>
      <c r="H374" s="2" t="str">
        <f>Table13[[#This Row],[Week]]&amp;", "&amp;Table13[[#This Row],[Month]]&amp;" "&amp;Table13[[#This Row],[FY]]</f>
        <v>Week 7, AUG FY26</v>
      </c>
      <c r="I374" s="2" t="str">
        <f>Table13[[#This Row],[Month]]&amp;", "&amp;Table13[[#This Row],[FY]]</f>
        <v>AUG, FY26</v>
      </c>
      <c r="J374" s="2" t="str">
        <f>"Q"&amp;Table13[[#This Row],[QTR]]&amp;", "&amp;Table13[[#This Row],[FY]]</f>
        <v>Q1, FY26</v>
      </c>
    </row>
    <row r="375" spans="1:10" x14ac:dyDescent="0.25">
      <c r="A375" s="1">
        <f t="shared" si="29"/>
        <v>45887</v>
      </c>
      <c r="B375" s="1">
        <f t="shared" si="29"/>
        <v>45893</v>
      </c>
      <c r="C375" s="2" t="s">
        <v>191</v>
      </c>
      <c r="D375" s="2" t="s">
        <v>188</v>
      </c>
      <c r="E375" s="2">
        <v>1</v>
      </c>
      <c r="F375" s="2" t="s">
        <v>253</v>
      </c>
      <c r="G375" s="2" t="str">
        <f>Table13[[#This Row],[Month]]&amp;", "&amp;Table13[[#This Row],[FY]]</f>
        <v>AUG, FY26</v>
      </c>
      <c r="H375" s="2" t="str">
        <f>Table13[[#This Row],[Week]]&amp;", "&amp;Table13[[#This Row],[Month]]&amp;" "&amp;Table13[[#This Row],[FY]]</f>
        <v>Week 8, AUG FY26</v>
      </c>
      <c r="I375" s="2" t="str">
        <f>Table13[[#This Row],[Month]]&amp;", "&amp;Table13[[#This Row],[FY]]</f>
        <v>AUG, FY26</v>
      </c>
      <c r="J375" s="2" t="str">
        <f>"Q"&amp;Table13[[#This Row],[QTR]]&amp;", "&amp;Table13[[#This Row],[FY]]</f>
        <v>Q1, FY26</v>
      </c>
    </row>
    <row r="376" spans="1:10" x14ac:dyDescent="0.25">
      <c r="A376" s="1">
        <f t="shared" si="29"/>
        <v>45894</v>
      </c>
      <c r="B376" s="1">
        <f t="shared" si="29"/>
        <v>45900</v>
      </c>
      <c r="C376" s="2" t="s">
        <v>192</v>
      </c>
      <c r="D376" s="2" t="s">
        <v>188</v>
      </c>
      <c r="E376" s="2">
        <v>1</v>
      </c>
      <c r="F376" s="2" t="s">
        <v>253</v>
      </c>
      <c r="G376" s="2" t="str">
        <f>Table13[[#This Row],[Month]]&amp;", "&amp;Table13[[#This Row],[FY]]</f>
        <v>AUG, FY26</v>
      </c>
      <c r="H376" s="2" t="str">
        <f>Table13[[#This Row],[Week]]&amp;", "&amp;Table13[[#This Row],[Month]]&amp;" "&amp;Table13[[#This Row],[FY]]</f>
        <v>Week 9, AUG FY26</v>
      </c>
      <c r="I376" s="2" t="str">
        <f>Table13[[#This Row],[Month]]&amp;", "&amp;Table13[[#This Row],[FY]]</f>
        <v>AUG, FY26</v>
      </c>
      <c r="J376" s="2" t="str">
        <f>"Q"&amp;Table13[[#This Row],[QTR]]&amp;", "&amp;Table13[[#This Row],[FY]]</f>
        <v>Q1, FY26</v>
      </c>
    </row>
    <row r="377" spans="1:10" x14ac:dyDescent="0.25">
      <c r="A377" s="1">
        <f t="shared" si="29"/>
        <v>45901</v>
      </c>
      <c r="B377" s="1">
        <f t="shared" si="29"/>
        <v>45907</v>
      </c>
      <c r="C377" s="2" t="s">
        <v>193</v>
      </c>
      <c r="D377" s="2" t="s">
        <v>194</v>
      </c>
      <c r="E377" s="2">
        <v>1</v>
      </c>
      <c r="F377" s="2" t="s">
        <v>253</v>
      </c>
      <c r="G377" s="2" t="str">
        <f>Table13[[#This Row],[Month]]&amp;", "&amp;Table13[[#This Row],[FY]]</f>
        <v>SEP, FY26</v>
      </c>
      <c r="H377" s="2" t="str">
        <f>Table13[[#This Row],[Week]]&amp;", "&amp;Table13[[#This Row],[Month]]&amp;" "&amp;Table13[[#This Row],[FY]]</f>
        <v>Week 10, SEP FY26</v>
      </c>
      <c r="I377" s="2" t="str">
        <f>Table13[[#This Row],[Month]]&amp;", "&amp;Table13[[#This Row],[FY]]</f>
        <v>SEP, FY26</v>
      </c>
      <c r="J377" s="2" t="str">
        <f>"Q"&amp;Table13[[#This Row],[QTR]]&amp;", "&amp;Table13[[#This Row],[FY]]</f>
        <v>Q1, FY26</v>
      </c>
    </row>
    <row r="378" spans="1:10" x14ac:dyDescent="0.25">
      <c r="A378" s="1">
        <f t="shared" si="29"/>
        <v>45908</v>
      </c>
      <c r="B378" s="1">
        <f t="shared" si="29"/>
        <v>45914</v>
      </c>
      <c r="C378" s="2" t="s">
        <v>195</v>
      </c>
      <c r="D378" s="2" t="s">
        <v>194</v>
      </c>
      <c r="E378" s="2">
        <v>1</v>
      </c>
      <c r="F378" s="2" t="s">
        <v>253</v>
      </c>
      <c r="G378" s="2" t="str">
        <f>Table13[[#This Row],[Month]]&amp;", "&amp;Table13[[#This Row],[FY]]</f>
        <v>SEP, FY26</v>
      </c>
      <c r="H378" s="2" t="str">
        <f>Table13[[#This Row],[Week]]&amp;", "&amp;Table13[[#This Row],[Month]]&amp;" "&amp;Table13[[#This Row],[FY]]</f>
        <v>Week 11, SEP FY26</v>
      </c>
      <c r="I378" s="2" t="str">
        <f>Table13[[#This Row],[Month]]&amp;", "&amp;Table13[[#This Row],[FY]]</f>
        <v>SEP, FY26</v>
      </c>
      <c r="J378" s="2" t="str">
        <f>"Q"&amp;Table13[[#This Row],[QTR]]&amp;", "&amp;Table13[[#This Row],[FY]]</f>
        <v>Q1, FY26</v>
      </c>
    </row>
    <row r="379" spans="1:10" x14ac:dyDescent="0.25">
      <c r="A379" s="1">
        <f t="shared" si="29"/>
        <v>45915</v>
      </c>
      <c r="B379" s="1">
        <f t="shared" si="29"/>
        <v>45921</v>
      </c>
      <c r="C379" s="2" t="s">
        <v>196</v>
      </c>
      <c r="D379" s="2" t="s">
        <v>194</v>
      </c>
      <c r="E379" s="2">
        <v>1</v>
      </c>
      <c r="F379" s="2" t="s">
        <v>253</v>
      </c>
      <c r="G379" s="2" t="str">
        <f>Table13[[#This Row],[Month]]&amp;", "&amp;Table13[[#This Row],[FY]]</f>
        <v>SEP, FY26</v>
      </c>
      <c r="H379" s="2" t="str">
        <f>Table13[[#This Row],[Week]]&amp;", "&amp;Table13[[#This Row],[Month]]&amp;" "&amp;Table13[[#This Row],[FY]]</f>
        <v>Week 12, SEP FY26</v>
      </c>
      <c r="I379" s="2" t="str">
        <f>Table13[[#This Row],[Month]]&amp;", "&amp;Table13[[#This Row],[FY]]</f>
        <v>SEP, FY26</v>
      </c>
      <c r="J379" s="2" t="str">
        <f>"Q"&amp;Table13[[#This Row],[QTR]]&amp;", "&amp;Table13[[#This Row],[FY]]</f>
        <v>Q1, FY26</v>
      </c>
    </row>
    <row r="380" spans="1:10" x14ac:dyDescent="0.25">
      <c r="A380" s="1">
        <f t="shared" si="29"/>
        <v>45922</v>
      </c>
      <c r="B380" s="1">
        <f t="shared" si="29"/>
        <v>45928</v>
      </c>
      <c r="C380" s="2" t="s">
        <v>197</v>
      </c>
      <c r="D380" s="2" t="s">
        <v>194</v>
      </c>
      <c r="E380" s="2">
        <v>1</v>
      </c>
      <c r="F380" s="2" t="s">
        <v>253</v>
      </c>
      <c r="G380" s="2" t="str">
        <f>Table13[[#This Row],[Month]]&amp;", "&amp;Table13[[#This Row],[FY]]</f>
        <v>SEP, FY26</v>
      </c>
      <c r="H380" s="2" t="str">
        <f>Table13[[#This Row],[Week]]&amp;", "&amp;Table13[[#This Row],[Month]]&amp;" "&amp;Table13[[#This Row],[FY]]</f>
        <v>Week 13, SEP FY26</v>
      </c>
      <c r="I380" s="2" t="str">
        <f>Table13[[#This Row],[Month]]&amp;", "&amp;Table13[[#This Row],[FY]]</f>
        <v>SEP, FY26</v>
      </c>
      <c r="J380" s="2" t="str">
        <f>"Q"&amp;Table13[[#This Row],[QTR]]&amp;", "&amp;Table13[[#This Row],[FY]]</f>
        <v>Q1, FY26</v>
      </c>
    </row>
    <row r="381" spans="1:10" x14ac:dyDescent="0.25">
      <c r="A381" s="1">
        <f t="shared" si="29"/>
        <v>45929</v>
      </c>
      <c r="B381" s="1">
        <f t="shared" si="29"/>
        <v>45935</v>
      </c>
      <c r="C381" s="2" t="s">
        <v>198</v>
      </c>
      <c r="D381" s="2" t="s">
        <v>199</v>
      </c>
      <c r="E381" s="2">
        <v>2</v>
      </c>
      <c r="F381" s="2" t="s">
        <v>253</v>
      </c>
      <c r="G381" s="2" t="str">
        <f>Table13[[#This Row],[Month]]&amp;", "&amp;Table13[[#This Row],[FY]]</f>
        <v>OCT, FY26</v>
      </c>
      <c r="H381" s="2" t="str">
        <f>Table13[[#This Row],[Week]]&amp;", "&amp;Table13[[#This Row],[Month]]&amp;" "&amp;Table13[[#This Row],[FY]]</f>
        <v>Week 14, OCT FY26</v>
      </c>
      <c r="I381" s="2" t="str">
        <f>Table13[[#This Row],[Month]]&amp;", "&amp;Table13[[#This Row],[FY]]</f>
        <v>OCT, FY26</v>
      </c>
      <c r="J381" s="2" t="str">
        <f>"Q"&amp;Table13[[#This Row],[QTR]]&amp;", "&amp;Table13[[#This Row],[FY]]</f>
        <v>Q2, FY26</v>
      </c>
    </row>
    <row r="382" spans="1:10" x14ac:dyDescent="0.25">
      <c r="A382" s="1">
        <f t="shared" si="29"/>
        <v>45936</v>
      </c>
      <c r="B382" s="1">
        <f t="shared" si="29"/>
        <v>45942</v>
      </c>
      <c r="C382" s="2" t="s">
        <v>200</v>
      </c>
      <c r="D382" s="2" t="s">
        <v>199</v>
      </c>
      <c r="E382" s="2">
        <v>2</v>
      </c>
      <c r="F382" s="2" t="s">
        <v>253</v>
      </c>
      <c r="G382" s="2" t="str">
        <f>Table13[[#This Row],[Month]]&amp;", "&amp;Table13[[#This Row],[FY]]</f>
        <v>OCT, FY26</v>
      </c>
      <c r="H382" s="2" t="str">
        <f>Table13[[#This Row],[Week]]&amp;", "&amp;Table13[[#This Row],[Month]]&amp;" "&amp;Table13[[#This Row],[FY]]</f>
        <v>Week 15, OCT FY26</v>
      </c>
      <c r="I382" s="2" t="str">
        <f>Table13[[#This Row],[Month]]&amp;", "&amp;Table13[[#This Row],[FY]]</f>
        <v>OCT, FY26</v>
      </c>
      <c r="J382" s="2" t="str">
        <f>"Q"&amp;Table13[[#This Row],[QTR]]&amp;", "&amp;Table13[[#This Row],[FY]]</f>
        <v>Q2, FY26</v>
      </c>
    </row>
    <row r="383" spans="1:10" x14ac:dyDescent="0.25">
      <c r="A383" s="1">
        <f t="shared" si="29"/>
        <v>45943</v>
      </c>
      <c r="B383" s="1">
        <f t="shared" si="29"/>
        <v>45949</v>
      </c>
      <c r="C383" s="2" t="s">
        <v>201</v>
      </c>
      <c r="D383" s="2" t="s">
        <v>199</v>
      </c>
      <c r="E383" s="2">
        <v>2</v>
      </c>
      <c r="F383" s="2" t="s">
        <v>253</v>
      </c>
      <c r="G383" s="2" t="str">
        <f>Table13[[#This Row],[Month]]&amp;", "&amp;Table13[[#This Row],[FY]]</f>
        <v>OCT, FY26</v>
      </c>
      <c r="H383" s="2" t="str">
        <f>Table13[[#This Row],[Week]]&amp;", "&amp;Table13[[#This Row],[Month]]&amp;" "&amp;Table13[[#This Row],[FY]]</f>
        <v>Week 16, OCT FY26</v>
      </c>
      <c r="I383" s="2" t="str">
        <f>Table13[[#This Row],[Month]]&amp;", "&amp;Table13[[#This Row],[FY]]</f>
        <v>OCT, FY26</v>
      </c>
      <c r="J383" s="2" t="str">
        <f>"Q"&amp;Table13[[#This Row],[QTR]]&amp;", "&amp;Table13[[#This Row],[FY]]</f>
        <v>Q2, FY26</v>
      </c>
    </row>
    <row r="384" spans="1:10" x14ac:dyDescent="0.25">
      <c r="A384" s="1">
        <f t="shared" ref="A384:B399" si="30">A383+7</f>
        <v>45950</v>
      </c>
      <c r="B384" s="1">
        <f t="shared" si="30"/>
        <v>45956</v>
      </c>
      <c r="C384" s="2" t="s">
        <v>202</v>
      </c>
      <c r="D384" s="2" t="s">
        <v>199</v>
      </c>
      <c r="E384" s="2">
        <v>2</v>
      </c>
      <c r="F384" s="2" t="s">
        <v>253</v>
      </c>
      <c r="G384" s="2" t="str">
        <f>Table13[[#This Row],[Month]]&amp;", "&amp;Table13[[#This Row],[FY]]</f>
        <v>OCT, FY26</v>
      </c>
      <c r="H384" s="2" t="str">
        <f>Table13[[#This Row],[Week]]&amp;", "&amp;Table13[[#This Row],[Month]]&amp;" "&amp;Table13[[#This Row],[FY]]</f>
        <v>Week 17, OCT FY26</v>
      </c>
      <c r="I384" s="2" t="str">
        <f>Table13[[#This Row],[Month]]&amp;", "&amp;Table13[[#This Row],[FY]]</f>
        <v>OCT, FY26</v>
      </c>
      <c r="J384" s="2" t="str">
        <f>"Q"&amp;Table13[[#This Row],[QTR]]&amp;", "&amp;Table13[[#This Row],[FY]]</f>
        <v>Q2, FY26</v>
      </c>
    </row>
    <row r="385" spans="1:10" x14ac:dyDescent="0.25">
      <c r="A385" s="1">
        <f t="shared" si="30"/>
        <v>45957</v>
      </c>
      <c r="B385" s="1">
        <f t="shared" si="30"/>
        <v>45963</v>
      </c>
      <c r="C385" s="2" t="s">
        <v>203</v>
      </c>
      <c r="D385" s="2" t="s">
        <v>204</v>
      </c>
      <c r="E385" s="2">
        <v>2</v>
      </c>
      <c r="F385" s="2" t="s">
        <v>253</v>
      </c>
      <c r="G385" s="2" t="str">
        <f>Table13[[#This Row],[Month]]&amp;", "&amp;Table13[[#This Row],[FY]]</f>
        <v>NOV, FY26</v>
      </c>
      <c r="H385" s="2" t="str">
        <f>Table13[[#This Row],[Week]]&amp;", "&amp;Table13[[#This Row],[Month]]&amp;" "&amp;Table13[[#This Row],[FY]]</f>
        <v>Week 18, NOV FY26</v>
      </c>
      <c r="I385" s="2" t="str">
        <f>Table13[[#This Row],[Month]]&amp;", "&amp;Table13[[#This Row],[FY]]</f>
        <v>NOV, FY26</v>
      </c>
      <c r="J385" s="2" t="str">
        <f>"Q"&amp;Table13[[#This Row],[QTR]]&amp;", "&amp;Table13[[#This Row],[FY]]</f>
        <v>Q2, FY26</v>
      </c>
    </row>
    <row r="386" spans="1:10" x14ac:dyDescent="0.25">
      <c r="A386" s="1">
        <f t="shared" si="30"/>
        <v>45964</v>
      </c>
      <c r="B386" s="1">
        <f t="shared" si="30"/>
        <v>45970</v>
      </c>
      <c r="C386" s="2" t="s">
        <v>205</v>
      </c>
      <c r="D386" s="2" t="s">
        <v>204</v>
      </c>
      <c r="E386" s="2">
        <v>2</v>
      </c>
      <c r="F386" s="2" t="s">
        <v>253</v>
      </c>
      <c r="G386" s="2" t="str">
        <f>Table13[[#This Row],[Month]]&amp;", "&amp;Table13[[#This Row],[FY]]</f>
        <v>NOV, FY26</v>
      </c>
      <c r="H386" s="2" t="str">
        <f>Table13[[#This Row],[Week]]&amp;", "&amp;Table13[[#This Row],[Month]]&amp;" "&amp;Table13[[#This Row],[FY]]</f>
        <v>Week 19, NOV FY26</v>
      </c>
      <c r="I386" s="2" t="str">
        <f>Table13[[#This Row],[Month]]&amp;", "&amp;Table13[[#This Row],[FY]]</f>
        <v>NOV, FY26</v>
      </c>
      <c r="J386" s="2" t="str">
        <f>"Q"&amp;Table13[[#This Row],[QTR]]&amp;", "&amp;Table13[[#This Row],[FY]]</f>
        <v>Q2, FY26</v>
      </c>
    </row>
    <row r="387" spans="1:10" x14ac:dyDescent="0.25">
      <c r="A387" s="1">
        <f t="shared" si="30"/>
        <v>45971</v>
      </c>
      <c r="B387" s="1">
        <f t="shared" si="30"/>
        <v>45977</v>
      </c>
      <c r="C387" s="2" t="s">
        <v>206</v>
      </c>
      <c r="D387" s="2" t="s">
        <v>204</v>
      </c>
      <c r="E387" s="2">
        <v>2</v>
      </c>
      <c r="F387" s="2" t="s">
        <v>253</v>
      </c>
      <c r="G387" s="2" t="str">
        <f>Table13[[#This Row],[Month]]&amp;", "&amp;Table13[[#This Row],[FY]]</f>
        <v>NOV, FY26</v>
      </c>
      <c r="H387" s="2" t="str">
        <f>Table13[[#This Row],[Week]]&amp;", "&amp;Table13[[#This Row],[Month]]&amp;" "&amp;Table13[[#This Row],[FY]]</f>
        <v>Week 20, NOV FY26</v>
      </c>
      <c r="I387" s="2" t="str">
        <f>Table13[[#This Row],[Month]]&amp;", "&amp;Table13[[#This Row],[FY]]</f>
        <v>NOV, FY26</v>
      </c>
      <c r="J387" s="2" t="str">
        <f>"Q"&amp;Table13[[#This Row],[QTR]]&amp;", "&amp;Table13[[#This Row],[FY]]</f>
        <v>Q2, FY26</v>
      </c>
    </row>
    <row r="388" spans="1:10" x14ac:dyDescent="0.25">
      <c r="A388" s="1">
        <f t="shared" si="30"/>
        <v>45978</v>
      </c>
      <c r="B388" s="1">
        <f t="shared" si="30"/>
        <v>45984</v>
      </c>
      <c r="C388" s="2" t="s">
        <v>207</v>
      </c>
      <c r="D388" s="2" t="s">
        <v>204</v>
      </c>
      <c r="E388" s="2">
        <v>2</v>
      </c>
      <c r="F388" s="2" t="s">
        <v>253</v>
      </c>
      <c r="G388" s="2" t="str">
        <f>Table13[[#This Row],[Month]]&amp;", "&amp;Table13[[#This Row],[FY]]</f>
        <v>NOV, FY26</v>
      </c>
      <c r="H388" s="2" t="str">
        <f>Table13[[#This Row],[Week]]&amp;", "&amp;Table13[[#This Row],[Month]]&amp;" "&amp;Table13[[#This Row],[FY]]</f>
        <v>Week 21, NOV FY26</v>
      </c>
      <c r="I388" s="2" t="str">
        <f>Table13[[#This Row],[Month]]&amp;", "&amp;Table13[[#This Row],[FY]]</f>
        <v>NOV, FY26</v>
      </c>
      <c r="J388" s="2" t="str">
        <f>"Q"&amp;Table13[[#This Row],[QTR]]&amp;", "&amp;Table13[[#This Row],[FY]]</f>
        <v>Q2, FY26</v>
      </c>
    </row>
    <row r="389" spans="1:10" x14ac:dyDescent="0.25">
      <c r="A389" s="1">
        <f t="shared" si="30"/>
        <v>45985</v>
      </c>
      <c r="B389" s="1">
        <f t="shared" si="30"/>
        <v>45991</v>
      </c>
      <c r="C389" s="2" t="s">
        <v>208</v>
      </c>
      <c r="D389" s="2" t="s">
        <v>204</v>
      </c>
      <c r="E389" s="2">
        <v>2</v>
      </c>
      <c r="F389" s="2" t="s">
        <v>253</v>
      </c>
      <c r="G389" s="2" t="str">
        <f>Table13[[#This Row],[Month]]&amp;", "&amp;Table13[[#This Row],[FY]]</f>
        <v>NOV, FY26</v>
      </c>
      <c r="H389" s="2" t="str">
        <f>Table13[[#This Row],[Week]]&amp;", "&amp;Table13[[#This Row],[Month]]&amp;" "&amp;Table13[[#This Row],[FY]]</f>
        <v>Week 22, NOV FY26</v>
      </c>
      <c r="I389" s="2" t="str">
        <f>Table13[[#This Row],[Month]]&amp;", "&amp;Table13[[#This Row],[FY]]</f>
        <v>NOV, FY26</v>
      </c>
      <c r="J389" s="2" t="str">
        <f>"Q"&amp;Table13[[#This Row],[QTR]]&amp;", "&amp;Table13[[#This Row],[FY]]</f>
        <v>Q2, FY26</v>
      </c>
    </row>
    <row r="390" spans="1:10" x14ac:dyDescent="0.25">
      <c r="A390" s="1">
        <f t="shared" si="30"/>
        <v>45992</v>
      </c>
      <c r="B390" s="1">
        <f t="shared" si="30"/>
        <v>45998</v>
      </c>
      <c r="C390" s="2" t="s">
        <v>209</v>
      </c>
      <c r="D390" s="2" t="s">
        <v>210</v>
      </c>
      <c r="E390" s="2">
        <v>2</v>
      </c>
      <c r="F390" s="2" t="s">
        <v>253</v>
      </c>
      <c r="G390" s="2" t="str">
        <f>Table13[[#This Row],[Month]]&amp;", "&amp;Table13[[#This Row],[FY]]</f>
        <v>DEC, FY26</v>
      </c>
      <c r="H390" s="2" t="str">
        <f>Table13[[#This Row],[Week]]&amp;", "&amp;Table13[[#This Row],[Month]]&amp;" "&amp;Table13[[#This Row],[FY]]</f>
        <v>Week 23, DEC FY26</v>
      </c>
      <c r="I390" s="2" t="str">
        <f>Table13[[#This Row],[Month]]&amp;", "&amp;Table13[[#This Row],[FY]]</f>
        <v>DEC, FY26</v>
      </c>
      <c r="J390" s="2" t="str">
        <f>"Q"&amp;Table13[[#This Row],[QTR]]&amp;", "&amp;Table13[[#This Row],[FY]]</f>
        <v>Q2, FY26</v>
      </c>
    </row>
    <row r="391" spans="1:10" x14ac:dyDescent="0.25">
      <c r="A391" s="1">
        <f t="shared" si="30"/>
        <v>45999</v>
      </c>
      <c r="B391" s="1">
        <f t="shared" si="30"/>
        <v>46005</v>
      </c>
      <c r="C391" s="2" t="s">
        <v>211</v>
      </c>
      <c r="D391" s="2" t="s">
        <v>210</v>
      </c>
      <c r="E391" s="2">
        <v>2</v>
      </c>
      <c r="F391" s="2" t="s">
        <v>253</v>
      </c>
      <c r="G391" s="2" t="str">
        <f>Table13[[#This Row],[Month]]&amp;", "&amp;Table13[[#This Row],[FY]]</f>
        <v>DEC, FY26</v>
      </c>
      <c r="H391" s="2" t="str">
        <f>Table13[[#This Row],[Week]]&amp;", "&amp;Table13[[#This Row],[Month]]&amp;" "&amp;Table13[[#This Row],[FY]]</f>
        <v>Week 24, DEC FY26</v>
      </c>
      <c r="I391" s="2" t="str">
        <f>Table13[[#This Row],[Month]]&amp;", "&amp;Table13[[#This Row],[FY]]</f>
        <v>DEC, FY26</v>
      </c>
      <c r="J391" s="2" t="str">
        <f>"Q"&amp;Table13[[#This Row],[QTR]]&amp;", "&amp;Table13[[#This Row],[FY]]</f>
        <v>Q2, FY26</v>
      </c>
    </row>
    <row r="392" spans="1:10" x14ac:dyDescent="0.25">
      <c r="A392" s="1">
        <f t="shared" si="30"/>
        <v>46006</v>
      </c>
      <c r="B392" s="1">
        <f t="shared" si="30"/>
        <v>46012</v>
      </c>
      <c r="C392" s="2" t="s">
        <v>212</v>
      </c>
      <c r="D392" s="2" t="s">
        <v>210</v>
      </c>
      <c r="E392" s="2">
        <v>2</v>
      </c>
      <c r="F392" s="2" t="s">
        <v>253</v>
      </c>
      <c r="G392" s="2" t="str">
        <f>Table13[[#This Row],[Month]]&amp;", "&amp;Table13[[#This Row],[FY]]</f>
        <v>DEC, FY26</v>
      </c>
      <c r="H392" s="2" t="str">
        <f>Table13[[#This Row],[Week]]&amp;", "&amp;Table13[[#This Row],[Month]]&amp;" "&amp;Table13[[#This Row],[FY]]</f>
        <v>Week 25, DEC FY26</v>
      </c>
      <c r="I392" s="2" t="str">
        <f>Table13[[#This Row],[Month]]&amp;", "&amp;Table13[[#This Row],[FY]]</f>
        <v>DEC, FY26</v>
      </c>
      <c r="J392" s="2" t="str">
        <f>"Q"&amp;Table13[[#This Row],[QTR]]&amp;", "&amp;Table13[[#This Row],[FY]]</f>
        <v>Q2, FY26</v>
      </c>
    </row>
    <row r="393" spans="1:10" x14ac:dyDescent="0.25">
      <c r="A393" s="1">
        <f t="shared" si="30"/>
        <v>46013</v>
      </c>
      <c r="B393" s="1">
        <f t="shared" si="30"/>
        <v>46019</v>
      </c>
      <c r="C393" s="2" t="s">
        <v>213</v>
      </c>
      <c r="D393" s="2" t="s">
        <v>210</v>
      </c>
      <c r="E393" s="2">
        <v>2</v>
      </c>
      <c r="F393" s="2" t="s">
        <v>253</v>
      </c>
      <c r="G393" s="2" t="str">
        <f>Table13[[#This Row],[Month]]&amp;", "&amp;Table13[[#This Row],[FY]]</f>
        <v>DEC, FY26</v>
      </c>
      <c r="H393" s="2" t="str">
        <f>Table13[[#This Row],[Week]]&amp;", "&amp;Table13[[#This Row],[Month]]&amp;" "&amp;Table13[[#This Row],[FY]]</f>
        <v>Week 26, DEC FY26</v>
      </c>
      <c r="I393" s="2" t="str">
        <f>Table13[[#This Row],[Month]]&amp;", "&amp;Table13[[#This Row],[FY]]</f>
        <v>DEC, FY26</v>
      </c>
      <c r="J393" s="2" t="str">
        <f>"Q"&amp;Table13[[#This Row],[QTR]]&amp;", "&amp;Table13[[#This Row],[FY]]</f>
        <v>Q2, FY26</v>
      </c>
    </row>
    <row r="394" spans="1:10" x14ac:dyDescent="0.25">
      <c r="A394" s="1">
        <f t="shared" si="30"/>
        <v>46020</v>
      </c>
      <c r="B394" s="1">
        <f t="shared" si="30"/>
        <v>46026</v>
      </c>
      <c r="C394" s="2" t="s">
        <v>214</v>
      </c>
      <c r="D394" s="2" t="s">
        <v>215</v>
      </c>
      <c r="E394" s="2">
        <v>3</v>
      </c>
      <c r="F394" s="2" t="s">
        <v>253</v>
      </c>
      <c r="G394" s="2" t="str">
        <f>Table13[[#This Row],[Month]]&amp;", "&amp;Table13[[#This Row],[FY]]</f>
        <v>JAN, FY26</v>
      </c>
      <c r="H394" s="2" t="str">
        <f>Table13[[#This Row],[Week]]&amp;", "&amp;Table13[[#This Row],[Month]]&amp;" "&amp;Table13[[#This Row],[FY]]</f>
        <v>Week 27, JAN FY26</v>
      </c>
      <c r="I394" s="2" t="str">
        <f>Table13[[#This Row],[Month]]&amp;", "&amp;Table13[[#This Row],[FY]]</f>
        <v>JAN, FY26</v>
      </c>
      <c r="J394" s="2" t="str">
        <f>"Q"&amp;Table13[[#This Row],[QTR]]&amp;", "&amp;Table13[[#This Row],[FY]]</f>
        <v>Q3, FY26</v>
      </c>
    </row>
    <row r="395" spans="1:10" x14ac:dyDescent="0.25">
      <c r="A395" s="1">
        <f t="shared" si="30"/>
        <v>46027</v>
      </c>
      <c r="B395" s="1">
        <f t="shared" si="30"/>
        <v>46033</v>
      </c>
      <c r="C395" s="2" t="s">
        <v>216</v>
      </c>
      <c r="D395" s="2" t="s">
        <v>215</v>
      </c>
      <c r="E395" s="2">
        <v>3</v>
      </c>
      <c r="F395" s="2" t="s">
        <v>253</v>
      </c>
      <c r="G395" s="2" t="str">
        <f>Table13[[#This Row],[Month]]&amp;", "&amp;Table13[[#This Row],[FY]]</f>
        <v>JAN, FY26</v>
      </c>
      <c r="H395" s="2" t="str">
        <f>Table13[[#This Row],[Week]]&amp;", "&amp;Table13[[#This Row],[Month]]&amp;" "&amp;Table13[[#This Row],[FY]]</f>
        <v>Week 28, JAN FY26</v>
      </c>
      <c r="I395" s="2" t="str">
        <f>Table13[[#This Row],[Month]]&amp;", "&amp;Table13[[#This Row],[FY]]</f>
        <v>JAN, FY26</v>
      </c>
      <c r="J395" s="2" t="str">
        <f>"Q"&amp;Table13[[#This Row],[QTR]]&amp;", "&amp;Table13[[#This Row],[FY]]</f>
        <v>Q3, FY26</v>
      </c>
    </row>
    <row r="396" spans="1:10" x14ac:dyDescent="0.25">
      <c r="A396" s="1">
        <f t="shared" si="30"/>
        <v>46034</v>
      </c>
      <c r="B396" s="1">
        <f t="shared" si="30"/>
        <v>46040</v>
      </c>
      <c r="C396" s="2" t="s">
        <v>217</v>
      </c>
      <c r="D396" s="2" t="s">
        <v>215</v>
      </c>
      <c r="E396" s="2">
        <v>3</v>
      </c>
      <c r="F396" s="2" t="s">
        <v>253</v>
      </c>
      <c r="G396" s="2" t="str">
        <f>Table13[[#This Row],[Month]]&amp;", "&amp;Table13[[#This Row],[FY]]</f>
        <v>JAN, FY26</v>
      </c>
      <c r="H396" s="2" t="str">
        <f>Table13[[#This Row],[Week]]&amp;", "&amp;Table13[[#This Row],[Month]]&amp;" "&amp;Table13[[#This Row],[FY]]</f>
        <v>Week 29, JAN FY26</v>
      </c>
      <c r="I396" s="2" t="str">
        <f>Table13[[#This Row],[Month]]&amp;", "&amp;Table13[[#This Row],[FY]]</f>
        <v>JAN, FY26</v>
      </c>
      <c r="J396" s="2" t="str">
        <f>"Q"&amp;Table13[[#This Row],[QTR]]&amp;", "&amp;Table13[[#This Row],[FY]]</f>
        <v>Q3, FY26</v>
      </c>
    </row>
    <row r="397" spans="1:10" x14ac:dyDescent="0.25">
      <c r="A397" s="1">
        <f t="shared" si="30"/>
        <v>46041</v>
      </c>
      <c r="B397" s="1">
        <f t="shared" si="30"/>
        <v>46047</v>
      </c>
      <c r="C397" s="2" t="s">
        <v>218</v>
      </c>
      <c r="D397" s="2" t="s">
        <v>215</v>
      </c>
      <c r="E397" s="2">
        <v>3</v>
      </c>
      <c r="F397" s="2" t="s">
        <v>253</v>
      </c>
      <c r="G397" s="2" t="str">
        <f>Table13[[#This Row],[Month]]&amp;", "&amp;Table13[[#This Row],[FY]]</f>
        <v>JAN, FY26</v>
      </c>
      <c r="H397" s="2" t="str">
        <f>Table13[[#This Row],[Week]]&amp;", "&amp;Table13[[#This Row],[Month]]&amp;" "&amp;Table13[[#This Row],[FY]]</f>
        <v>Week 30, JAN FY26</v>
      </c>
      <c r="I397" s="2" t="str">
        <f>Table13[[#This Row],[Month]]&amp;", "&amp;Table13[[#This Row],[FY]]</f>
        <v>JAN, FY26</v>
      </c>
      <c r="J397" s="2" t="str">
        <f>"Q"&amp;Table13[[#This Row],[QTR]]&amp;", "&amp;Table13[[#This Row],[FY]]</f>
        <v>Q3, FY26</v>
      </c>
    </row>
    <row r="398" spans="1:10" x14ac:dyDescent="0.25">
      <c r="A398" s="1">
        <f t="shared" si="30"/>
        <v>46048</v>
      </c>
      <c r="B398" s="1">
        <f t="shared" si="30"/>
        <v>46054</v>
      </c>
      <c r="C398" s="2" t="s">
        <v>219</v>
      </c>
      <c r="D398" s="2" t="s">
        <v>220</v>
      </c>
      <c r="E398" s="2">
        <v>3</v>
      </c>
      <c r="F398" s="2" t="s">
        <v>253</v>
      </c>
      <c r="G398" s="2" t="str">
        <f>Table13[[#This Row],[Month]]&amp;", "&amp;Table13[[#This Row],[FY]]</f>
        <v>FEB, FY26</v>
      </c>
      <c r="H398" s="2" t="str">
        <f>Table13[[#This Row],[Week]]&amp;", "&amp;Table13[[#This Row],[Month]]&amp;" "&amp;Table13[[#This Row],[FY]]</f>
        <v>Week 31, FEB FY26</v>
      </c>
      <c r="I398" s="2" t="str">
        <f>Table13[[#This Row],[Month]]&amp;", "&amp;Table13[[#This Row],[FY]]</f>
        <v>FEB, FY26</v>
      </c>
      <c r="J398" s="2" t="str">
        <f>"Q"&amp;Table13[[#This Row],[QTR]]&amp;", "&amp;Table13[[#This Row],[FY]]</f>
        <v>Q3, FY26</v>
      </c>
    </row>
    <row r="399" spans="1:10" x14ac:dyDescent="0.25">
      <c r="A399" s="1">
        <f t="shared" si="30"/>
        <v>46055</v>
      </c>
      <c r="B399" s="1">
        <f t="shared" si="30"/>
        <v>46061</v>
      </c>
      <c r="C399" s="2" t="s">
        <v>221</v>
      </c>
      <c r="D399" s="2" t="s">
        <v>220</v>
      </c>
      <c r="E399" s="2">
        <v>3</v>
      </c>
      <c r="F399" s="2" t="s">
        <v>253</v>
      </c>
      <c r="G399" s="2" t="str">
        <f>Table13[[#This Row],[Month]]&amp;", "&amp;Table13[[#This Row],[FY]]</f>
        <v>FEB, FY26</v>
      </c>
      <c r="H399" s="2" t="str">
        <f>Table13[[#This Row],[Week]]&amp;", "&amp;Table13[[#This Row],[Month]]&amp;" "&amp;Table13[[#This Row],[FY]]</f>
        <v>Week 32, FEB FY26</v>
      </c>
      <c r="I399" s="2" t="str">
        <f>Table13[[#This Row],[Month]]&amp;", "&amp;Table13[[#This Row],[FY]]</f>
        <v>FEB, FY26</v>
      </c>
      <c r="J399" s="2" t="str">
        <f>"Q"&amp;Table13[[#This Row],[QTR]]&amp;", "&amp;Table13[[#This Row],[FY]]</f>
        <v>Q3, FY26</v>
      </c>
    </row>
    <row r="400" spans="1:10" x14ac:dyDescent="0.25">
      <c r="A400" s="1">
        <f t="shared" ref="A400:B415" si="31">A399+7</f>
        <v>46062</v>
      </c>
      <c r="B400" s="1">
        <f t="shared" si="31"/>
        <v>46068</v>
      </c>
      <c r="C400" s="2" t="s">
        <v>222</v>
      </c>
      <c r="D400" s="2" t="s">
        <v>220</v>
      </c>
      <c r="E400" s="2">
        <v>3</v>
      </c>
      <c r="F400" s="2" t="s">
        <v>253</v>
      </c>
      <c r="G400" s="2" t="str">
        <f>Table13[[#This Row],[Month]]&amp;", "&amp;Table13[[#This Row],[FY]]</f>
        <v>FEB, FY26</v>
      </c>
      <c r="H400" s="2" t="str">
        <f>Table13[[#This Row],[Week]]&amp;", "&amp;Table13[[#This Row],[Month]]&amp;" "&amp;Table13[[#This Row],[FY]]</f>
        <v>Week 33, FEB FY26</v>
      </c>
      <c r="I400" s="2" t="str">
        <f>Table13[[#This Row],[Month]]&amp;", "&amp;Table13[[#This Row],[FY]]</f>
        <v>FEB, FY26</v>
      </c>
      <c r="J400" s="2" t="str">
        <f>"Q"&amp;Table13[[#This Row],[QTR]]&amp;", "&amp;Table13[[#This Row],[FY]]</f>
        <v>Q3, FY26</v>
      </c>
    </row>
    <row r="401" spans="1:10" x14ac:dyDescent="0.25">
      <c r="A401" s="1">
        <f t="shared" si="31"/>
        <v>46069</v>
      </c>
      <c r="B401" s="1">
        <f t="shared" si="31"/>
        <v>46075</v>
      </c>
      <c r="C401" s="2" t="s">
        <v>223</v>
      </c>
      <c r="D401" s="2" t="s">
        <v>220</v>
      </c>
      <c r="E401" s="2">
        <v>3</v>
      </c>
      <c r="F401" s="2" t="s">
        <v>253</v>
      </c>
      <c r="G401" s="2" t="str">
        <f>Table13[[#This Row],[Month]]&amp;", "&amp;Table13[[#This Row],[FY]]</f>
        <v>FEB, FY26</v>
      </c>
      <c r="H401" s="2" t="str">
        <f>Table13[[#This Row],[Week]]&amp;", "&amp;Table13[[#This Row],[Month]]&amp;" "&amp;Table13[[#This Row],[FY]]</f>
        <v>Week 34, FEB FY26</v>
      </c>
      <c r="I401" s="2" t="str">
        <f>Table13[[#This Row],[Month]]&amp;", "&amp;Table13[[#This Row],[FY]]</f>
        <v>FEB, FY26</v>
      </c>
      <c r="J401" s="2" t="str">
        <f>"Q"&amp;Table13[[#This Row],[QTR]]&amp;", "&amp;Table13[[#This Row],[FY]]</f>
        <v>Q3, FY26</v>
      </c>
    </row>
    <row r="402" spans="1:10" x14ac:dyDescent="0.25">
      <c r="A402" s="1">
        <f t="shared" si="31"/>
        <v>46076</v>
      </c>
      <c r="B402" s="1">
        <f t="shared" si="31"/>
        <v>46082</v>
      </c>
      <c r="C402" s="2" t="s">
        <v>224</v>
      </c>
      <c r="D402" s="2" t="s">
        <v>220</v>
      </c>
      <c r="E402" s="2">
        <v>3</v>
      </c>
      <c r="F402" s="2" t="s">
        <v>253</v>
      </c>
      <c r="G402" s="2" t="str">
        <f>Table13[[#This Row],[Month]]&amp;", "&amp;Table13[[#This Row],[FY]]</f>
        <v>FEB, FY26</v>
      </c>
      <c r="H402" s="2" t="str">
        <f>Table13[[#This Row],[Week]]&amp;", "&amp;Table13[[#This Row],[Month]]&amp;" "&amp;Table13[[#This Row],[FY]]</f>
        <v>Week 35, FEB FY26</v>
      </c>
      <c r="I402" s="2" t="str">
        <f>Table13[[#This Row],[Month]]&amp;", "&amp;Table13[[#This Row],[FY]]</f>
        <v>FEB, FY26</v>
      </c>
      <c r="J402" s="2" t="str">
        <f>"Q"&amp;Table13[[#This Row],[QTR]]&amp;", "&amp;Table13[[#This Row],[FY]]</f>
        <v>Q3, FY26</v>
      </c>
    </row>
    <row r="403" spans="1:10" x14ac:dyDescent="0.25">
      <c r="A403" s="1">
        <f t="shared" si="31"/>
        <v>46083</v>
      </c>
      <c r="B403" s="1">
        <f t="shared" si="31"/>
        <v>46089</v>
      </c>
      <c r="C403" s="2" t="s">
        <v>225</v>
      </c>
      <c r="D403" s="2" t="s">
        <v>226</v>
      </c>
      <c r="E403" s="2">
        <v>3</v>
      </c>
      <c r="F403" s="2" t="s">
        <v>253</v>
      </c>
      <c r="G403" s="2" t="str">
        <f>Table13[[#This Row],[Month]]&amp;", "&amp;Table13[[#This Row],[FY]]</f>
        <v>MAR, FY26</v>
      </c>
      <c r="H403" s="2" t="str">
        <f>Table13[[#This Row],[Week]]&amp;", "&amp;Table13[[#This Row],[Month]]&amp;" "&amp;Table13[[#This Row],[FY]]</f>
        <v>Week 36, MAR FY26</v>
      </c>
      <c r="I403" s="2" t="str">
        <f>Table13[[#This Row],[Month]]&amp;", "&amp;Table13[[#This Row],[FY]]</f>
        <v>MAR, FY26</v>
      </c>
      <c r="J403" s="2" t="str">
        <f>"Q"&amp;Table13[[#This Row],[QTR]]&amp;", "&amp;Table13[[#This Row],[FY]]</f>
        <v>Q3, FY26</v>
      </c>
    </row>
    <row r="404" spans="1:10" x14ac:dyDescent="0.25">
      <c r="A404" s="1">
        <f t="shared" si="31"/>
        <v>46090</v>
      </c>
      <c r="B404" s="1">
        <f t="shared" si="31"/>
        <v>46096</v>
      </c>
      <c r="C404" s="2" t="s">
        <v>227</v>
      </c>
      <c r="D404" s="2" t="s">
        <v>226</v>
      </c>
      <c r="E404" s="2">
        <v>3</v>
      </c>
      <c r="F404" s="2" t="s">
        <v>253</v>
      </c>
      <c r="G404" s="2" t="str">
        <f>Table13[[#This Row],[Month]]&amp;", "&amp;Table13[[#This Row],[FY]]</f>
        <v>MAR, FY26</v>
      </c>
      <c r="H404" s="2" t="str">
        <f>Table13[[#This Row],[Week]]&amp;", "&amp;Table13[[#This Row],[Month]]&amp;" "&amp;Table13[[#This Row],[FY]]</f>
        <v>Week 37, MAR FY26</v>
      </c>
      <c r="I404" s="2" t="str">
        <f>Table13[[#This Row],[Month]]&amp;", "&amp;Table13[[#This Row],[FY]]</f>
        <v>MAR, FY26</v>
      </c>
      <c r="J404" s="2" t="str">
        <f>"Q"&amp;Table13[[#This Row],[QTR]]&amp;", "&amp;Table13[[#This Row],[FY]]</f>
        <v>Q3, FY26</v>
      </c>
    </row>
    <row r="405" spans="1:10" x14ac:dyDescent="0.25">
      <c r="A405" s="1">
        <f t="shared" si="31"/>
        <v>46097</v>
      </c>
      <c r="B405" s="1">
        <f t="shared" si="31"/>
        <v>46103</v>
      </c>
      <c r="C405" s="2" t="s">
        <v>228</v>
      </c>
      <c r="D405" s="2" t="s">
        <v>226</v>
      </c>
      <c r="E405" s="2">
        <v>3</v>
      </c>
      <c r="F405" s="2" t="s">
        <v>253</v>
      </c>
      <c r="G405" s="2" t="str">
        <f>Table13[[#This Row],[Month]]&amp;", "&amp;Table13[[#This Row],[FY]]</f>
        <v>MAR, FY26</v>
      </c>
      <c r="H405" s="2" t="str">
        <f>Table13[[#This Row],[Week]]&amp;", "&amp;Table13[[#This Row],[Month]]&amp;" "&amp;Table13[[#This Row],[FY]]</f>
        <v>Week 38, MAR FY26</v>
      </c>
      <c r="I405" s="2" t="str">
        <f>Table13[[#This Row],[Month]]&amp;", "&amp;Table13[[#This Row],[FY]]</f>
        <v>MAR, FY26</v>
      </c>
      <c r="J405" s="2" t="str">
        <f>"Q"&amp;Table13[[#This Row],[QTR]]&amp;", "&amp;Table13[[#This Row],[FY]]</f>
        <v>Q3, FY26</v>
      </c>
    </row>
    <row r="406" spans="1:10" x14ac:dyDescent="0.25">
      <c r="A406" s="1">
        <f t="shared" si="31"/>
        <v>46104</v>
      </c>
      <c r="B406" s="1">
        <f t="shared" si="31"/>
        <v>46110</v>
      </c>
      <c r="C406" s="2" t="s">
        <v>229</v>
      </c>
      <c r="D406" s="2" t="s">
        <v>226</v>
      </c>
      <c r="E406" s="2">
        <v>3</v>
      </c>
      <c r="F406" s="2" t="s">
        <v>253</v>
      </c>
      <c r="G406" s="2" t="str">
        <f>Table13[[#This Row],[Month]]&amp;", "&amp;Table13[[#This Row],[FY]]</f>
        <v>MAR, FY26</v>
      </c>
      <c r="H406" s="2" t="str">
        <f>Table13[[#This Row],[Week]]&amp;", "&amp;Table13[[#This Row],[Month]]&amp;" "&amp;Table13[[#This Row],[FY]]</f>
        <v>Week 39, MAR FY26</v>
      </c>
      <c r="I406" s="2" t="str">
        <f>Table13[[#This Row],[Month]]&amp;", "&amp;Table13[[#This Row],[FY]]</f>
        <v>MAR, FY26</v>
      </c>
      <c r="J406" s="2" t="str">
        <f>"Q"&amp;Table13[[#This Row],[QTR]]&amp;", "&amp;Table13[[#This Row],[FY]]</f>
        <v>Q3, FY26</v>
      </c>
    </row>
    <row r="407" spans="1:10" x14ac:dyDescent="0.25">
      <c r="A407" s="1">
        <f t="shared" si="31"/>
        <v>46111</v>
      </c>
      <c r="B407" s="1">
        <f t="shared" si="31"/>
        <v>46117</v>
      </c>
      <c r="C407" s="2" t="s">
        <v>230</v>
      </c>
      <c r="D407" s="2" t="s">
        <v>231</v>
      </c>
      <c r="E407" s="2">
        <v>4</v>
      </c>
      <c r="F407" s="2" t="s">
        <v>253</v>
      </c>
      <c r="G407" s="2" t="str">
        <f>Table13[[#This Row],[Month]]&amp;", "&amp;Table13[[#This Row],[FY]]</f>
        <v>APR, FY26</v>
      </c>
      <c r="H407" s="2" t="str">
        <f>Table13[[#This Row],[Week]]&amp;", "&amp;Table13[[#This Row],[Month]]&amp;" "&amp;Table13[[#This Row],[FY]]</f>
        <v>Week 40, APR FY26</v>
      </c>
      <c r="I407" s="2" t="str">
        <f>Table13[[#This Row],[Month]]&amp;", "&amp;Table13[[#This Row],[FY]]</f>
        <v>APR, FY26</v>
      </c>
      <c r="J407" s="2" t="str">
        <f>"Q"&amp;Table13[[#This Row],[QTR]]&amp;", "&amp;Table13[[#This Row],[FY]]</f>
        <v>Q4, FY26</v>
      </c>
    </row>
    <row r="408" spans="1:10" x14ac:dyDescent="0.25">
      <c r="A408" s="1">
        <f t="shared" si="31"/>
        <v>46118</v>
      </c>
      <c r="B408" s="1">
        <f t="shared" si="31"/>
        <v>46124</v>
      </c>
      <c r="C408" s="2" t="s">
        <v>232</v>
      </c>
      <c r="D408" s="2" t="s">
        <v>231</v>
      </c>
      <c r="E408" s="2">
        <v>4</v>
      </c>
      <c r="F408" s="2" t="s">
        <v>253</v>
      </c>
      <c r="G408" s="2" t="str">
        <f>Table13[[#This Row],[Month]]&amp;", "&amp;Table13[[#This Row],[FY]]</f>
        <v>APR, FY26</v>
      </c>
      <c r="H408" s="2" t="str">
        <f>Table13[[#This Row],[Week]]&amp;", "&amp;Table13[[#This Row],[Month]]&amp;" "&amp;Table13[[#This Row],[FY]]</f>
        <v>Week 41, APR FY26</v>
      </c>
      <c r="I408" s="2" t="str">
        <f>Table13[[#This Row],[Month]]&amp;", "&amp;Table13[[#This Row],[FY]]</f>
        <v>APR, FY26</v>
      </c>
      <c r="J408" s="2" t="str">
        <f>"Q"&amp;Table13[[#This Row],[QTR]]&amp;", "&amp;Table13[[#This Row],[FY]]</f>
        <v>Q4, FY26</v>
      </c>
    </row>
    <row r="409" spans="1:10" x14ac:dyDescent="0.25">
      <c r="A409" s="1">
        <f t="shared" si="31"/>
        <v>46125</v>
      </c>
      <c r="B409" s="1">
        <f t="shared" si="31"/>
        <v>46131</v>
      </c>
      <c r="C409" s="2" t="s">
        <v>233</v>
      </c>
      <c r="D409" s="2" t="s">
        <v>231</v>
      </c>
      <c r="E409" s="2">
        <v>4</v>
      </c>
      <c r="F409" s="2" t="s">
        <v>253</v>
      </c>
      <c r="G409" s="2" t="str">
        <f>Table13[[#This Row],[Month]]&amp;", "&amp;Table13[[#This Row],[FY]]</f>
        <v>APR, FY26</v>
      </c>
      <c r="H409" s="2" t="str">
        <f>Table13[[#This Row],[Week]]&amp;", "&amp;Table13[[#This Row],[Month]]&amp;" "&amp;Table13[[#This Row],[FY]]</f>
        <v>Week 42, APR FY26</v>
      </c>
      <c r="I409" s="2" t="str">
        <f>Table13[[#This Row],[Month]]&amp;", "&amp;Table13[[#This Row],[FY]]</f>
        <v>APR, FY26</v>
      </c>
      <c r="J409" s="2" t="str">
        <f>"Q"&amp;Table13[[#This Row],[QTR]]&amp;", "&amp;Table13[[#This Row],[FY]]</f>
        <v>Q4, FY26</v>
      </c>
    </row>
    <row r="410" spans="1:10" x14ac:dyDescent="0.25">
      <c r="A410" s="1">
        <f t="shared" si="31"/>
        <v>46132</v>
      </c>
      <c r="B410" s="1">
        <f t="shared" si="31"/>
        <v>46138</v>
      </c>
      <c r="C410" s="2" t="s">
        <v>234</v>
      </c>
      <c r="D410" s="2" t="s">
        <v>231</v>
      </c>
      <c r="E410" s="2">
        <v>4</v>
      </c>
      <c r="F410" s="2" t="s">
        <v>253</v>
      </c>
      <c r="G410" s="2" t="str">
        <f>Table13[[#This Row],[Month]]&amp;", "&amp;Table13[[#This Row],[FY]]</f>
        <v>APR, FY26</v>
      </c>
      <c r="H410" s="2" t="str">
        <f>Table13[[#This Row],[Week]]&amp;", "&amp;Table13[[#This Row],[Month]]&amp;" "&amp;Table13[[#This Row],[FY]]</f>
        <v>Week 43, APR FY26</v>
      </c>
      <c r="I410" s="2" t="str">
        <f>Table13[[#This Row],[Month]]&amp;", "&amp;Table13[[#This Row],[FY]]</f>
        <v>APR, FY26</v>
      </c>
      <c r="J410" s="2" t="str">
        <f>"Q"&amp;Table13[[#This Row],[QTR]]&amp;", "&amp;Table13[[#This Row],[FY]]</f>
        <v>Q4, FY26</v>
      </c>
    </row>
    <row r="411" spans="1:10" x14ac:dyDescent="0.25">
      <c r="A411" s="1">
        <f t="shared" si="31"/>
        <v>46139</v>
      </c>
      <c r="B411" s="1">
        <f t="shared" si="31"/>
        <v>46145</v>
      </c>
      <c r="C411" s="2" t="s">
        <v>235</v>
      </c>
      <c r="D411" s="2" t="s">
        <v>236</v>
      </c>
      <c r="E411" s="2">
        <v>4</v>
      </c>
      <c r="F411" s="2" t="s">
        <v>253</v>
      </c>
      <c r="G411" s="2" t="str">
        <f>Table13[[#This Row],[Month]]&amp;", "&amp;Table13[[#This Row],[FY]]</f>
        <v>MAY, FY26</v>
      </c>
      <c r="H411" s="2" t="str">
        <f>Table13[[#This Row],[Week]]&amp;", "&amp;Table13[[#This Row],[Month]]&amp;" "&amp;Table13[[#This Row],[FY]]</f>
        <v>Week 44, MAY FY26</v>
      </c>
      <c r="I411" s="2" t="str">
        <f>Table13[[#This Row],[Month]]&amp;", "&amp;Table13[[#This Row],[FY]]</f>
        <v>MAY, FY26</v>
      </c>
      <c r="J411" s="2" t="str">
        <f>"Q"&amp;Table13[[#This Row],[QTR]]&amp;", "&amp;Table13[[#This Row],[FY]]</f>
        <v>Q4, FY26</v>
      </c>
    </row>
    <row r="412" spans="1:10" x14ac:dyDescent="0.25">
      <c r="A412" s="1">
        <f t="shared" si="31"/>
        <v>46146</v>
      </c>
      <c r="B412" s="1">
        <f t="shared" si="31"/>
        <v>46152</v>
      </c>
      <c r="C412" s="2" t="s">
        <v>237</v>
      </c>
      <c r="D412" s="2" t="s">
        <v>236</v>
      </c>
      <c r="E412" s="2">
        <v>4</v>
      </c>
      <c r="F412" s="2" t="s">
        <v>253</v>
      </c>
      <c r="G412" s="2" t="str">
        <f>Table13[[#This Row],[Month]]&amp;", "&amp;Table13[[#This Row],[FY]]</f>
        <v>MAY, FY26</v>
      </c>
      <c r="H412" s="2" t="str">
        <f>Table13[[#This Row],[Week]]&amp;", "&amp;Table13[[#This Row],[Month]]&amp;" "&amp;Table13[[#This Row],[FY]]</f>
        <v>Week 45, MAY FY26</v>
      </c>
      <c r="I412" s="2" t="str">
        <f>Table13[[#This Row],[Month]]&amp;", "&amp;Table13[[#This Row],[FY]]</f>
        <v>MAY, FY26</v>
      </c>
      <c r="J412" s="2" t="str">
        <f>"Q"&amp;Table13[[#This Row],[QTR]]&amp;", "&amp;Table13[[#This Row],[FY]]</f>
        <v>Q4, FY26</v>
      </c>
    </row>
    <row r="413" spans="1:10" x14ac:dyDescent="0.25">
      <c r="A413" s="1">
        <f t="shared" si="31"/>
        <v>46153</v>
      </c>
      <c r="B413" s="1">
        <f t="shared" si="31"/>
        <v>46159</v>
      </c>
      <c r="C413" s="2" t="s">
        <v>238</v>
      </c>
      <c r="D413" s="2" t="s">
        <v>236</v>
      </c>
      <c r="E413" s="2">
        <v>4</v>
      </c>
      <c r="F413" s="2" t="s">
        <v>253</v>
      </c>
      <c r="G413" s="2" t="str">
        <f>Table13[[#This Row],[Month]]&amp;", "&amp;Table13[[#This Row],[FY]]</f>
        <v>MAY, FY26</v>
      </c>
      <c r="H413" s="2" t="str">
        <f>Table13[[#This Row],[Week]]&amp;", "&amp;Table13[[#This Row],[Month]]&amp;" "&amp;Table13[[#This Row],[FY]]</f>
        <v>Week 46, MAY FY26</v>
      </c>
      <c r="I413" s="2" t="str">
        <f>Table13[[#This Row],[Month]]&amp;", "&amp;Table13[[#This Row],[FY]]</f>
        <v>MAY, FY26</v>
      </c>
      <c r="J413" s="2" t="str">
        <f>"Q"&amp;Table13[[#This Row],[QTR]]&amp;", "&amp;Table13[[#This Row],[FY]]</f>
        <v>Q4, FY26</v>
      </c>
    </row>
    <row r="414" spans="1:10" x14ac:dyDescent="0.25">
      <c r="A414" s="1">
        <f t="shared" si="31"/>
        <v>46160</v>
      </c>
      <c r="B414" s="1">
        <f t="shared" si="31"/>
        <v>46166</v>
      </c>
      <c r="C414" s="2" t="s">
        <v>239</v>
      </c>
      <c r="D414" s="2" t="s">
        <v>236</v>
      </c>
      <c r="E414" s="2">
        <v>4</v>
      </c>
      <c r="F414" s="2" t="s">
        <v>253</v>
      </c>
      <c r="G414" s="2" t="str">
        <f>Table13[[#This Row],[Month]]&amp;", "&amp;Table13[[#This Row],[FY]]</f>
        <v>MAY, FY26</v>
      </c>
      <c r="H414" s="2" t="str">
        <f>Table13[[#This Row],[Week]]&amp;", "&amp;Table13[[#This Row],[Month]]&amp;" "&amp;Table13[[#This Row],[FY]]</f>
        <v>Week 47, MAY FY26</v>
      </c>
      <c r="I414" s="2" t="str">
        <f>Table13[[#This Row],[Month]]&amp;", "&amp;Table13[[#This Row],[FY]]</f>
        <v>MAY, FY26</v>
      </c>
      <c r="J414" s="2" t="str">
        <f>"Q"&amp;Table13[[#This Row],[QTR]]&amp;", "&amp;Table13[[#This Row],[FY]]</f>
        <v>Q4, FY26</v>
      </c>
    </row>
    <row r="415" spans="1:10" x14ac:dyDescent="0.25">
      <c r="A415" s="1">
        <f t="shared" si="31"/>
        <v>46167</v>
      </c>
      <c r="B415" s="1">
        <f t="shared" si="31"/>
        <v>46173</v>
      </c>
      <c r="C415" s="2" t="s">
        <v>240</v>
      </c>
      <c r="D415" s="2" t="s">
        <v>236</v>
      </c>
      <c r="E415" s="2">
        <v>4</v>
      </c>
      <c r="F415" s="2" t="s">
        <v>253</v>
      </c>
      <c r="G415" s="2" t="str">
        <f>Table13[[#This Row],[Month]]&amp;", "&amp;Table13[[#This Row],[FY]]</f>
        <v>MAY, FY26</v>
      </c>
      <c r="H415" s="2" t="str">
        <f>Table13[[#This Row],[Week]]&amp;", "&amp;Table13[[#This Row],[Month]]&amp;" "&amp;Table13[[#This Row],[FY]]</f>
        <v>Week 48, MAY FY26</v>
      </c>
      <c r="I415" s="2" t="str">
        <f>Table13[[#This Row],[Month]]&amp;", "&amp;Table13[[#This Row],[FY]]</f>
        <v>MAY, FY26</v>
      </c>
      <c r="J415" s="2" t="str">
        <f>"Q"&amp;Table13[[#This Row],[QTR]]&amp;", "&amp;Table13[[#This Row],[FY]]</f>
        <v>Q4, FY26</v>
      </c>
    </row>
    <row r="416" spans="1:10" x14ac:dyDescent="0.25">
      <c r="A416" s="1">
        <f t="shared" ref="A416:B419" si="32">A415+7</f>
        <v>46174</v>
      </c>
      <c r="B416" s="1">
        <f t="shared" si="32"/>
        <v>46180</v>
      </c>
      <c r="C416" s="2" t="s">
        <v>241</v>
      </c>
      <c r="D416" s="2" t="s">
        <v>242</v>
      </c>
      <c r="E416" s="2">
        <v>4</v>
      </c>
      <c r="F416" s="2" t="s">
        <v>253</v>
      </c>
      <c r="G416" s="2" t="str">
        <f>Table13[[#This Row],[Month]]&amp;", "&amp;Table13[[#This Row],[FY]]</f>
        <v>JUN, FY26</v>
      </c>
      <c r="H416" s="2" t="str">
        <f>Table13[[#This Row],[Week]]&amp;", "&amp;Table13[[#This Row],[Month]]&amp;" "&amp;Table13[[#This Row],[FY]]</f>
        <v>Week 49, JUN FY26</v>
      </c>
      <c r="I416" s="2" t="str">
        <f>Table13[[#This Row],[Month]]&amp;", "&amp;Table13[[#This Row],[FY]]</f>
        <v>JUN, FY26</v>
      </c>
      <c r="J416" s="2" t="str">
        <f>"Q"&amp;Table13[[#This Row],[QTR]]&amp;", "&amp;Table13[[#This Row],[FY]]</f>
        <v>Q4, FY26</v>
      </c>
    </row>
    <row r="417" spans="1:10" x14ac:dyDescent="0.25">
      <c r="A417" s="1">
        <f t="shared" si="32"/>
        <v>46181</v>
      </c>
      <c r="B417" s="1">
        <f t="shared" si="32"/>
        <v>46187</v>
      </c>
      <c r="C417" s="2" t="s">
        <v>243</v>
      </c>
      <c r="D417" s="2" t="s">
        <v>242</v>
      </c>
      <c r="E417" s="2">
        <v>4</v>
      </c>
      <c r="F417" s="2" t="s">
        <v>253</v>
      </c>
      <c r="G417" s="2" t="str">
        <f>Table13[[#This Row],[Month]]&amp;", "&amp;Table13[[#This Row],[FY]]</f>
        <v>JUN, FY26</v>
      </c>
      <c r="H417" s="2" t="str">
        <f>Table13[[#This Row],[Week]]&amp;", "&amp;Table13[[#This Row],[Month]]&amp;" "&amp;Table13[[#This Row],[FY]]</f>
        <v>Week 50, JUN FY26</v>
      </c>
      <c r="I417" s="2" t="str">
        <f>Table13[[#This Row],[Month]]&amp;", "&amp;Table13[[#This Row],[FY]]</f>
        <v>JUN, FY26</v>
      </c>
      <c r="J417" s="2" t="str">
        <f>"Q"&amp;Table13[[#This Row],[QTR]]&amp;", "&amp;Table13[[#This Row],[FY]]</f>
        <v>Q4, FY26</v>
      </c>
    </row>
    <row r="418" spans="1:10" x14ac:dyDescent="0.25">
      <c r="A418" s="1">
        <f t="shared" si="32"/>
        <v>46188</v>
      </c>
      <c r="B418" s="1">
        <f t="shared" si="32"/>
        <v>46194</v>
      </c>
      <c r="C418" s="2" t="s">
        <v>244</v>
      </c>
      <c r="D418" s="2" t="s">
        <v>242</v>
      </c>
      <c r="E418" s="2">
        <v>4</v>
      </c>
      <c r="F418" s="2" t="s">
        <v>253</v>
      </c>
      <c r="G418" s="2" t="str">
        <f>Table13[[#This Row],[Month]]&amp;", "&amp;Table13[[#This Row],[FY]]</f>
        <v>JUN, FY26</v>
      </c>
      <c r="H418" s="2" t="str">
        <f>Table13[[#This Row],[Week]]&amp;", "&amp;Table13[[#This Row],[Month]]&amp;" "&amp;Table13[[#This Row],[FY]]</f>
        <v>Week 51, JUN FY26</v>
      </c>
      <c r="I418" s="2" t="str">
        <f>Table13[[#This Row],[Month]]&amp;", "&amp;Table13[[#This Row],[FY]]</f>
        <v>JUN, FY26</v>
      </c>
      <c r="J418" s="2" t="str">
        <f>"Q"&amp;Table13[[#This Row],[QTR]]&amp;", "&amp;Table13[[#This Row],[FY]]</f>
        <v>Q4, FY26</v>
      </c>
    </row>
    <row r="419" spans="1:10" x14ac:dyDescent="0.25">
      <c r="A419" s="1">
        <f t="shared" si="32"/>
        <v>46195</v>
      </c>
      <c r="B419" s="1">
        <f t="shared" si="32"/>
        <v>46201</v>
      </c>
      <c r="C419" s="2" t="s">
        <v>245</v>
      </c>
      <c r="D419" s="2" t="s">
        <v>242</v>
      </c>
      <c r="E419" s="2">
        <v>4</v>
      </c>
      <c r="F419" s="2" t="s">
        <v>253</v>
      </c>
      <c r="G419" s="2" t="str">
        <f>Table13[[#This Row],[Month]]&amp;", "&amp;Table13[[#This Row],[FY]]</f>
        <v>JUN, FY26</v>
      </c>
      <c r="H419" s="2" t="str">
        <f>Table13[[#This Row],[Week]]&amp;", "&amp;Table13[[#This Row],[Month]]&amp;" "&amp;Table13[[#This Row],[FY]]</f>
        <v>Week 52, JUN FY26</v>
      </c>
      <c r="I419" s="2" t="str">
        <f>Table13[[#This Row],[Month]]&amp;", "&amp;Table13[[#This Row],[FY]]</f>
        <v>JUN, FY26</v>
      </c>
      <c r="J419" s="2" t="str">
        <f>"Q"&amp;Table13[[#This Row],[QTR]]&amp;", "&amp;Table13[[#This Row],[FY]]</f>
        <v>Q4, FY26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INC REPORT_MAY</vt:lpstr>
      <vt:lpstr>INC Pivot REPORT_MAY</vt:lpstr>
      <vt:lpstr>INC REPORT_12-month Graphs </vt:lpstr>
      <vt:lpstr>HAZ REPORT_APR &amp; Q3 FY25</vt:lpstr>
      <vt:lpstr>HAZ REPORT_12-month Graphs </vt:lpstr>
      <vt:lpstr>IT FEED</vt:lpstr>
      <vt:lpstr>IT FEED - Chart</vt:lpstr>
      <vt:lpstr>HAZARD FEED</vt:lpstr>
      <vt:lpstr>HAZARD FEED - Chart</vt:lpstr>
      <vt:lpstr>Incident Data Dump</vt:lpstr>
      <vt:lpstr>Hazard Data Dump</vt:lpstr>
      <vt:lpstr>S910 DC Mapping</vt:lpstr>
      <vt:lpstr>FIN CAL LOOKUP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Luan Nguyen</dc:creator>
  <cp:lastModifiedBy>Luan Nguyen</cp:lastModifiedBy>
  <dcterms:created xsi:type="dcterms:W3CDTF">2025-03-27T22:48:50Z</dcterms:created>
  <dcterms:modified xsi:type="dcterms:W3CDTF">2026-09-17T15:10:43Z</dcterms:modified>
</cp:coreProperties>
</file>